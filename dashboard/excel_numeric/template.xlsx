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441f19be3047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合约选项" sheetId="1" r:id="R30bdac11762d4601"/>
    <x:sheet xmlns:r="http://schemas.openxmlformats.org/officeDocument/2006/relationships" name="指标目录" sheetId="2" r:id="R0b04cc81903b4bf3"/>
    <x:sheet xmlns:r="http://schemas.openxmlformats.org/officeDocument/2006/relationships" name="期现" sheetId="3" r:id="Rdfc6d56d95074bb9"/>
    <x:sheet xmlns:r="http://schemas.openxmlformats.org/officeDocument/2006/relationships" name="期现详情" sheetId="4" r:id="Rd54fa22b84d2418a"/>
    <x:sheet xmlns:r="http://schemas.openxmlformats.org/officeDocument/2006/relationships" name="同品种跨期" sheetId="5" r:id="R2e2f9e915b3f474d"/>
    <x:sheet xmlns:r="http://schemas.openxmlformats.org/officeDocument/2006/relationships" name="同品种跨期详情" sheetId="6" r:id="R4891ccc36a6f4740"/>
    <x:sheet xmlns:r="http://schemas.openxmlformats.org/officeDocument/2006/relationships" name="跨品种" sheetId="7" r:id="Rce0604d78fc84299"/>
    <x:sheet xmlns:r="http://schemas.openxmlformats.org/officeDocument/2006/relationships" name="跨品种详情" sheetId="8" r:id="R78a6cbbf03144b06"/>
    <x:sheet xmlns:r="http://schemas.openxmlformats.org/officeDocument/2006/relationships" name="数字看板" sheetId="9" r:id="R74539e1548564331"/>
    <x:sheet xmlns:r="http://schemas.openxmlformats.org/officeDocument/2006/relationships" name="分位与样本" sheetId="10" r:id="Rc5fa57ce36a944c5"/>
    <x:sheet xmlns:r="http://schemas.openxmlformats.org/officeDocument/2006/relationships" name="研究指标" sheetId="11" r:id="Rdb14cd459ce34fba"/>
    <x:sheet xmlns:r="http://schemas.openxmlformats.org/officeDocument/2006/relationships" name="来源与状态" sheetId="12" r:id="R928ac038d2714ed0"/>
    <x:sheet xmlns:r="http://schemas.openxmlformats.org/officeDocument/2006/relationships" name="卡片数据" sheetId="13" r:id="Rd940032792084e08"/>
    <x:sheet xmlns:r="http://schemas.openxmlformats.org/officeDocument/2006/relationships" name="指标数据" sheetId="14" r:id="R3192159301174b38"/>
    <x:sheet xmlns:r="http://schemas.openxmlformats.org/officeDocument/2006/relationships" name="概览" sheetId="15" r:id="R8c76671da5474f0c"/>
    <x:sheet xmlns:r="http://schemas.openxmlformats.org/officeDocument/2006/relationships" name="指标" sheetId="16" r:id="R8a40fd32693946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0000"/>
    <x:numFmt numFmtId="201" formatCode="mm/dd hh:mm:ss"/>
    <x:numFmt numFmtId="202" formatCode="0"/>
    <x:numFmt numFmtId="203" formatCode="@"/>
    <x:numFmt numFmtId="204" formatCode="0.00%"/>
    <x:numFmt numFmtId="205" formatCode="0.0000%"/>
    <x:numFmt numFmtId="206" formatCode="yyyy-mm-dd hh:mm:ss"/>
    <x:numFmt numFmtId="207" formatCode="00"/>
    <x:numFmt numFmtId="208" formatCode="#,##0.00"/>
    <x:numFmt numFmtId="209" formatCode="0.00"/>
    <x:numFmt numFmtId="210" formatCode="0%"/>
    <x:numFmt numFmtId="211" formatCode="&quot;n=&quot;0"/>
    <x:numFmt numFmtId="212" formatCode="mm/dd hh:mm"/>
  </x:numFmts>
  <x:fonts count="16">
    <x:font>
      <x:sz val="11"/>
      <x:name val="Carlito"/>
    </x:font>
    <x:font>
      <x:sz val="11"/>
      <x:color rgb="FF203348"/>
      <x:name val="Microsoft YaHei"/>
    </x:font>
    <x:font>
      <x:b/>
      <x:sz val="16"/>
      <x:color rgb="FF203348"/>
      <x:name val="Microsoft YaHei"/>
    </x:font>
    <x:font>
      <x:sz val="11"/>
      <x:color rgb="FF244C72"/>
      <x:name val="Microsoft YaHei"/>
    </x:font>
    <x:font>
      <x:b/>
      <x:sz val="11"/>
      <x:color rgb="FFFFFFFF"/>
      <x:name val="Microsoft YaHei"/>
    </x:font>
    <x:font>
      <x:sz val="11"/>
      <x:color rgb="FF64748B"/>
      <x:name val="Microsoft YaHei"/>
    </x:font>
    <x:font>
      <x:sz val="11"/>
      <x:name val="Microsoft YaHei"/>
    </x:font>
    <x:font>
      <x:b/>
      <x:sz val="19"/>
      <x:color rgb="FF12384B"/>
      <x:name val="Microsoft YaHei"/>
    </x:font>
    <x:font>
      <x:sz val="11"/>
      <x:color rgb="FF6B7280"/>
      <x:name val="Microsoft YaHei"/>
    </x:font>
    <x:font>
      <x:b/>
      <x:sz val="18"/>
      <x:color rgb="FF203348"/>
      <x:name val="Microsoft YaHei"/>
    </x:font>
    <x:font>
      <x:sz val="11"/>
      <x:color rgb="FF203348"/>
      <x:name val="Microsoft YaHei"/>
    </x:font>
    <x:font>
      <x:sz val="11"/>
      <x:color rgb="FF64748B"/>
      <x:name val="Microsoft YaHei"/>
    </x:font>
    <x:font>
      <x:b/>
      <x:sz val="17"/>
      <x:color rgb="FF087E8B"/>
      <x:name val="Microsoft YaHei"/>
    </x:font>
    <x:font>
      <x:sz val="10"/>
      <x:color rgb="FF64748B"/>
      <x:name val="Microsoft YaHei"/>
    </x:font>
    <x:font>
      <x:sz val="9"/>
      <x:color rgb="FF64748B"/>
      <x:name val="Microsoft YaHei"/>
    </x:font>
    <x:font>
      <x:sz val="11"/>
      <x:color rgb="FFFFFFF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FFF0C2"/>
      </x:patternFill>
    </x:fill>
    <x:fill>
      <x:patternFill patternType="solid">
        <x:fgColor rgb="FF244C72"/>
      </x:patternFill>
    </x:fill>
    <x:fill>
      <x:patternFill patternType="solid">
        <x:fgColor rgb="FFF2F6FA"/>
      </x:patternFill>
    </x:fill>
    <x:fill>
      <x:patternFill patternType="solid">
        <x:fgColor rgb="FF12384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202" fontId="1" fillId="4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6" fillId="5" borderId="0" xfId="0" applyNumberFormat="1" applyFont="1" applyFill="1" applyBorder="1"/>
    <x:xf numFmtId="0" fontId="4" fillId="5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205" fontId="6" fillId="0" borderId="0" xfId="0" applyNumberFormat="1" applyFont="1" applyFill="1" applyBorder="1"/>
    <x:xf numFmtId="206" fontId="6" fillId="0" borderId="0" xfId="0" applyNumberFormat="1" applyFont="1" applyFill="1" applyBorder="1"/>
    <x:xf numFmtId="204" fontId="6" fillId="0" borderId="0" xfId="0" applyNumberFormat="1" applyFont="1" applyFill="1" applyBorder="1"/>
    <x:xf numFmtId="203" fontId="6" fillId="0" borderId="0" xfId="0" applyNumberFormat="1" applyFont="1" applyFill="1" applyBorder="1"/>
    <x:xf numFmtId="203" fontId="6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horizontal="center" vertical="center"/>
    </x:xf>
    <x:xf numFmtId="0" fontId="11" fillId="4" borderId="0" xfId="0" applyNumberFormat="1" applyFont="1" applyFill="1" applyBorder="1" applyAlignment="1">
      <x:alignment vertical="center"/>
    </x:xf>
    <x:xf numFmtId="208" fontId="1" fillId="4" borderId="0" xfId="0" applyNumberFormat="1" applyFont="1" applyFill="1" applyBorder="1" applyAlignment="1">
      <x:alignment vertical="center"/>
    </x:xf>
    <x:xf numFmtId="208" fontId="1" fillId="4" borderId="0" xfId="0" applyNumberFormat="1" applyFont="1" applyFill="1" applyBorder="1" applyAlignment="1">
      <x:alignment horizontal="center" vertical="center"/>
    </x:xf>
    <x:xf numFmtId="208" fontId="2" fillId="4" borderId="0" xfId="0" applyNumberFormat="1" applyFont="1" applyFill="1" applyBorder="1" applyAlignment="1">
      <x:alignment horizontal="center" vertical="center"/>
    </x:xf>
    <x:xf numFmtId="204" fontId="1" fillId="4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horizontal="center" vertical="center"/>
    </x:xf>
    <x:xf numFmtId="204" fontId="2" fillId="4" borderId="0" xfId="0" applyNumberFormat="1" applyFont="1" applyFill="1" applyBorder="1" applyAlignment="1">
      <x:alignment horizontal="center" vertical="center"/>
    </x:xf>
    <x:xf numFmtId="0" fontId="13" fillId="4" borderId="0" xfId="0" applyNumberFormat="1" applyFont="1" applyFill="1" applyBorder="1" applyAlignment="1">
      <x:alignment vertical="center"/>
    </x:xf>
    <x:xf numFmtId="209" fontId="1" fillId="4" borderId="0" xfId="0" applyNumberFormat="1" applyFont="1" applyFill="1" applyBorder="1" applyAlignment="1">
      <x:alignment vertical="center"/>
    </x:xf>
    <x:xf numFmtId="209" fontId="1" fillId="4" borderId="0" xfId="0" applyNumberFormat="1" applyFont="1" applyFill="1" applyBorder="1" applyAlignment="1">
      <x:alignment horizontal="center" vertical="center"/>
    </x:xf>
    <x:xf numFmtId="210" fontId="1" fillId="4" borderId="0" xfId="0" applyNumberFormat="1" applyFont="1" applyFill="1" applyBorder="1" applyAlignment="1">
      <x:alignment vertical="center"/>
    </x:xf>
    <x:xf numFmtId="210" fontId="1" fillId="4" borderId="0" xfId="0" applyNumberFormat="1" applyFont="1" applyFill="1" applyBorder="1" applyAlignment="1">
      <x:alignment horizontal="center" vertical="center"/>
    </x:xf>
    <x:xf numFmtId="211" fontId="1" fillId="4" borderId="0" xfId="0" applyNumberFormat="1" applyFont="1" applyFill="1" applyBorder="1" applyAlignment="1">
      <x:alignment vertical="center"/>
    </x:xf>
    <x:xf numFmtId="211" fontId="1" fillId="4" borderId="0" xfId="0" applyNumberFormat="1" applyFont="1" applyFill="1" applyBorder="1" applyAlignment="1">
      <x:alignment horizontal="center" vertical="center"/>
    </x:xf>
    <x:xf numFmtId="0" fontId="14" fillId="4" borderId="0" xfId="0" applyNumberFormat="1" applyFont="1" applyFill="1" applyBorder="1" applyAlignment="1">
      <x:alignment vertical="center"/>
    </x:xf>
    <x:xf numFmtId="0" fontId="14" fillId="4" borderId="0" xfId="0" applyNumberFormat="1" applyFont="1" applyFill="1" applyBorder="1" applyAlignment="1">
      <x:alignment horizontal="center" vertical="center"/>
    </x:xf>
    <x:xf numFmtId="203" fontId="14" fillId="4" borderId="0" xfId="0" applyNumberFormat="1" applyFont="1" applyFill="1" applyBorder="1" applyAlignment="1">
      <x:alignment horizontal="center" vertical="center"/>
    </x:xf>
    <x:xf numFmtId="203" fontId="14" fillId="4" borderId="0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center" vertical="center"/>
    </x:xf>
    <x:xf numFmtId="209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horizontal="center" vertical="center"/>
    </x:xf>
    <x:xf numFmtId="212" fontId="1" fillId="0" borderId="0" xfId="0" applyNumberFormat="1" applyFont="1" applyFill="1" applyBorder="1" applyAlignment="1">
      <x:alignment vertical="center"/>
    </x:xf>
    <x:xf numFmtId="212" fontId="1" fillId="0" borderId="0" xfId="0" applyNumberFormat="1" applyFont="1" applyFill="1" applyBorder="1" applyAlignment="1">
      <x:alignment horizontal="center" vertical="center"/>
    </x:xf>
    <x:xf numFmtId="212" fontId="1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de725be32d4a55" /><Relationship Type="http://schemas.openxmlformats.org/officeDocument/2006/relationships/theme" Target="/xl/theme/theme1.xml" Id="R2b806c34097943c4" /><Relationship Type="http://schemas.openxmlformats.org/officeDocument/2006/relationships/sharedStrings" Target="/xl/sharedStrings.xml" Id="R2dbaa301895a4b34" /><Relationship Type="http://schemas.openxmlformats.org/officeDocument/2006/relationships/worksheet" Target="/xl/worksheets/sheet1.xml" Id="R30bdac11762d4601" /><Relationship Type="http://schemas.openxmlformats.org/officeDocument/2006/relationships/worksheet" Target="/xl/worksheets/sheet2.xml" Id="R0b04cc81903b4bf3" /><Relationship Type="http://schemas.openxmlformats.org/officeDocument/2006/relationships/worksheet" Target="/xl/worksheets/sheet3.xml" Id="Rdfc6d56d95074bb9" /><Relationship Type="http://schemas.openxmlformats.org/officeDocument/2006/relationships/worksheet" Target="/xl/worksheets/sheet4.xml" Id="Rd54fa22b84d2418a" /><Relationship Type="http://schemas.openxmlformats.org/officeDocument/2006/relationships/worksheet" Target="/xl/worksheets/sheet5.xml" Id="R2e2f9e915b3f474d" /><Relationship Type="http://schemas.openxmlformats.org/officeDocument/2006/relationships/worksheet" Target="/xl/worksheets/sheet6.xml" Id="R4891ccc36a6f4740" /><Relationship Type="http://schemas.openxmlformats.org/officeDocument/2006/relationships/worksheet" Target="/xl/worksheets/sheet7.xml" Id="Rce0604d78fc84299" /><Relationship Type="http://schemas.openxmlformats.org/officeDocument/2006/relationships/worksheet" Target="/xl/worksheets/sheet8.xml" Id="R78a6cbbf03144b06" /><Relationship Type="http://schemas.openxmlformats.org/officeDocument/2006/relationships/worksheet" Target="/xl/worksheets/sheet9.xml" Id="R74539e1548564331" /><Relationship Type="http://schemas.openxmlformats.org/officeDocument/2006/relationships/worksheet" Target="/xl/worksheets/sheet10.xml" Id="Rc5fa57ce36a944c5" /><Relationship Type="http://schemas.openxmlformats.org/officeDocument/2006/relationships/worksheet" Target="/xl/worksheets/sheet11.xml" Id="Rdb14cd459ce34fba" /><Relationship Type="http://schemas.openxmlformats.org/officeDocument/2006/relationships/worksheet" Target="/xl/worksheets/sheet12.xml" Id="R928ac038d2714ed0" /><Relationship Type="http://schemas.openxmlformats.org/officeDocument/2006/relationships/worksheet" Target="/xl/worksheets/sheet13.xml" Id="Rd940032792084e08" /><Relationship Type="http://schemas.openxmlformats.org/officeDocument/2006/relationships/worksheet" Target="/xl/worksheets/sheet14.xml" Id="R3192159301174b38" /><Relationship Type="http://schemas.openxmlformats.org/officeDocument/2006/relationships/worksheet" Target="/xl/worksheets/sheet15.xml" Id="R8c76671da5474f0c" /><Relationship Type="http://schemas.openxmlformats.org/officeDocument/2006/relationships/worksheet" Target="/xl/worksheets/sheet16.xml" Id="R8a40fd32693946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e48ab3972ac485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20日分位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20日分位</c:v>
          </c:tx>
          <c:spPr>
            <a:solidFill xmlns:a="http://schemas.openxmlformats.org/drawingml/2006/main">
              <a:srgbClr val="087E8B"/>
            </a:solidFill>
          </c:spPr>
          <c:invertIfNegative val="0"/>
          <c:cat>
            <c:strRef>
              <c:f>'卡片数据'!$Z$7:$Z$10</c:f>
              <c:strCache>
                <c:ptCount val="0"/>
              </c:strCache>
            </c:strRef>
          </c:cat>
          <c:val>
            <c:numRef>
              <c:f>'卡片数据'!$AA$7:$AA$10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31</xdr:row>
      <xdr:rowOff>0</xdr:rowOff>
    </xdr:from>
    <xdr:to>
      <xdr:col>18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48ab3972ac485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dicatorDirectory" displayName="IndicatorDirectory" ref="A6:J333" headerRowCount="1" totalsRowCount="0" totalsRowShown="0">
  <x:tableColumns count="10">
    <x:tableColumn id="1" name="类别"/>
    <x:tableColumn id="2" name="指标"/>
    <x:tableColumn id="3" name="输入口径"/>
    <x:tableColumn id="4" name="双腿构造"/>
    <x:tableColumn id="5" name="方向与单位"/>
    <x:tableColumn id="6" name="指标意义"/>
    <x:tableColumn id="7" name="使用限制"/>
    <x:tableColumn id="8" name="公式版本"/>
    <x:tableColumn id="9" name="指标族 ID"/>
    <x:tableColumn id="10" name="独立变体 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71d5ee7f900403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bf4c0765b7ef49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7">
      <x:c r="B7" t="str">
        <x:v>分红调整点基差</x:v>
      </x:c>
      <x:c r="C7" t="str">
        <x:v>合约对历史均值</x:v>
      </x:c>
      <x:c r="D7" t="str">
        <x:v>合约对历史均值</x:v>
      </x:c>
      <x:c r="E7" t="str">
        <x:v>未调整普通基差（bp）</x:v>
      </x:c>
      <x:c r="F7" t="str">
        <x:v>未调整跨期基差（bp）</x:v>
      </x:c>
      <x:c r="G7" t="str">
        <x:v>未调整相对基差（bp）</x:v>
      </x:c>
    </x:row>
    <x:row r="8">
      <x:c r="B8" t="str">
        <x:v>分红调整普通基差</x:v>
      </x:c>
      <x:c r="C8" t="str">
        <x:v>合约对历史标准差</x:v>
      </x:c>
      <x:c r="D8" t="str">
        <x:v>合约对历史标准差</x:v>
      </x:c>
      <x:c r="E8" t="str">
        <x:v>未调整对数基差（bp）</x:v>
      </x:c>
      <x:c r="F8" t="str">
        <x:v>未调整跨期对数价比</x:v>
      </x:c>
      <x:c r="G8" t="str">
        <x:v>未调整相对对数基差</x:v>
      </x:c>
    </x:row>
    <x:row r="9">
      <x:c r="B9" t="str">
        <x:v>未调整点基差</x:v>
      </x:c>
      <x:c r="C9" t="str">
        <x:v>合约对历史Z</x:v>
      </x:c>
      <x:c r="D9" t="str">
        <x:v>合约对历史Z</x:v>
      </x:c>
      <x:c r="E9" t="str">
        <x:v>未调整简单年化</x:v>
      </x:c>
      <x:c r="F9" t="str">
        <x:v>未调整简单期限持有率</x:v>
      </x:c>
      <x:c r="G9" t="str">
        <x:v>未调整相对简单年化</x:v>
      </x:c>
    </x:row>
    <x:row r="10">
      <x:c r="B10" t="str">
        <x:v>未调整普通基差</x:v>
      </x:c>
      <x:c r="C10" t="str">
        <x:v>合约对历史分位</x:v>
      </x:c>
      <x:c r="D10" t="str">
        <x:v>合约对历史分位</x:v>
      </x:c>
      <x:c r="E10" t="str">
        <x:v>未调整对数年化</x:v>
      </x:c>
      <x:c r="F10" t="str">
        <x:v>未调整对数期限持有率</x:v>
      </x:c>
      <x:c r="G10" t="str">
        <x:v>未调整相对对数年化</x:v>
      </x:c>
    </x:row>
    <x:row r="11">
      <x:c r="B11" t="str">
        <x:v>未调整对数基差</x:v>
      </x:c>
      <x:c r="C11" t="str">
        <x:v>合约对五期变化</x:v>
      </x:c>
      <x:c r="D11" t="str">
        <x:v>合约对五期变化</x:v>
      </x:c>
    </x:row>
    <x:row r="12">
      <x:c r="B12" t="str">
        <x:v>分红调整简单年化</x:v>
      </x:c>
      <x:c r="C12" t="str">
        <x:v>合约对30期分位</x:v>
      </x:c>
      <x:c r="D12" t="str">
        <x:v>合约对30期分位</x:v>
      </x:c>
    </x:row>
    <x:row r="13">
      <x:c r="B13" t="str">
        <x:v>未调整简单年化</x:v>
      </x:c>
      <x:c r="C13" t="str">
        <x:v>分红调整跨期点差</x:v>
      </x:c>
      <x:c r="D13" t="str">
        <x:v>同到期分红调整相对基差</x:v>
      </x:c>
    </x:row>
    <x:row r="14">
      <x:c r="B14" t="str">
        <x:v>未调整对数年化</x:v>
      </x:c>
      <x:c r="C14" t="str">
        <x:v>分红调整跨期标准化差</x:v>
      </x:c>
      <x:c r="D14" t="str">
        <x:v>同到期未调整相对基差</x:v>
      </x:c>
    </x:row>
    <x:row r="15">
      <x:c r="B15" t="str">
        <x:v>调整基差每日收敛量级</x:v>
      </x:c>
      <x:c r="C15" t="str">
        <x:v>未调整跨期点差</x:v>
      </x:c>
      <x:c r="D15" t="str">
        <x:v>同到期相对对数基差</x:v>
      </x:c>
    </x:row>
    <x:row r="16">
      <x:c r="B16" t="str">
        <x:v>对数基差每日收敛量级</x:v>
      </x:c>
      <x:c r="C16" t="str">
        <x:v>未调整跨期标准化差</x:v>
      </x:c>
      <x:c r="D16" t="str">
        <x:v>合约对五期收益归因</x:v>
      </x:c>
    </x:row>
    <x:row r="17">
      <x:c r="B17" t="str">
        <x:v>前20期均值</x:v>
      </x:c>
      <x:c r="C17" t="str">
        <x:v>分红调整期限持有率</x:v>
      </x:c>
      <x:c r="D17" t="str">
        <x:v>合约对当前名义金额</x:v>
      </x:c>
    </x:row>
    <x:row r="18">
      <x:c r="B18" t="str">
        <x:v>前20期样本标准差</x:v>
      </x:c>
      <x:c r="C18" t="str">
        <x:v>未调整对数期限持有率</x:v>
      </x:c>
      <x:c r="D18" t="str">
        <x:v>合约对30分钟实现波动</x:v>
      </x:c>
    </x:row>
    <x:row r="19">
      <x:c r="B19" t="str">
        <x:v>历史 Z</x:v>
      </x:c>
      <x:c r="C19" t="str">
        <x:v>合约对五期收益归因</x:v>
      </x:c>
      <x:c r="D19" t="str">
        <x:v>合约对连续偏离事件</x:v>
      </x:c>
    </x:row>
    <x:row r="20">
      <x:c r="B20" t="str">
        <x:v>固定合约半权分位</x:v>
      </x:c>
      <x:c r="C20" t="str">
        <x:v>合约对当前名义金额</x:v>
      </x:c>
      <x:c r="D20" t="str">
        <x:v>合约对开盘偏离与修复</x:v>
      </x:c>
    </x:row>
    <x:row r="21">
      <x:c r="B21" t="str">
        <x:v>五期变化</x:v>
      </x:c>
      <x:c r="C21" t="str">
        <x:v>跨期1:1五期金额变化</x:v>
      </x:c>
      <x:c r="D21" t="str">
        <x:v>合约对匹配量加权中枢</x:v>
      </x:c>
    </x:row>
    <x:row r="22">
      <x:c r="B22" t="str">
        <x:v>原概览30期≤分位（固定实体独立扩展）</x:v>
      </x:c>
      <x:c r="C22" t="str">
        <x:v>合约对30分钟实现波动</x:v>
      </x:c>
      <x:c r="D22" t="str">
        <x:v>合约对共同增仓加权漂移</x:v>
      </x:c>
    </x:row>
    <x:row r="23">
      <x:c r="B23" t="str">
        <x:v>同会话30分钟实现波动</x:v>
      </x:c>
      <x:c r="C23" t="str">
        <x:v>合约对连续偏离事件</x:v>
      </x:c>
      <x:c r="D23" t="str">
        <x:v>合约对匹配换手与增仓</x:v>
      </x:c>
    </x:row>
    <x:row r="24">
      <x:c r="B24" t="str">
        <x:v>非回归连续偏离事件</x:v>
      </x:c>
      <x:c r="C24" t="str">
        <x:v>双向跨期一档盘口</x:v>
      </x:c>
      <x:c r="D24" t="str">
        <x:v>合约对收盘位置</x:v>
      </x:c>
    </x:row>
    <x:row r="25">
      <x:c r="B25" t="str">
        <x:v>理论价与方向性成本带</x:v>
      </x:c>
      <x:c r="C25" t="str">
        <x:v>合约对开盘偏离与修复</x:v>
      </x:c>
      <x:c r="D25" t="str">
        <x:v>合约对匹配持仓扩张</x:v>
      </x:c>
    </x:row>
    <x:row r="26">
      <x:c r="B26" t="str">
        <x:v>ETF / IOPV 同刻偏离</x:v>
      </x:c>
      <x:c r="C26" t="str">
        <x:v>合约对匹配量加权中枢</x:v>
      </x:c>
      <x:c r="D26" t="str">
        <x:v>合约对成交活跃度</x:v>
      </x:c>
    </x:row>
    <x:row r="27">
      <x:c r="B27" t="str">
        <x:v>开盘偏离与修复</x:v>
      </x:c>
      <x:c r="C27" t="str">
        <x:v>合约对共同增仓加权漂移</x:v>
      </x:c>
      <x:c r="D27" t="str">
        <x:v>合约对路径效率</x:v>
      </x:c>
    </x:row>
    <x:row r="28">
      <x:c r="B28" t="str">
        <x:v>同步分钟量加权中枢</x:v>
      </x:c>
      <x:c r="C28" t="str">
        <x:v>合约对匹配换手与增仓</x:v>
      </x:c>
      <x:c r="D28" t="str">
        <x:v>合约对振幅压力</x:v>
      </x:c>
    </x:row>
    <x:row r="29">
      <x:c r="B29" t="str">
        <x:v>各腿独立增仓加权漂移</x:v>
      </x:c>
      <x:c r="C29" t="str">
        <x:v>跨期持仓迁移形态代理</x:v>
      </x:c>
      <x:c r="D29" t="str">
        <x:v>合约对匹配容量</x:v>
      </x:c>
    </x:row>
    <x:row r="30">
      <x:c r="B30" t="str">
        <x:v>真实换手与增仓</x:v>
      </x:c>
      <x:c r="C30" t="str">
        <x:v>跨期流量与存量份额偏移</x:v>
      </x:c>
    </x:row>
    <x:row r="31">
      <x:c r="B31" t="str">
        <x:v>收盘位置与真实量能条件</x:v>
      </x:c>
      <x:c r="C31" t="str">
        <x:v>合约对收盘位置</x:v>
      </x:c>
    </x:row>
    <x:row r="32">
      <x:c r="B32" t="str">
        <x:v>真实成交相对活跃</x:v>
      </x:c>
      <x:c r="C32" t="str">
        <x:v>合约对匹配持仓扩张</x:v>
      </x:c>
    </x:row>
    <x:row r="33">
      <x:c r="B33" t="str">
        <x:v>路径效率</x:v>
      </x:c>
      <x:c r="C33" t="str">
        <x:v>合约对成交活跃度</x:v>
      </x:c>
    </x:row>
    <x:row r="34">
      <x:c r="B34" t="str">
        <x:v>各腿振幅压力</x:v>
      </x:c>
      <x:c r="C34" t="str">
        <x:v>合约对路径效率</x:v>
      </x:c>
    </x:row>
    <x:row r="35">
      <x:c r="C35" t="str">
        <x:v>合约对振幅压力</x:v>
      </x:c>
    </x:row>
    <x:row r="36">
      <x:c r="C36" t="str">
        <x:v>合约对匹配容量</x:v>
      </x:c>
    </x:row>
  </x:sheetData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6" topLeftCell="A7" activePane="bottomLeft" state="frozen"/>
    </ns0:sheetView>
  </ns0:sheetViews>
  <ns0:sheetFormatPr defaultRowHeight="15"/>
  <ns0:cols>
    <ns0:col min="1" max="1" width="17" hidden="0" customWidth="1"/>
    <ns0:col min="2" max="2" width="32" hidden="0" customWidth="1"/>
    <ns0:col min="3" max="3" width="35" hidden="0" customWidth="1"/>
    <ns0:col min="4" max="4" width="52" hidden="0" customWidth="1"/>
    <ns0:col min="5" max="5" width="44" hidden="0" customWidth="1"/>
    <ns0:col min="6" max="6" width="58" hidden="0" customWidth="1"/>
    <ns0:col min="7" max="7" width="65" hidden="0" customWidth="1"/>
    <ns0:col min="8" max="8" width="24" hidden="0" customWidth="1"/>
    <ns0:col min="9" max="9" width="23" hidden="0" customWidth="1"/>
    <ns0:col min="10" max="10" width="4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</ns0:row>
    <ns0:row r="2" ht="22" customHeight="1">
      <ns0:c r="A2" s="3" t="str">
        <ns0:v>全部指标与独立输入口径</ns0:v>
      </ns0:c>
      <ns0:c r="B2" s="2"/>
      <ns0:c r="C2" s="2"/>
      <ns0:c r="D2" s="2"/>
      <ns0:c r="E2" s="2"/>
      <ns0:c r="F2" s="2"/>
      <ns0:c r="G2" s="2"/>
      <ns0:c r="H2" s="2"/>
      <ns0:c r="I2" s="2"/>
      <ns0:c r="J2" s="2"/>
    </ns0:row>
    <ns0:row r="3" ht="22" customHeight="1">
      <ns0:c r="A3" s="4" t="str">
        <ns0:v>返回期现</ns0:v>
      </ns0:c>
      <ns0:c r="B3" s="4"/>
      <ns0:c r="C3" s="4" t="str">
        <ns0:v>返回同品种跨期</ns0:v>
      </ns0:c>
      <ns0:c r="D3" s="4"/>
      <ns0:c r="E3" s="4" t="str">
        <ns0:v>返回跨品种</ns0:v>
      </ns0:c>
      <ns0:c r="F3" s="4"/>
      <ns0:c r="G3" s="2"/>
      <ns0:c r="H3" s="2"/>
      <ns0:c r="I3" s="2"/>
      <ns0:c r="J3" s="2"/>
    </ns0:row>
    <ns0:row r="4" ht="22" customHeight="1">
      <ns0:c r="A4" s="2" t="str">
        <ns0:v>可用 Excel 筛选查找；返回研究页选择中文指标与输入。技术 ID 可粘贴到指标格，自动迁移。</ns0:v>
      </ns0:c>
      <ns0:c r="B4" s="2"/>
      <ns0:c r="C4" s="2"/>
      <ns0:c r="D4" s="2"/>
      <ns0:c r="E4" s="2"/>
      <ns0:c r="F4" s="2"/>
      <ns0:c r="G4" s="2"/>
      <ns0:c r="H4" s="2"/>
      <ns0:c r="I4" s="2"/>
      <ns0:c r="J4" s="2"/>
    </ns0:row>
    <ns0:row r="5" ht="22" customHeight="1">
      <ns0:c r="A5" s="2"/>
      <ns0:c r="B5" s="2"/>
      <ns0:c r="C5" s="2"/>
      <ns0:c r="D5" s="2"/>
      <ns0:c r="E5" s="2"/>
      <ns0:c r="F5" s="2"/>
      <ns0:c r="G5" s="2"/>
      <ns0:c r="H5" s="2"/>
      <ns0:c r="I5" s="2"/>
      <ns0:c r="J5" s="2"/>
    </ns0:row>
    <ns0:row r="6" ht="22" customHeight="1">
      <ns0:c r="A6" s="2" t="str">
        <ns0:v>类别</ns0:v>
      </ns0:c>
      <ns0:c r="B6" s="2" t="str">
        <ns0:v>指标</ns0:v>
      </ns0:c>
      <ns0:c r="C6" s="2" t="str">
        <ns0:v>输入口径</ns0:v>
      </ns0:c>
      <ns0:c r="D6" s="2" t="str">
        <ns0:v>双腿构造</ns0:v>
      </ns0:c>
      <ns0:c r="E6" s="2" t="str">
        <ns0:v>方向与单位</ns0:v>
      </ns0:c>
      <ns0:c r="F6" s="2" t="str">
        <ns0:v>指标意义</ns0:v>
      </ns0:c>
      <ns0:c r="G6" s="2" t="str">
        <ns0:v>使用限制</ns0:v>
      </ns0:c>
      <ns0:c r="H6" s="2" t="str">
        <ns0:v>公式版本</ns0:v>
      </ns0:c>
      <ns0:c r="I6" s="2" t="str">
        <ns0:v>指标族 ID</ns0:v>
      </ns0:c>
      <ns0:c r="J6" s="2" t="str">
        <ns0:v>独立变体 ID</ns0:v>
      </ns0:c>
    </ns0:row>
    <ns0:row r="7" ht="15" hidden="0" customHeight="1">
      <ns0:c r="A7" s="9" t="str">
        <ns0:v>期现</ns0:v>
      </ns0:c>
      <ns0:c r="B7" s="9" t="str">
        <ns0:v>分红调整点基差</ns0:v>
      </ns0:c>
      <ns0:c r="C7" s="9" t="str">
        <ns0:v>固定口径（不随 X 改变）</ns0:v>
      </ns0:c>
      <ns0:c r="D7" s="9" t="str"/>
      <ns0:c r="E7" s="9" t="str"/>
      <ns0:c r="F7" s="9" t="str"/>
      <ns0:c r="G7" s="9" t="str"/>
      <ns0:c r="H7" s="9" t="str">
        <ns0:v>nonregression-v2</ns0:v>
      </ns0:c>
      <ns0:c r="I7" s="9" t="str">
        <ns0:v>A01.points</ns0:v>
      </ns0:c>
      <ns0:c r="J7" s="9" t="str">
        <ns0:v>A01.points::fixed::v1</ns0:v>
      </ns0:c>
    </ns0:row>
    <ns0:row r="8" ht="15" hidden="0" customHeight="1">
      <ns0:c r="A8" s="9" t="str">
        <ns0:v>期现</ns0:v>
      </ns0:c>
      <ns0:c r="B8" s="9" t="str">
        <ns0:v>分红调整普通基差</ns0:v>
      </ns0:c>
      <ns0:c r="C8" s="9" t="str">
        <ns0:v>固定口径（不随 X 改变）</ns0:v>
      </ns0:c>
      <ns0:c r="D8" s="9" t="str"/>
      <ns0:c r="E8" s="9" t="str"/>
      <ns0:c r="F8" s="9" t="str"/>
      <ns0:c r="G8" s="9" t="str"/>
      <ns0:c r="H8" s="9" t="str">
        <ns0:v>nonregression-v2</ns0:v>
      </ns0:c>
      <ns0:c r="I8" s="9" t="str">
        <ns0:v>A01.bp</ns0:v>
      </ns0:c>
      <ns0:c r="J8" s="9" t="str">
        <ns0:v>A01.bp::fixed::v1</ns0:v>
      </ns0:c>
    </ns0:row>
    <ns0:row r="9" ht="15" hidden="0" customHeight="1">
      <ns0:c r="A9" s="9" t="str">
        <ns0:v>期现</ns0:v>
      </ns0:c>
      <ns0:c r="B9" s="9" t="str">
        <ns0:v>未调整点基差</ns0:v>
      </ns0:c>
      <ns0:c r="C9" s="9" t="str">
        <ns0:v>固定口径（不随 X 改变）</ns0:v>
      </ns0:c>
      <ns0:c r="D9" s="9" t="str"/>
      <ns0:c r="E9" s="9" t="str"/>
      <ns0:c r="F9" s="9" t="str"/>
      <ns0:c r="G9" s="9" t="str"/>
      <ns0:c r="H9" s="9" t="str">
        <ns0:v>nonregression-v2</ns0:v>
      </ns0:c>
      <ns0:c r="I9" s="9" t="str">
        <ns0:v>A01.raw_points</ns0:v>
      </ns0:c>
      <ns0:c r="J9" s="9" t="str">
        <ns0:v>A01.raw_points::fixed::v1</ns0:v>
      </ns0:c>
    </ns0:row>
    <ns0:row r="10" ht="15" hidden="0" customHeight="1">
      <ns0:c r="A10" s="9" t="str">
        <ns0:v>期现</ns0:v>
      </ns0:c>
      <ns0:c r="B10" s="9" t="str">
        <ns0:v>未调整普通基差</ns0:v>
      </ns0:c>
      <ns0:c r="C10" s="9" t="str">
        <ns0:v>固定口径（不随 X 改变）</ns0:v>
      </ns0:c>
      <ns0:c r="D10" s="9" t="str"/>
      <ns0:c r="E10" s="9" t="str"/>
      <ns0:c r="F10" s="9" t="str"/>
      <ns0:c r="G10" s="9" t="str"/>
      <ns0:c r="H10" s="9" t="str">
        <ns0:v>nonregression-v2</ns0:v>
      </ns0:c>
      <ns0:c r="I10" s="9" t="str">
        <ns0:v>A01.raw_bp</ns0:v>
      </ns0:c>
      <ns0:c r="J10" s="9" t="str">
        <ns0:v>A01.raw_bp::fixed::v1</ns0:v>
      </ns0:c>
    </ns0:row>
    <ns0:row r="11" ht="15" hidden="0" customHeight="1">
      <ns0:c r="A11" s="9" t="str">
        <ns0:v>期现</ns0:v>
      </ns0:c>
      <ns0:c r="B11" s="9" t="str">
        <ns0:v>未调整对数基差</ns0:v>
      </ns0:c>
      <ns0:c r="C11" s="9" t="str">
        <ns0:v>固定口径（不随 X 改变）</ns0:v>
      </ns0:c>
      <ns0:c r="D11" s="9" t="str"/>
      <ns0:c r="E11" s="9" t="str"/>
      <ns0:c r="F11" s="9" t="str"/>
      <ns0:c r="G11" s="9" t="str"/>
      <ns0:c r="H11" s="9" t="str">
        <ns0:v>nonregression-v2</ns0:v>
      </ns0:c>
      <ns0:c r="I11" s="9" t="str">
        <ns0:v>A01.log_bp</ns0:v>
      </ns0:c>
      <ns0:c r="J11" s="9" t="str">
        <ns0:v>A01.log_bp::fixed::v1</ns0:v>
      </ns0:c>
    </ns0:row>
    <ns0:row r="12" ht="15" hidden="0" customHeight="1">
      <ns0:c r="A12" s="9" t="str">
        <ns0:v>期现</ns0:v>
      </ns0:c>
      <ns0:c r="B12" s="9" t="str">
        <ns0:v>分红调整简单年化</ns0:v>
      </ns0:c>
      <ns0:c r="C12" s="9" t="str">
        <ns0:v>固定口径（不随 X 改变）</ns0:v>
      </ns0:c>
      <ns0:c r="D12" s="9" t="str"/>
      <ns0:c r="E12" s="9" t="str"/>
      <ns0:c r="F12" s="9" t="str"/>
      <ns0:c r="G12" s="9" t="str"/>
      <ns0:c r="H12" s="9" t="str">
        <ns0:v>nonregression-v2</ns0:v>
      </ns0:c>
      <ns0:c r="I12" s="9" t="str">
        <ns0:v>A02.annual</ns0:v>
      </ns0:c>
      <ns0:c r="J12" s="9" t="str">
        <ns0:v>A02.annual::fixed::v1</ns0:v>
      </ns0:c>
    </ns0:row>
    <ns0:row r="13" ht="15" hidden="0" customHeight="1">
      <ns0:c r="A13" s="9" t="str">
        <ns0:v>期现</ns0:v>
      </ns0:c>
      <ns0:c r="B13" s="9" t="str">
        <ns0:v>未调整简单年化</ns0:v>
      </ns0:c>
      <ns0:c r="C13" s="9" t="str">
        <ns0:v>固定口径（不随 X 改变）</ns0:v>
      </ns0:c>
      <ns0:c r="D13" s="9" t="str"/>
      <ns0:c r="E13" s="9" t="str"/>
      <ns0:c r="F13" s="9" t="str"/>
      <ns0:c r="G13" s="9" t="str"/>
      <ns0:c r="H13" s="9" t="str">
        <ns0:v>nonregression-v2</ns0:v>
      </ns0:c>
      <ns0:c r="I13" s="9" t="str">
        <ns0:v>A02.raw_annual</ns0:v>
      </ns0:c>
      <ns0:c r="J13" s="9" t="str">
        <ns0:v>A02.raw_annual::fixed::v1</ns0:v>
      </ns0:c>
    </ns0:row>
    <ns0:row r="14" ht="15" hidden="0" customHeight="1">
      <ns0:c r="A14" s="9" t="str">
        <ns0:v>期现</ns0:v>
      </ns0:c>
      <ns0:c r="B14" s="9" t="str">
        <ns0:v>未调整对数年化</ns0:v>
      </ns0:c>
      <ns0:c r="C14" s="9" t="str">
        <ns0:v>固定口径（不随 X 改变）</ns0:v>
      </ns0:c>
      <ns0:c r="D14" s="9" t="str"/>
      <ns0:c r="E14" s="9" t="str"/>
      <ns0:c r="F14" s="9" t="str"/>
      <ns0:c r="G14" s="9" t="str"/>
      <ns0:c r="H14" s="9" t="str">
        <ns0:v>nonregression-v2</ns0:v>
      </ns0:c>
      <ns0:c r="I14" s="9" t="str">
        <ns0:v>A02.log_annual</ns0:v>
      </ns0:c>
      <ns0:c r="J14" s="9" t="str">
        <ns0:v>A02.log_annual::fixed::v1</ns0:v>
      </ns0:c>
    </ns0:row>
    <ns0:row r="15" ht="15" hidden="0" customHeight="1">
      <ns0:c r="A15" s="9" t="str">
        <ns0:v>期现</ns0:v>
      </ns0:c>
      <ns0:c r="B15" s="9" t="str">
        <ns0:v>调整基差每日收敛量级</ns0:v>
      </ns0:c>
      <ns0:c r="C15" s="9" t="str">
        <ns0:v>固定口径（不随 X 改变）</ns0:v>
      </ns0:c>
      <ns0:c r="D15" s="9" t="str"/>
      <ns0:c r="E15" s="9" t="str"/>
      <ns0:c r="F15" s="9" t="str"/>
      <ns0:c r="G15" s="9" t="str"/>
      <ns0:c r="H15" s="9" t="str">
        <ns0:v>nonregression-v2</ns0:v>
      </ns0:c>
      <ns0:c r="I15" s="9" t="str">
        <ns0:v>A02.convergence</ns0:v>
      </ns0:c>
      <ns0:c r="J15" s="9" t="str">
        <ns0:v>A02.convergence::fixed::v1</ns0:v>
      </ns0:c>
    </ns0:row>
    <ns0:row r="16" ht="15" hidden="0" customHeight="1">
      <ns0:c r="A16" s="9" t="str">
        <ns0:v>期现</ns0:v>
      </ns0:c>
      <ns0:c r="B16" s="9" t="str">
        <ns0:v>对数基差每日收敛量级</ns0:v>
      </ns0:c>
      <ns0:c r="C16" s="9" t="str">
        <ns0:v>固定口径（不随 X 改变）</ns0:v>
      </ns0:c>
      <ns0:c r="D16" s="9" t="str"/>
      <ns0:c r="E16" s="9" t="str"/>
      <ns0:c r="F16" s="9" t="str"/>
      <ns0:c r="G16" s="9" t="str"/>
      <ns0:c r="H16" s="9" t="str">
        <ns0:v>nonregression-v2</ns0:v>
      </ns0:c>
      <ns0:c r="I16" s="9" t="str">
        <ns0:v>A02.log_convergence</ns0:v>
      </ns0:c>
      <ns0:c r="J16" s="9" t="str">
        <ns0:v>A02.log_convergence::fixed::v1</ns0:v>
      </ns0:c>
    </ns0:row>
    <ns0:row r="17" ht="15" hidden="0" customHeight="1">
      <ns0:c r="A17" s="9" t="str">
        <ns0:v>期现</ns0:v>
      </ns0:c>
      <ns0:c r="B17" s="9" t="str">
        <ns0:v>前20期均值</ns0:v>
      </ns0:c>
      <ns0:c r="C17" s="9" t="str">
        <ns0:v>期货收盘价 close</ns0:v>
      </ns0:c>
      <ns0:c r="D17" s="9" t="str"/>
      <ns0:c r="E17" s="9" t="str"/>
      <ns0:c r="F17" s="9" t="str"/>
      <ns0:c r="G17" s="9" t="str"/>
      <ns0:c r="H17" s="9" t="str">
        <ns0:v>nonregression-v2</ns0:v>
      </ns0:c>
      <ns0:c r="I17" s="9" t="str">
        <ns0:v>A03.mean</ns0:v>
      </ns0:c>
      <ns0:c r="J17" s="9" t="str">
        <ns0:v>A03.mean::future::v1</ns0:v>
      </ns0:c>
    </ns0:row>
    <ns0:row r="18" ht="15" hidden="0" customHeight="1">
      <ns0:c r="A18" s="9" t="str">
        <ns0:v>期现</ns0:v>
      </ns0:c>
      <ns0:c r="B18" s="9" t="str">
        <ns0:v>前20期均值</ns0:v>
      </ns0:c>
      <ns0:c r="C18" s="9" t="str">
        <ns0:v>分红调整基差（bp）</ns0:v>
      </ns0:c>
      <ns0:c r="D18" s="9" t="str"/>
      <ns0:c r="E18" s="9" t="str"/>
      <ns0:c r="F18" s="9" t="str"/>
      <ns0:c r="G18" s="9" t="str"/>
      <ns0:c r="H18" s="9" t="str">
        <ns0:v>nonregression-v2</ns0:v>
      </ns0:c>
      <ns0:c r="I18" s="9" t="str">
        <ns0:v>A03.mean</ns0:v>
      </ns0:c>
      <ns0:c r="J18" s="9" t="str">
        <ns0:v>A03.mean::basis::v1</ns0:v>
      </ns0:c>
    </ns0:row>
    <ns0:row r="19" ht="15" hidden="0" customHeight="1">
      <ns0:c r="A19" s="9" t="str">
        <ns0:v>期现</ns0:v>
      </ns0:c>
      <ns0:c r="B19" s="9" t="str">
        <ns0:v>前20期均值</ns0:v>
      </ns0:c>
      <ns0:c r="C19" s="9" t="str">
        <ns0:v>分红调整基差年化</ns0:v>
      </ns0:c>
      <ns0:c r="D19" s="9" t="str"/>
      <ns0:c r="E19" s="9" t="str"/>
      <ns0:c r="F19" s="9" t="str"/>
      <ns0:c r="G19" s="9" t="str"/>
      <ns0:c r="H19" s="9" t="str">
        <ns0:v>nonregression-v2</ns0:v>
      </ns0:c>
      <ns0:c r="I19" s="9" t="str">
        <ns0:v>A03.mean</ns0:v>
      </ns0:c>
      <ns0:c r="J19" s="9" t="str">
        <ns0:v>A03.mean::annual::v1</ns0:v>
      </ns0:c>
    </ns0:row>
    <ns0:row r="20" ht="15" hidden="0" customHeight="1">
      <ns0:c r="A20" s="9" t="str">
        <ns0:v>期现</ns0:v>
      </ns0:c>
      <ns0:c r="B20" s="9" t="str">
        <ns0:v>前20期均值</ns0:v>
      </ns0:c>
      <ns0:c r="C20" s="9" t="str">
        <ns0:v>未调整普通基差（bp）</ns0:v>
      </ns0:c>
      <ns0:c r="D20" s="9" t="str"/>
      <ns0:c r="E20" s="9" t="str"/>
      <ns0:c r="F20" s="9" t="str"/>
      <ns0:c r="G20" s="9" t="str"/>
      <ns0:c r="H20" s="9" t="str">
        <ns0:v>nonregression-v2</ns0:v>
      </ns0:c>
      <ns0:c r="I20" s="9" t="str">
        <ns0:v>A03.mean</ns0:v>
      </ns0:c>
      <ns0:c r="J20" s="9" t="str">
        <ns0:v>A03.mean::raw_basis::v1</ns0:v>
      </ns0:c>
    </ns0:row>
    <ns0:row r="21" ht="15" hidden="0" customHeight="1">
      <ns0:c r="A21" s="9" t="str">
        <ns0:v>期现</ns0:v>
      </ns0:c>
      <ns0:c r="B21" s="9" t="str">
        <ns0:v>前20期均值</ns0:v>
      </ns0:c>
      <ns0:c r="C21" s="9" t="str">
        <ns0:v>未调整对数基差（bp）</ns0:v>
      </ns0:c>
      <ns0:c r="D21" s="9" t="str"/>
      <ns0:c r="E21" s="9" t="str"/>
      <ns0:c r="F21" s="9" t="str"/>
      <ns0:c r="G21" s="9" t="str"/>
      <ns0:c r="H21" s="9" t="str">
        <ns0:v>nonregression-v2</ns0:v>
      </ns0:c>
      <ns0:c r="I21" s="9" t="str">
        <ns0:v>A03.mean</ns0:v>
      </ns0:c>
      <ns0:c r="J21" s="9" t="str">
        <ns0:v>A03.mean::log_basis::v1</ns0:v>
      </ns0:c>
    </ns0:row>
    <ns0:row r="22" ht="15" hidden="0" customHeight="1">
      <ns0:c r="A22" s="9" t="str">
        <ns0:v>期现</ns0:v>
      </ns0:c>
      <ns0:c r="B22" s="9" t="str">
        <ns0:v>前20期均值</ns0:v>
      </ns0:c>
      <ns0:c r="C22" s="9" t="str">
        <ns0:v>未调整简单年化</ns0:v>
      </ns0:c>
      <ns0:c r="D22" s="9" t="str"/>
      <ns0:c r="E22" s="9" t="str"/>
      <ns0:c r="F22" s="9" t="str"/>
      <ns0:c r="G22" s="9" t="str"/>
      <ns0:c r="H22" s="9" t="str">
        <ns0:v>nonregression-v2</ns0:v>
      </ns0:c>
      <ns0:c r="I22" s="9" t="str">
        <ns0:v>A03.mean</ns0:v>
      </ns0:c>
      <ns0:c r="J22" s="9" t="str">
        <ns0:v>A03.mean::raw_annual::v1</ns0:v>
      </ns0:c>
    </ns0:row>
    <ns0:row r="23" ht="15" hidden="0" customHeight="1">
      <ns0:c r="A23" s="9" t="str">
        <ns0:v>期现</ns0:v>
      </ns0:c>
      <ns0:c r="B23" s="9" t="str">
        <ns0:v>前20期均值</ns0:v>
      </ns0:c>
      <ns0:c r="C23" s="9" t="str">
        <ns0:v>未调整对数年化</ns0:v>
      </ns0:c>
      <ns0:c r="D23" s="9" t="str"/>
      <ns0:c r="E23" s="9" t="str"/>
      <ns0:c r="F23" s="9" t="str"/>
      <ns0:c r="G23" s="9" t="str"/>
      <ns0:c r="H23" s="9" t="str">
        <ns0:v>nonregression-v2</ns0:v>
      </ns0:c>
      <ns0:c r="I23" s="9" t="str">
        <ns0:v>A03.mean</ns0:v>
      </ns0:c>
      <ns0:c r="J23" s="9" t="str">
        <ns0:v>A03.mean::log_annual::v1</ns0:v>
      </ns0:c>
    </ns0:row>
    <ns0:row r="24" ht="15" hidden="0" customHeight="1">
      <ns0:c r="A24" s="9" t="str">
        <ns0:v>期现</ns0:v>
      </ns0:c>
      <ns0:c r="B24" s="9" t="str">
        <ns0:v>前20期样本标准差</ns0:v>
      </ns0:c>
      <ns0:c r="C24" s="9" t="str">
        <ns0:v>期货收盘价 close</ns0:v>
      </ns0:c>
      <ns0:c r="D24" s="9" t="str"/>
      <ns0:c r="E24" s="9" t="str"/>
      <ns0:c r="F24" s="9" t="str"/>
      <ns0:c r="G24" s="9" t="str"/>
      <ns0:c r="H24" s="9" t="str">
        <ns0:v>nonregression-v2</ns0:v>
      </ns0:c>
      <ns0:c r="I24" s="9" t="str">
        <ns0:v>A03.std</ns0:v>
      </ns0:c>
      <ns0:c r="J24" s="9" t="str">
        <ns0:v>A03.std::future::v1</ns0:v>
      </ns0:c>
    </ns0:row>
    <ns0:row r="25" ht="15" hidden="0" customHeight="1">
      <ns0:c r="A25" s="9" t="str">
        <ns0:v>期现</ns0:v>
      </ns0:c>
      <ns0:c r="B25" s="9" t="str">
        <ns0:v>前20期样本标准差</ns0:v>
      </ns0:c>
      <ns0:c r="C25" s="9" t="str">
        <ns0:v>分红调整基差（bp）</ns0:v>
      </ns0:c>
      <ns0:c r="D25" s="9" t="str"/>
      <ns0:c r="E25" s="9" t="str"/>
      <ns0:c r="F25" s="9" t="str"/>
      <ns0:c r="G25" s="9" t="str"/>
      <ns0:c r="H25" s="9" t="str">
        <ns0:v>nonregression-v2</ns0:v>
      </ns0:c>
      <ns0:c r="I25" s="9" t="str">
        <ns0:v>A03.std</ns0:v>
      </ns0:c>
      <ns0:c r="J25" s="9" t="str">
        <ns0:v>A03.std::basis::v1</ns0:v>
      </ns0:c>
    </ns0:row>
    <ns0:row r="26" ht="15" hidden="0" customHeight="1">
      <ns0:c r="A26" s="9" t="str">
        <ns0:v>期现</ns0:v>
      </ns0:c>
      <ns0:c r="B26" s="9" t="str">
        <ns0:v>前20期样本标准差</ns0:v>
      </ns0:c>
      <ns0:c r="C26" s="9" t="str">
        <ns0:v>分红调整基差年化</ns0:v>
      </ns0:c>
      <ns0:c r="D26" s="9" t="str"/>
      <ns0:c r="E26" s="9" t="str"/>
      <ns0:c r="F26" s="9" t="str"/>
      <ns0:c r="G26" s="9" t="str"/>
      <ns0:c r="H26" s="9" t="str">
        <ns0:v>nonregression-v2</ns0:v>
      </ns0:c>
      <ns0:c r="I26" s="9" t="str">
        <ns0:v>A03.std</ns0:v>
      </ns0:c>
      <ns0:c r="J26" s="9" t="str">
        <ns0:v>A03.std::annual::v1</ns0:v>
      </ns0:c>
    </ns0:row>
    <ns0:row r="27" ht="15" hidden="0" customHeight="1">
      <ns0:c r="A27" s="9" t="str">
        <ns0:v>期现</ns0:v>
      </ns0:c>
      <ns0:c r="B27" s="9" t="str">
        <ns0:v>前20期样本标准差</ns0:v>
      </ns0:c>
      <ns0:c r="C27" s="9" t="str">
        <ns0:v>未调整普通基差（bp）</ns0:v>
      </ns0:c>
      <ns0:c r="D27" s="9" t="str"/>
      <ns0:c r="E27" s="9" t="str"/>
      <ns0:c r="F27" s="9" t="str"/>
      <ns0:c r="G27" s="9" t="str"/>
      <ns0:c r="H27" s="9" t="str">
        <ns0:v>nonregression-v2</ns0:v>
      </ns0:c>
      <ns0:c r="I27" s="9" t="str">
        <ns0:v>A03.std</ns0:v>
      </ns0:c>
      <ns0:c r="J27" s="9" t="str">
        <ns0:v>A03.std::raw_basis::v1</ns0:v>
      </ns0:c>
    </ns0:row>
    <ns0:row r="28" ht="15" hidden="0" customHeight="1">
      <ns0:c r="A28" s="9" t="str">
        <ns0:v>期现</ns0:v>
      </ns0:c>
      <ns0:c r="B28" s="9" t="str">
        <ns0:v>前20期样本标准差</ns0:v>
      </ns0:c>
      <ns0:c r="C28" s="9" t="str">
        <ns0:v>未调整对数基差（bp）</ns0:v>
      </ns0:c>
      <ns0:c r="D28" s="9" t="str"/>
      <ns0:c r="E28" s="9" t="str"/>
      <ns0:c r="F28" s="9" t="str"/>
      <ns0:c r="G28" s="9" t="str"/>
      <ns0:c r="H28" s="9" t="str">
        <ns0:v>nonregression-v2</ns0:v>
      </ns0:c>
      <ns0:c r="I28" s="9" t="str">
        <ns0:v>A03.std</ns0:v>
      </ns0:c>
      <ns0:c r="J28" s="9" t="str">
        <ns0:v>A03.std::log_basis::v1</ns0:v>
      </ns0:c>
    </ns0:row>
    <ns0:row r="29" ht="15" hidden="0" customHeight="1">
      <ns0:c r="A29" s="9" t="str">
        <ns0:v>期现</ns0:v>
      </ns0:c>
      <ns0:c r="B29" s="9" t="str">
        <ns0:v>前20期样本标准差</ns0:v>
      </ns0:c>
      <ns0:c r="C29" s="9" t="str">
        <ns0:v>未调整简单年化</ns0:v>
      </ns0:c>
      <ns0:c r="D29" s="9" t="str"/>
      <ns0:c r="E29" s="9" t="str"/>
      <ns0:c r="F29" s="9" t="str"/>
      <ns0:c r="G29" s="9" t="str"/>
      <ns0:c r="H29" s="9" t="str">
        <ns0:v>nonregression-v2</ns0:v>
      </ns0:c>
      <ns0:c r="I29" s="9" t="str">
        <ns0:v>A03.std</ns0:v>
      </ns0:c>
      <ns0:c r="J29" s="9" t="str">
        <ns0:v>A03.std::raw_annual::v1</ns0:v>
      </ns0:c>
    </ns0:row>
    <ns0:row r="30" ht="15" hidden="0" customHeight="1">
      <ns0:c r="A30" s="9" t="str">
        <ns0:v>期现</ns0:v>
      </ns0:c>
      <ns0:c r="B30" s="9" t="str">
        <ns0:v>前20期样本标准差</ns0:v>
      </ns0:c>
      <ns0:c r="C30" s="9" t="str">
        <ns0:v>未调整对数年化</ns0:v>
      </ns0:c>
      <ns0:c r="D30" s="9" t="str"/>
      <ns0:c r="E30" s="9" t="str"/>
      <ns0:c r="F30" s="9" t="str"/>
      <ns0:c r="G30" s="9" t="str"/>
      <ns0:c r="H30" s="9" t="str">
        <ns0:v>nonregression-v2</ns0:v>
      </ns0:c>
      <ns0:c r="I30" s="9" t="str">
        <ns0:v>A03.std</ns0:v>
      </ns0:c>
      <ns0:c r="J30" s="9" t="str">
        <ns0:v>A03.std::log_annual::v1</ns0:v>
      </ns0:c>
    </ns0:row>
    <ns0:row r="31" ht="15" hidden="0" customHeight="1">
      <ns0:c r="A31" s="9" t="str">
        <ns0:v>期现</ns0:v>
      </ns0:c>
      <ns0:c r="B31" s="9" t="str">
        <ns0:v>历史 Z</ns0:v>
      </ns0:c>
      <ns0:c r="C31" s="9" t="str">
        <ns0:v>期货收盘价 close</ns0:v>
      </ns0:c>
      <ns0:c r="D31" s="9" t="str"/>
      <ns0:c r="E31" s="9" t="str"/>
      <ns0:c r="F31" s="9" t="str"/>
      <ns0:c r="G31" s="9" t="str"/>
      <ns0:c r="H31" s="9" t="str">
        <ns0:v>nonregression-v2</ns0:v>
      </ns0:c>
      <ns0:c r="I31" s="9" t="str">
        <ns0:v>A03.z</ns0:v>
      </ns0:c>
      <ns0:c r="J31" s="9" t="str">
        <ns0:v>A03.z::future::v1</ns0:v>
      </ns0:c>
    </ns0:row>
    <ns0:row r="32" ht="15" hidden="0" customHeight="1">
      <ns0:c r="A32" s="9" t="str">
        <ns0:v>期现</ns0:v>
      </ns0:c>
      <ns0:c r="B32" s="9" t="str">
        <ns0:v>历史 Z</ns0:v>
      </ns0:c>
      <ns0:c r="C32" s="9" t="str">
        <ns0:v>分红调整基差（bp）</ns0:v>
      </ns0:c>
      <ns0:c r="D32" s="9" t="str"/>
      <ns0:c r="E32" s="9" t="str"/>
      <ns0:c r="F32" s="9" t="str"/>
      <ns0:c r="G32" s="9" t="str"/>
      <ns0:c r="H32" s="9" t="str">
        <ns0:v>nonregression-v2</ns0:v>
      </ns0:c>
      <ns0:c r="I32" s="9" t="str">
        <ns0:v>A03.z</ns0:v>
      </ns0:c>
      <ns0:c r="J32" s="9" t="str">
        <ns0:v>A03.z::basis::v1</ns0:v>
      </ns0:c>
    </ns0:row>
    <ns0:row r="33" ht="15" hidden="0" customHeight="1">
      <ns0:c r="A33" s="9" t="str">
        <ns0:v>期现</ns0:v>
      </ns0:c>
      <ns0:c r="B33" s="9" t="str">
        <ns0:v>历史 Z</ns0:v>
      </ns0:c>
      <ns0:c r="C33" s="9" t="str">
        <ns0:v>分红调整基差年化</ns0:v>
      </ns0:c>
      <ns0:c r="D33" s="9" t="str"/>
      <ns0:c r="E33" s="9" t="str"/>
      <ns0:c r="F33" s="9" t="str"/>
      <ns0:c r="G33" s="9" t="str"/>
      <ns0:c r="H33" s="9" t="str">
        <ns0:v>nonregression-v2</ns0:v>
      </ns0:c>
      <ns0:c r="I33" s="9" t="str">
        <ns0:v>A03.z</ns0:v>
      </ns0:c>
      <ns0:c r="J33" s="9" t="str">
        <ns0:v>A03.z::annual::v1</ns0:v>
      </ns0:c>
    </ns0:row>
    <ns0:row r="34" ht="15" hidden="0" customHeight="1">
      <ns0:c r="A34" s="9" t="str">
        <ns0:v>期现</ns0:v>
      </ns0:c>
      <ns0:c r="B34" s="9" t="str">
        <ns0:v>历史 Z</ns0:v>
      </ns0:c>
      <ns0:c r="C34" s="9" t="str">
        <ns0:v>未调整普通基差（bp）</ns0:v>
      </ns0:c>
      <ns0:c r="D34" s="9" t="str"/>
      <ns0:c r="E34" s="9" t="str"/>
      <ns0:c r="F34" s="9" t="str"/>
      <ns0:c r="G34" s="9" t="str"/>
      <ns0:c r="H34" s="9" t="str">
        <ns0:v>nonregression-v2</ns0:v>
      </ns0:c>
      <ns0:c r="I34" s="9" t="str">
        <ns0:v>A03.z</ns0:v>
      </ns0:c>
      <ns0:c r="J34" s="9" t="str">
        <ns0:v>A03.z::raw_basis::v1</ns0:v>
      </ns0:c>
    </ns0:row>
    <ns0:row r="35" ht="15" hidden="0" customHeight="1">
      <ns0:c r="A35" s="9" t="str">
        <ns0:v>期现</ns0:v>
      </ns0:c>
      <ns0:c r="B35" s="9" t="str">
        <ns0:v>历史 Z</ns0:v>
      </ns0:c>
      <ns0:c r="C35" s="9" t="str">
        <ns0:v>未调整对数基差（bp）</ns0:v>
      </ns0:c>
      <ns0:c r="D35" s="9" t="str"/>
      <ns0:c r="E35" s="9" t="str"/>
      <ns0:c r="F35" s="9" t="str"/>
      <ns0:c r="G35" s="9" t="str"/>
      <ns0:c r="H35" s="9" t="str">
        <ns0:v>nonregression-v2</ns0:v>
      </ns0:c>
      <ns0:c r="I35" s="9" t="str">
        <ns0:v>A03.z</ns0:v>
      </ns0:c>
      <ns0:c r="J35" s="9" t="str">
        <ns0:v>A03.z::log_basis::v1</ns0:v>
      </ns0:c>
    </ns0:row>
    <ns0:row r="36" ht="15" hidden="0" customHeight="1">
      <ns0:c r="A36" s="9" t="str">
        <ns0:v>期现</ns0:v>
      </ns0:c>
      <ns0:c r="B36" s="9" t="str">
        <ns0:v>历史 Z</ns0:v>
      </ns0:c>
      <ns0:c r="C36" s="9" t="str">
        <ns0:v>未调整简单年化</ns0:v>
      </ns0:c>
      <ns0:c r="D36" s="9" t="str"/>
      <ns0:c r="E36" s="9" t="str"/>
      <ns0:c r="F36" s="9" t="str"/>
      <ns0:c r="G36" s="9" t="str"/>
      <ns0:c r="H36" s="9" t="str">
        <ns0:v>nonregression-v2</ns0:v>
      </ns0:c>
      <ns0:c r="I36" s="9" t="str">
        <ns0:v>A03.z</ns0:v>
      </ns0:c>
      <ns0:c r="J36" s="9" t="str">
        <ns0:v>A03.z::raw_annual::v1</ns0:v>
      </ns0:c>
    </ns0:row>
    <ns0:row r="37" ht="15" hidden="0" customHeight="1">
      <ns0:c r="A37" s="9" t="str">
        <ns0:v>期现</ns0:v>
      </ns0:c>
      <ns0:c r="B37" s="9" t="str">
        <ns0:v>历史 Z</ns0:v>
      </ns0:c>
      <ns0:c r="C37" s="9" t="str">
        <ns0:v>未调整对数年化</ns0:v>
      </ns0:c>
      <ns0:c r="D37" s="9" t="str"/>
      <ns0:c r="E37" s="9" t="str"/>
      <ns0:c r="F37" s="9" t="str"/>
      <ns0:c r="G37" s="9" t="str"/>
      <ns0:c r="H37" s="9" t="str">
        <ns0:v>nonregression-v2</ns0:v>
      </ns0:c>
      <ns0:c r="I37" s="9" t="str">
        <ns0:v>A03.z</ns0:v>
      </ns0:c>
      <ns0:c r="J37" s="9" t="str">
        <ns0:v>A03.z::log_annual::v1</ns0:v>
      </ns0:c>
    </ns0:row>
    <ns0:row r="38" ht="15" hidden="0" customHeight="1">
      <ns0:c r="A38" s="9" t="str">
        <ns0:v>期现</ns0:v>
      </ns0:c>
      <ns0:c r="B38" s="9" t="str">
        <ns0:v>固定合约半权分位</ns0:v>
      </ns0:c>
      <ns0:c r="C38" s="9" t="str">
        <ns0:v>期货收盘价 close</ns0:v>
      </ns0:c>
      <ns0:c r="D38" s="9" t="str"/>
      <ns0:c r="E38" s="9" t="str"/>
      <ns0:c r="F38" s="9" t="str"/>
      <ns0:c r="G38" s="9" t="str"/>
      <ns0:c r="H38" s="9" t="str">
        <ns0:v>nonregression-v2</ns0:v>
      </ns0:c>
      <ns0:c r="I38" s="9" t="str">
        <ns0:v>A03.percentile</ns0:v>
      </ns0:c>
      <ns0:c r="J38" s="9" t="str">
        <ns0:v>A03.percentile::future::v1</ns0:v>
      </ns0:c>
    </ns0:row>
    <ns0:row r="39" ht="15" hidden="0" customHeight="1">
      <ns0:c r="A39" s="9" t="str">
        <ns0:v>期现</ns0:v>
      </ns0:c>
      <ns0:c r="B39" s="9" t="str">
        <ns0:v>固定合约半权分位</ns0:v>
      </ns0:c>
      <ns0:c r="C39" s="9" t="str">
        <ns0:v>分红调整基差（bp）</ns0:v>
      </ns0:c>
      <ns0:c r="D39" s="9" t="str"/>
      <ns0:c r="E39" s="9" t="str"/>
      <ns0:c r="F39" s="9" t="str"/>
      <ns0:c r="G39" s="9" t="str"/>
      <ns0:c r="H39" s="9" t="str">
        <ns0:v>nonregression-v2</ns0:v>
      </ns0:c>
      <ns0:c r="I39" s="9" t="str">
        <ns0:v>A03.percentile</ns0:v>
      </ns0:c>
      <ns0:c r="J39" s="9" t="str">
        <ns0:v>A03.percentile::basis::v1</ns0:v>
      </ns0:c>
    </ns0:row>
    <ns0:row r="40" ht="15" hidden="0" customHeight="1">
      <ns0:c r="A40" s="9" t="str">
        <ns0:v>期现</ns0:v>
      </ns0:c>
      <ns0:c r="B40" s="9" t="str">
        <ns0:v>固定合约半权分位</ns0:v>
      </ns0:c>
      <ns0:c r="C40" s="9" t="str">
        <ns0:v>分红调整基差年化</ns0:v>
      </ns0:c>
      <ns0:c r="D40" s="9" t="str"/>
      <ns0:c r="E40" s="9" t="str"/>
      <ns0:c r="F40" s="9" t="str"/>
      <ns0:c r="G40" s="9" t="str"/>
      <ns0:c r="H40" s="9" t="str">
        <ns0:v>nonregression-v2</ns0:v>
      </ns0:c>
      <ns0:c r="I40" s="9" t="str">
        <ns0:v>A03.percentile</ns0:v>
      </ns0:c>
      <ns0:c r="J40" s="9" t="str">
        <ns0:v>A03.percentile::annual::v1</ns0:v>
      </ns0:c>
    </ns0:row>
    <ns0:row r="41" ht="15" hidden="0" customHeight="1">
      <ns0:c r="A41" s="9" t="str">
        <ns0:v>期现</ns0:v>
      </ns0:c>
      <ns0:c r="B41" s="9" t="str">
        <ns0:v>固定合约半权分位</ns0:v>
      </ns0:c>
      <ns0:c r="C41" s="9" t="str">
        <ns0:v>未调整普通基差（bp）</ns0:v>
      </ns0:c>
      <ns0:c r="D41" s="9" t="str"/>
      <ns0:c r="E41" s="9" t="str"/>
      <ns0:c r="F41" s="9" t="str"/>
      <ns0:c r="G41" s="9" t="str"/>
      <ns0:c r="H41" s="9" t="str">
        <ns0:v>nonregression-v2</ns0:v>
      </ns0:c>
      <ns0:c r="I41" s="9" t="str">
        <ns0:v>A03.percentile</ns0:v>
      </ns0:c>
      <ns0:c r="J41" s="9" t="str">
        <ns0:v>A03.percentile::raw_basis::v1</ns0:v>
      </ns0:c>
    </ns0:row>
    <ns0:row r="42" ht="15" hidden="0" customHeight="1">
      <ns0:c r="A42" s="9" t="str">
        <ns0:v>期现</ns0:v>
      </ns0:c>
      <ns0:c r="B42" s="9" t="str">
        <ns0:v>固定合约半权分位</ns0:v>
      </ns0:c>
      <ns0:c r="C42" s="9" t="str">
        <ns0:v>未调整对数基差（bp）</ns0:v>
      </ns0:c>
      <ns0:c r="D42" s="9" t="str"/>
      <ns0:c r="E42" s="9" t="str"/>
      <ns0:c r="F42" s="9" t="str"/>
      <ns0:c r="G42" s="9" t="str"/>
      <ns0:c r="H42" s="9" t="str">
        <ns0:v>nonregression-v2</ns0:v>
      </ns0:c>
      <ns0:c r="I42" s="9" t="str">
        <ns0:v>A03.percentile</ns0:v>
      </ns0:c>
      <ns0:c r="J42" s="9" t="str">
        <ns0:v>A03.percentile::log_basis::v1</ns0:v>
      </ns0:c>
    </ns0:row>
    <ns0:row r="43" ht="15" hidden="0" customHeight="1">
      <ns0:c r="A43" s="9" t="str">
        <ns0:v>期现</ns0:v>
      </ns0:c>
      <ns0:c r="B43" s="9" t="str">
        <ns0:v>固定合约半权分位</ns0:v>
      </ns0:c>
      <ns0:c r="C43" s="9" t="str">
        <ns0:v>未调整简单年化</ns0:v>
      </ns0:c>
      <ns0:c r="D43" s="9" t="str"/>
      <ns0:c r="E43" s="9" t="str"/>
      <ns0:c r="F43" s="9" t="str"/>
      <ns0:c r="G43" s="9" t="str"/>
      <ns0:c r="H43" s="9" t="str">
        <ns0:v>nonregression-v2</ns0:v>
      </ns0:c>
      <ns0:c r="I43" s="9" t="str">
        <ns0:v>A03.percentile</ns0:v>
      </ns0:c>
      <ns0:c r="J43" s="9" t="str">
        <ns0:v>A03.percentile::raw_annual::v1</ns0:v>
      </ns0:c>
    </ns0:row>
    <ns0:row r="44" ht="15" hidden="0" customHeight="1">
      <ns0:c r="A44" s="9" t="str">
        <ns0:v>期现</ns0:v>
      </ns0:c>
      <ns0:c r="B44" s="9" t="str">
        <ns0:v>固定合约半权分位</ns0:v>
      </ns0:c>
      <ns0:c r="C44" s="9" t="str">
        <ns0:v>未调整对数年化</ns0:v>
      </ns0:c>
      <ns0:c r="D44" s="9" t="str"/>
      <ns0:c r="E44" s="9" t="str"/>
      <ns0:c r="F44" s="9" t="str"/>
      <ns0:c r="G44" s="9" t="str"/>
      <ns0:c r="H44" s="9" t="str">
        <ns0:v>nonregression-v2</ns0:v>
      </ns0:c>
      <ns0:c r="I44" s="9" t="str">
        <ns0:v>A03.percentile</ns0:v>
      </ns0:c>
      <ns0:c r="J44" s="9" t="str">
        <ns0:v>A03.percentile::log_annual::v1</ns0:v>
      </ns0:c>
    </ns0:row>
    <ns0:row r="45" ht="15" hidden="0" customHeight="1">
      <ns0:c r="A45" s="9" t="str">
        <ns0:v>期现</ns0:v>
      </ns0:c>
      <ns0:c r="B45" s="9" t="str">
        <ns0:v>五期变化</ns0:v>
      </ns0:c>
      <ns0:c r="C45" s="9" t="str">
        <ns0:v>期货收盘价 close</ns0:v>
      </ns0:c>
      <ns0:c r="D45" s="9" t="str"/>
      <ns0:c r="E45" s="9" t="str"/>
      <ns0:c r="F45" s="9" t="str"/>
      <ns0:c r="G45" s="9" t="str"/>
      <ns0:c r="H45" s="9" t="str">
        <ns0:v>nonregression-v2</ns0:v>
      </ns0:c>
      <ns0:c r="I45" s="9" t="str">
        <ns0:v>A03.change5</ns0:v>
      </ns0:c>
      <ns0:c r="J45" s="9" t="str">
        <ns0:v>A03.change5::future::v1</ns0:v>
      </ns0:c>
    </ns0:row>
    <ns0:row r="46" ht="15" hidden="0" customHeight="1">
      <ns0:c r="A46" s="9" t="str">
        <ns0:v>期现</ns0:v>
      </ns0:c>
      <ns0:c r="B46" s="9" t="str">
        <ns0:v>五期变化</ns0:v>
      </ns0:c>
      <ns0:c r="C46" s="9" t="str">
        <ns0:v>分红调整基差（bp）</ns0:v>
      </ns0:c>
      <ns0:c r="D46" s="9" t="str"/>
      <ns0:c r="E46" s="9" t="str"/>
      <ns0:c r="F46" s="9" t="str"/>
      <ns0:c r="G46" s="9" t="str"/>
      <ns0:c r="H46" s="9" t="str">
        <ns0:v>nonregression-v2</ns0:v>
      </ns0:c>
      <ns0:c r="I46" s="9" t="str">
        <ns0:v>A03.change5</ns0:v>
      </ns0:c>
      <ns0:c r="J46" s="9" t="str">
        <ns0:v>A03.change5::basis::v1</ns0:v>
      </ns0:c>
    </ns0:row>
    <ns0:row r="47" ht="15" hidden="0" customHeight="1">
      <ns0:c r="A47" s="9" t="str">
        <ns0:v>期现</ns0:v>
      </ns0:c>
      <ns0:c r="B47" s="9" t="str">
        <ns0:v>五期变化</ns0:v>
      </ns0:c>
      <ns0:c r="C47" s="9" t="str">
        <ns0:v>分红调整基差年化</ns0:v>
      </ns0:c>
      <ns0:c r="D47" s="9" t="str"/>
      <ns0:c r="E47" s="9" t="str"/>
      <ns0:c r="F47" s="9" t="str"/>
      <ns0:c r="G47" s="9" t="str"/>
      <ns0:c r="H47" s="9" t="str">
        <ns0:v>nonregression-v2</ns0:v>
      </ns0:c>
      <ns0:c r="I47" s="9" t="str">
        <ns0:v>A03.change5</ns0:v>
      </ns0:c>
      <ns0:c r="J47" s="9" t="str">
        <ns0:v>A03.change5::annual::v1</ns0:v>
      </ns0:c>
    </ns0:row>
    <ns0:row r="48" ht="15" hidden="0" customHeight="1">
      <ns0:c r="A48" s="9" t="str">
        <ns0:v>期现</ns0:v>
      </ns0:c>
      <ns0:c r="B48" s="9" t="str">
        <ns0:v>五期变化</ns0:v>
      </ns0:c>
      <ns0:c r="C48" s="9" t="str">
        <ns0:v>未调整普通基差（bp）</ns0:v>
      </ns0:c>
      <ns0:c r="D48" s="9" t="str"/>
      <ns0:c r="E48" s="9" t="str"/>
      <ns0:c r="F48" s="9" t="str"/>
      <ns0:c r="G48" s="9" t="str"/>
      <ns0:c r="H48" s="9" t="str">
        <ns0:v>nonregression-v2</ns0:v>
      </ns0:c>
      <ns0:c r="I48" s="9" t="str">
        <ns0:v>A03.change5</ns0:v>
      </ns0:c>
      <ns0:c r="J48" s="9" t="str">
        <ns0:v>A03.change5::raw_basis::v1</ns0:v>
      </ns0:c>
    </ns0:row>
    <ns0:row r="49" ht="15" hidden="0" customHeight="1">
      <ns0:c r="A49" s="9" t="str">
        <ns0:v>期现</ns0:v>
      </ns0:c>
      <ns0:c r="B49" s="9" t="str">
        <ns0:v>五期变化</ns0:v>
      </ns0:c>
      <ns0:c r="C49" s="9" t="str">
        <ns0:v>未调整对数基差（bp）</ns0:v>
      </ns0:c>
      <ns0:c r="D49" s="9" t="str"/>
      <ns0:c r="E49" s="9" t="str"/>
      <ns0:c r="F49" s="9" t="str"/>
      <ns0:c r="G49" s="9" t="str"/>
      <ns0:c r="H49" s="9" t="str">
        <ns0:v>nonregression-v2</ns0:v>
      </ns0:c>
      <ns0:c r="I49" s="9" t="str">
        <ns0:v>A03.change5</ns0:v>
      </ns0:c>
      <ns0:c r="J49" s="9" t="str">
        <ns0:v>A03.change5::log_basis::v1</ns0:v>
      </ns0:c>
    </ns0:row>
    <ns0:row r="50" ht="15" hidden="0" customHeight="1">
      <ns0:c r="A50" s="9" t="str">
        <ns0:v>期现</ns0:v>
      </ns0:c>
      <ns0:c r="B50" s="9" t="str">
        <ns0:v>五期变化</ns0:v>
      </ns0:c>
      <ns0:c r="C50" s="9" t="str">
        <ns0:v>未调整简单年化</ns0:v>
      </ns0:c>
      <ns0:c r="D50" s="9" t="str"/>
      <ns0:c r="E50" s="9" t="str"/>
      <ns0:c r="F50" s="9" t="str"/>
      <ns0:c r="G50" s="9" t="str"/>
      <ns0:c r="H50" s="9" t="str">
        <ns0:v>nonregression-v2</ns0:v>
      </ns0:c>
      <ns0:c r="I50" s="9" t="str">
        <ns0:v>A03.change5</ns0:v>
      </ns0:c>
      <ns0:c r="J50" s="9" t="str">
        <ns0:v>A03.change5::raw_annual::v1</ns0:v>
      </ns0:c>
    </ns0:row>
    <ns0:row r="51" ht="15" hidden="0" customHeight="1">
      <ns0:c r="A51" s="9" t="str">
        <ns0:v>期现</ns0:v>
      </ns0:c>
      <ns0:c r="B51" s="9" t="str">
        <ns0:v>五期变化</ns0:v>
      </ns0:c>
      <ns0:c r="C51" s="9" t="str">
        <ns0:v>未调整对数年化</ns0:v>
      </ns0:c>
      <ns0:c r="D51" s="9" t="str"/>
      <ns0:c r="E51" s="9" t="str"/>
      <ns0:c r="F51" s="9" t="str"/>
      <ns0:c r="G51" s="9" t="str"/>
      <ns0:c r="H51" s="9" t="str">
        <ns0:v>nonregression-v2</ns0:v>
      </ns0:c>
      <ns0:c r="I51" s="9" t="str">
        <ns0:v>A03.change5</ns0:v>
      </ns0:c>
      <ns0:c r="J51" s="9" t="str">
        <ns0:v>A03.change5::log_annual::v1</ns0:v>
      </ns0:c>
    </ns0:row>
    <ns0:row r="52" ht="26.399999618530273" hidden="0" customHeight="1">
      <ns0:c r="A52" s="9" t="str">
        <ns0:v>期现</ns0:v>
      </ns0:c>
      <ns0:c r="B52" s="9" t="str">
        <ns0:v>原概览30期≤分位（固定实体独立扩展）</ns0:v>
      </ns0:c>
      <ns0:c r="C52" s="9" t="str">
        <ns0:v>期货收盘价 close</ns0:v>
      </ns0:c>
      <ns0:c r="D52" s="9" t="str"/>
      <ns0:c r="E52" s="9" t="str"/>
      <ns0:c r="F52" s="9" t="str"/>
      <ns0:c r="G52" s="9" t="str"/>
      <ns0:c r="H52" s="9" t="str">
        <ns0:v>nonregression-v2</ns0:v>
      </ns0:c>
      <ns0:c r="I52" s="9" t="str">
        <ns0:v>A03.legacy_percentile30</ns0:v>
      </ns0:c>
      <ns0:c r="J52" s="9" t="str">
        <ns0:v>A03.legacy_percentile30::future::v1</ns0:v>
      </ns0:c>
    </ns0:row>
    <ns0:row r="53" ht="26.399999618530273" hidden="0" customHeight="1">
      <ns0:c r="A53" s="9" t="str">
        <ns0:v>期现</ns0:v>
      </ns0:c>
      <ns0:c r="B53" s="9" t="str">
        <ns0:v>原概览30期≤分位（固定实体独立扩展）</ns0:v>
      </ns0:c>
      <ns0:c r="C53" s="9" t="str">
        <ns0:v>分红调整基差（bp）</ns0:v>
      </ns0:c>
      <ns0:c r="D53" s="9" t="str"/>
      <ns0:c r="E53" s="9" t="str"/>
      <ns0:c r="F53" s="9" t="str"/>
      <ns0:c r="G53" s="9" t="str"/>
      <ns0:c r="H53" s="9" t="str">
        <ns0:v>nonregression-v2</ns0:v>
      </ns0:c>
      <ns0:c r="I53" s="9" t="str">
        <ns0:v>A03.legacy_percentile30</ns0:v>
      </ns0:c>
      <ns0:c r="J53" s="9" t="str">
        <ns0:v>A03.legacy_percentile30::basis::v1</ns0:v>
      </ns0:c>
    </ns0:row>
    <ns0:row r="54" ht="26.399999618530273" hidden="0" customHeight="1">
      <ns0:c r="A54" s="9" t="str">
        <ns0:v>期现</ns0:v>
      </ns0:c>
      <ns0:c r="B54" s="9" t="str">
        <ns0:v>原概览30期≤分位（固定实体独立扩展）</ns0:v>
      </ns0:c>
      <ns0:c r="C54" s="9" t="str">
        <ns0:v>分红调整基差年化</ns0:v>
      </ns0:c>
      <ns0:c r="D54" s="9" t="str"/>
      <ns0:c r="E54" s="9" t="str"/>
      <ns0:c r="F54" s="9" t="str"/>
      <ns0:c r="G54" s="9" t="str"/>
      <ns0:c r="H54" s="9" t="str">
        <ns0:v>nonregression-v2</ns0:v>
      </ns0:c>
      <ns0:c r="I54" s="9" t="str">
        <ns0:v>A03.legacy_percentile30</ns0:v>
      </ns0:c>
      <ns0:c r="J54" s="9" t="str">
        <ns0:v>A03.legacy_percentile30::annual::v1</ns0:v>
      </ns0:c>
    </ns0:row>
    <ns0:row r="55" ht="26.399999618530273" hidden="0" customHeight="1">
      <ns0:c r="A55" s="9" t="str">
        <ns0:v>期现</ns0:v>
      </ns0:c>
      <ns0:c r="B55" s="9" t="str">
        <ns0:v>原概览30期≤分位（固定实体独立扩展）</ns0:v>
      </ns0:c>
      <ns0:c r="C55" s="9" t="str">
        <ns0:v>未调整普通基差（bp）</ns0:v>
      </ns0:c>
      <ns0:c r="D55" s="9" t="str"/>
      <ns0:c r="E55" s="9" t="str"/>
      <ns0:c r="F55" s="9" t="str"/>
      <ns0:c r="G55" s="9" t="str"/>
      <ns0:c r="H55" s="9" t="str">
        <ns0:v>nonregression-v2</ns0:v>
      </ns0:c>
      <ns0:c r="I55" s="9" t="str">
        <ns0:v>A03.legacy_percentile30</ns0:v>
      </ns0:c>
      <ns0:c r="J55" s="9" t="str">
        <ns0:v>A03.legacy_percentile30::raw_basis::v1</ns0:v>
      </ns0:c>
    </ns0:row>
    <ns0:row r="56" ht="26.399999618530273" hidden="0" customHeight="1">
      <ns0:c r="A56" s="9" t="str">
        <ns0:v>期现</ns0:v>
      </ns0:c>
      <ns0:c r="B56" s="9" t="str">
        <ns0:v>原概览30期≤分位（固定实体独立扩展）</ns0:v>
      </ns0:c>
      <ns0:c r="C56" s="9" t="str">
        <ns0:v>未调整对数基差（bp）</ns0:v>
      </ns0:c>
      <ns0:c r="D56" s="9" t="str"/>
      <ns0:c r="E56" s="9" t="str"/>
      <ns0:c r="F56" s="9" t="str"/>
      <ns0:c r="G56" s="9" t="str"/>
      <ns0:c r="H56" s="9" t="str">
        <ns0:v>nonregression-v2</ns0:v>
      </ns0:c>
      <ns0:c r="I56" s="9" t="str">
        <ns0:v>A03.legacy_percentile30</ns0:v>
      </ns0:c>
      <ns0:c r="J56" s="9" t="str">
        <ns0:v>A03.legacy_percentile30::log_basis::v1</ns0:v>
      </ns0:c>
    </ns0:row>
    <ns0:row r="57" ht="26.399999618530273" hidden="0" customHeight="1">
      <ns0:c r="A57" s="9" t="str">
        <ns0:v>期现</ns0:v>
      </ns0:c>
      <ns0:c r="B57" s="9" t="str">
        <ns0:v>原概览30期≤分位（固定实体独立扩展）</ns0:v>
      </ns0:c>
      <ns0:c r="C57" s="9" t="str">
        <ns0:v>未调整简单年化</ns0:v>
      </ns0:c>
      <ns0:c r="D57" s="9" t="str"/>
      <ns0:c r="E57" s="9" t="str"/>
      <ns0:c r="F57" s="9" t="str"/>
      <ns0:c r="G57" s="9" t="str"/>
      <ns0:c r="H57" s="9" t="str">
        <ns0:v>nonregression-v2</ns0:v>
      </ns0:c>
      <ns0:c r="I57" s="9" t="str">
        <ns0:v>A03.legacy_percentile30</ns0:v>
      </ns0:c>
      <ns0:c r="J57" s="9" t="str">
        <ns0:v>A03.legacy_percentile30::raw_annual::v1</ns0:v>
      </ns0:c>
    </ns0:row>
    <ns0:row r="58" ht="26.399999618530273" hidden="0" customHeight="1">
      <ns0:c r="A58" s="9" t="str">
        <ns0:v>期现</ns0:v>
      </ns0:c>
      <ns0:c r="B58" s="9" t="str">
        <ns0:v>原概览30期≤分位（固定实体独立扩展）</ns0:v>
      </ns0:c>
      <ns0:c r="C58" s="9" t="str">
        <ns0:v>未调整对数年化</ns0:v>
      </ns0:c>
      <ns0:c r="D58" s="9" t="str"/>
      <ns0:c r="E58" s="9" t="str"/>
      <ns0:c r="F58" s="9" t="str"/>
      <ns0:c r="G58" s="9" t="str"/>
      <ns0:c r="H58" s="9" t="str">
        <ns0:v>nonregression-v2</ns0:v>
      </ns0:c>
      <ns0:c r="I58" s="9" t="str">
        <ns0:v>A03.legacy_percentile30</ns0:v>
      </ns0:c>
      <ns0:c r="J58" s="9" t="str">
        <ns0:v>A03.legacy_percentile30::log_annual::v1</ns0:v>
      </ns0:c>
    </ns0:row>
    <ns0:row r="59" ht="15" hidden="0" customHeight="1">
      <ns0:c r="A59" s="9" t="str">
        <ns0:v>期现</ns0:v>
      </ns0:c>
      <ns0:c r="B59" s="9" t="str">
        <ns0:v>同会话30分钟实现波动</ns0:v>
      </ns0:c>
      <ns0:c r="C59" s="9" t="str">
        <ns0:v>期货收盘价 close</ns0:v>
      </ns0:c>
      <ns0:c r="D59" s="9" t="str"/>
      <ns0:c r="E59" s="9" t="str"/>
      <ns0:c r="F59" s="9" t="str"/>
      <ns0:c r="G59" s="9" t="str"/>
      <ns0:c r="H59" s="9" t="str">
        <ns0:v>nonregression-v2</ns0:v>
      </ns0:c>
      <ns0:c r="I59" s="9" t="str">
        <ns0:v>A11</ns0:v>
      </ns0:c>
      <ns0:c r="J59" s="9" t="str">
        <ns0:v>A11::future::v1</ns0:v>
      </ns0:c>
    </ns0:row>
    <ns0:row r="60" ht="15" hidden="0" customHeight="1">
      <ns0:c r="A60" s="9" t="str">
        <ns0:v>期现</ns0:v>
      </ns0:c>
      <ns0:c r="B60" s="9" t="str">
        <ns0:v>同会话30分钟实现波动</ns0:v>
      </ns0:c>
      <ns0:c r="C60" s="9" t="str">
        <ns0:v>分红调整基差（bp）</ns0:v>
      </ns0:c>
      <ns0:c r="D60" s="9" t="str"/>
      <ns0:c r="E60" s="9" t="str"/>
      <ns0:c r="F60" s="9" t="str"/>
      <ns0:c r="G60" s="9" t="str"/>
      <ns0:c r="H60" s="9" t="str">
        <ns0:v>nonregression-v2</ns0:v>
      </ns0:c>
      <ns0:c r="I60" s="9" t="str">
        <ns0:v>A11</ns0:v>
      </ns0:c>
      <ns0:c r="J60" s="9" t="str">
        <ns0:v>A11::basis::v1</ns0:v>
      </ns0:c>
    </ns0:row>
    <ns0:row r="61" ht="15" hidden="0" customHeight="1">
      <ns0:c r="A61" s="9" t="str">
        <ns0:v>期现</ns0:v>
      </ns0:c>
      <ns0:c r="B61" s="9" t="str">
        <ns0:v>同会话30分钟实现波动</ns0:v>
      </ns0:c>
      <ns0:c r="C61" s="9" t="str">
        <ns0:v>分红调整基差年化</ns0:v>
      </ns0:c>
      <ns0:c r="D61" s="9" t="str"/>
      <ns0:c r="E61" s="9" t="str"/>
      <ns0:c r="F61" s="9" t="str"/>
      <ns0:c r="G61" s="9" t="str"/>
      <ns0:c r="H61" s="9" t="str">
        <ns0:v>nonregression-v2</ns0:v>
      </ns0:c>
      <ns0:c r="I61" s="9" t="str">
        <ns0:v>A11</ns0:v>
      </ns0:c>
      <ns0:c r="J61" s="9" t="str">
        <ns0:v>A11::annual::v1</ns0:v>
      </ns0:c>
    </ns0:row>
    <ns0:row r="62" ht="15" hidden="0" customHeight="1">
      <ns0:c r="A62" s="9" t="str">
        <ns0:v>期现</ns0:v>
      </ns0:c>
      <ns0:c r="B62" s="9" t="str">
        <ns0:v>同会话30分钟实现波动</ns0:v>
      </ns0:c>
      <ns0:c r="C62" s="9" t="str">
        <ns0:v>未调整普通基差（bp）</ns0:v>
      </ns0:c>
      <ns0:c r="D62" s="9" t="str"/>
      <ns0:c r="E62" s="9" t="str"/>
      <ns0:c r="F62" s="9" t="str"/>
      <ns0:c r="G62" s="9" t="str"/>
      <ns0:c r="H62" s="9" t="str">
        <ns0:v>nonregression-v2</ns0:v>
      </ns0:c>
      <ns0:c r="I62" s="9" t="str">
        <ns0:v>A11</ns0:v>
      </ns0:c>
      <ns0:c r="J62" s="9" t="str">
        <ns0:v>A11::raw_basis::v1</ns0:v>
      </ns0:c>
    </ns0:row>
    <ns0:row r="63" ht="15" hidden="0" customHeight="1">
      <ns0:c r="A63" s="9" t="str">
        <ns0:v>期现</ns0:v>
      </ns0:c>
      <ns0:c r="B63" s="9" t="str">
        <ns0:v>同会话30分钟实现波动</ns0:v>
      </ns0:c>
      <ns0:c r="C63" s="9" t="str">
        <ns0:v>未调整对数基差（bp）</ns0:v>
      </ns0:c>
      <ns0:c r="D63" s="9" t="str"/>
      <ns0:c r="E63" s="9" t="str"/>
      <ns0:c r="F63" s="9" t="str"/>
      <ns0:c r="G63" s="9" t="str"/>
      <ns0:c r="H63" s="9" t="str">
        <ns0:v>nonregression-v2</ns0:v>
      </ns0:c>
      <ns0:c r="I63" s="9" t="str">
        <ns0:v>A11</ns0:v>
      </ns0:c>
      <ns0:c r="J63" s="9" t="str">
        <ns0:v>A11::log_basis::v1</ns0:v>
      </ns0:c>
    </ns0:row>
    <ns0:row r="64" ht="15" hidden="0" customHeight="1">
      <ns0:c r="A64" s="9" t="str">
        <ns0:v>期现</ns0:v>
      </ns0:c>
      <ns0:c r="B64" s="9" t="str">
        <ns0:v>同会话30分钟实现波动</ns0:v>
      </ns0:c>
      <ns0:c r="C64" s="9" t="str">
        <ns0:v>未调整简单年化</ns0:v>
      </ns0:c>
      <ns0:c r="D64" s="9" t="str"/>
      <ns0:c r="E64" s="9" t="str"/>
      <ns0:c r="F64" s="9" t="str"/>
      <ns0:c r="G64" s="9" t="str"/>
      <ns0:c r="H64" s="9" t="str">
        <ns0:v>nonregression-v2</ns0:v>
      </ns0:c>
      <ns0:c r="I64" s="9" t="str">
        <ns0:v>A11</ns0:v>
      </ns0:c>
      <ns0:c r="J64" s="9" t="str">
        <ns0:v>A11::raw_annual::v1</ns0:v>
      </ns0:c>
    </ns0:row>
    <ns0:row r="65" ht="15" hidden="0" customHeight="1">
      <ns0:c r="A65" s="9" t="str">
        <ns0:v>期现</ns0:v>
      </ns0:c>
      <ns0:c r="B65" s="9" t="str">
        <ns0:v>同会话30分钟实现波动</ns0:v>
      </ns0:c>
      <ns0:c r="C65" s="9" t="str">
        <ns0:v>未调整对数年化</ns0:v>
      </ns0:c>
      <ns0:c r="D65" s="9" t="str"/>
      <ns0:c r="E65" s="9" t="str"/>
      <ns0:c r="F65" s="9" t="str"/>
      <ns0:c r="G65" s="9" t="str"/>
      <ns0:c r="H65" s="9" t="str">
        <ns0:v>nonregression-v2</ns0:v>
      </ns0:c>
      <ns0:c r="I65" s="9" t="str">
        <ns0:v>A11</ns0:v>
      </ns0:c>
      <ns0:c r="J65" s="9" t="str">
        <ns0:v>A11::log_annual::v1</ns0:v>
      </ns0:c>
    </ns0:row>
    <ns0:row r="66" ht="15" hidden="0" customHeight="1">
      <ns0:c r="A66" s="9" t="str">
        <ns0:v>期现</ns0:v>
      </ns0:c>
      <ns0:c r="B66" s="9" t="str">
        <ns0:v>非回归连续偏离事件</ns0:v>
      </ns0:c>
      <ns0:c r="C66" s="9" t="str">
        <ns0:v>期货收盘价 close</ns0:v>
      </ns0:c>
      <ns0:c r="D66" s="9" t="str"/>
      <ns0:c r="E66" s="9" t="str"/>
      <ns0:c r="F66" s="9" t="str"/>
      <ns0:c r="G66" s="9" t="str"/>
      <ns0:c r="H66" s="9" t="str">
        <ns0:v>nonregression-v2</ns0:v>
      </ns0:c>
      <ns0:c r="I66" s="9" t="str">
        <ns0:v>A12</ns0:v>
      </ns0:c>
      <ns0:c r="J66" s="9" t="str">
        <ns0:v>A12::future::v1</ns0:v>
      </ns0:c>
    </ns0:row>
    <ns0:row r="67" ht="15" hidden="0" customHeight="1">
      <ns0:c r="A67" s="9" t="str">
        <ns0:v>期现</ns0:v>
      </ns0:c>
      <ns0:c r="B67" s="9" t="str">
        <ns0:v>非回归连续偏离事件</ns0:v>
      </ns0:c>
      <ns0:c r="C67" s="9" t="str">
        <ns0:v>分红调整基差（bp）</ns0:v>
      </ns0:c>
      <ns0:c r="D67" s="9" t="str"/>
      <ns0:c r="E67" s="9" t="str"/>
      <ns0:c r="F67" s="9" t="str"/>
      <ns0:c r="G67" s="9" t="str"/>
      <ns0:c r="H67" s="9" t="str">
        <ns0:v>nonregression-v2</ns0:v>
      </ns0:c>
      <ns0:c r="I67" s="9" t="str">
        <ns0:v>A12</ns0:v>
      </ns0:c>
      <ns0:c r="J67" s="9" t="str">
        <ns0:v>A12::basis::v1</ns0:v>
      </ns0:c>
    </ns0:row>
    <ns0:row r="68" ht="15" hidden="0" customHeight="1">
      <ns0:c r="A68" s="9" t="str">
        <ns0:v>期现</ns0:v>
      </ns0:c>
      <ns0:c r="B68" s="9" t="str">
        <ns0:v>非回归连续偏离事件</ns0:v>
      </ns0:c>
      <ns0:c r="C68" s="9" t="str">
        <ns0:v>分红调整基差年化</ns0:v>
      </ns0:c>
      <ns0:c r="D68" s="9" t="str"/>
      <ns0:c r="E68" s="9" t="str"/>
      <ns0:c r="F68" s="9" t="str"/>
      <ns0:c r="G68" s="9" t="str"/>
      <ns0:c r="H68" s="9" t="str">
        <ns0:v>nonregression-v2</ns0:v>
      </ns0:c>
      <ns0:c r="I68" s="9" t="str">
        <ns0:v>A12</ns0:v>
      </ns0:c>
      <ns0:c r="J68" s="9" t="str">
        <ns0:v>A12::annual::v1</ns0:v>
      </ns0:c>
    </ns0:row>
    <ns0:row r="69" ht="15" hidden="0" customHeight="1">
      <ns0:c r="A69" s="9" t="str">
        <ns0:v>期现</ns0:v>
      </ns0:c>
      <ns0:c r="B69" s="9" t="str">
        <ns0:v>非回归连续偏离事件</ns0:v>
      </ns0:c>
      <ns0:c r="C69" s="9" t="str">
        <ns0:v>未调整普通基差（bp）</ns0:v>
      </ns0:c>
      <ns0:c r="D69" s="9" t="str"/>
      <ns0:c r="E69" s="9" t="str"/>
      <ns0:c r="F69" s="9" t="str"/>
      <ns0:c r="G69" s="9" t="str"/>
      <ns0:c r="H69" s="9" t="str">
        <ns0:v>nonregression-v2</ns0:v>
      </ns0:c>
      <ns0:c r="I69" s="9" t="str">
        <ns0:v>A12</ns0:v>
      </ns0:c>
      <ns0:c r="J69" s="9" t="str">
        <ns0:v>A12::raw_basis::v1</ns0:v>
      </ns0:c>
    </ns0:row>
    <ns0:row r="70" ht="15" hidden="0" customHeight="1">
      <ns0:c r="A70" s="9" t="str">
        <ns0:v>期现</ns0:v>
      </ns0:c>
      <ns0:c r="B70" s="9" t="str">
        <ns0:v>非回归连续偏离事件</ns0:v>
      </ns0:c>
      <ns0:c r="C70" s="9" t="str">
        <ns0:v>未调整对数基差（bp）</ns0:v>
      </ns0:c>
      <ns0:c r="D70" s="9" t="str"/>
      <ns0:c r="E70" s="9" t="str"/>
      <ns0:c r="F70" s="9" t="str"/>
      <ns0:c r="G70" s="9" t="str"/>
      <ns0:c r="H70" s="9" t="str">
        <ns0:v>nonregression-v2</ns0:v>
      </ns0:c>
      <ns0:c r="I70" s="9" t="str">
        <ns0:v>A12</ns0:v>
      </ns0:c>
      <ns0:c r="J70" s="9" t="str">
        <ns0:v>A12::log_basis::v1</ns0:v>
      </ns0:c>
    </ns0:row>
    <ns0:row r="71" ht="15" hidden="0" customHeight="1">
      <ns0:c r="A71" s="9" t="str">
        <ns0:v>期现</ns0:v>
      </ns0:c>
      <ns0:c r="B71" s="9" t="str">
        <ns0:v>非回归连续偏离事件</ns0:v>
      </ns0:c>
      <ns0:c r="C71" s="9" t="str">
        <ns0:v>未调整简单年化</ns0:v>
      </ns0:c>
      <ns0:c r="D71" s="9" t="str"/>
      <ns0:c r="E71" s="9" t="str"/>
      <ns0:c r="F71" s="9" t="str"/>
      <ns0:c r="G71" s="9" t="str"/>
      <ns0:c r="H71" s="9" t="str">
        <ns0:v>nonregression-v2</ns0:v>
      </ns0:c>
      <ns0:c r="I71" s="9" t="str">
        <ns0:v>A12</ns0:v>
      </ns0:c>
      <ns0:c r="J71" s="9" t="str">
        <ns0:v>A12::raw_annual::v1</ns0:v>
      </ns0:c>
    </ns0:row>
    <ns0:row r="72" ht="15" hidden="0" customHeight="1">
      <ns0:c r="A72" s="9" t="str">
        <ns0:v>期现</ns0:v>
      </ns0:c>
      <ns0:c r="B72" s="9" t="str">
        <ns0:v>非回归连续偏离事件</ns0:v>
      </ns0:c>
      <ns0:c r="C72" s="9" t="str">
        <ns0:v>未调整对数年化</ns0:v>
      </ns0:c>
      <ns0:c r="D72" s="9" t="str"/>
      <ns0:c r="E72" s="9" t="str"/>
      <ns0:c r="F72" s="9" t="str"/>
      <ns0:c r="G72" s="9" t="str"/>
      <ns0:c r="H72" s="9" t="str">
        <ns0:v>nonregression-v2</ns0:v>
      </ns0:c>
      <ns0:c r="I72" s="9" t="str">
        <ns0:v>A12</ns0:v>
      </ns0:c>
      <ns0:c r="J72" s="9" t="str">
        <ns0:v>A12::log_annual::v1</ns0:v>
      </ns0:c>
    </ns0:row>
    <ns0:row r="73" ht="15" hidden="0" customHeight="1">
      <ns0:c r="A73" s="9" t="str">
        <ns0:v>期现</ns0:v>
      </ns0:c>
      <ns0:c r="B73" s="9" t="str">
        <ns0:v>理论价与方向性成本带</ns0:v>
      </ns0:c>
      <ns0:c r="C73" s="9" t="str">
        <ns0:v>固定口径（不随 X 改变）</ns0:v>
      </ns0:c>
      <ns0:c r="D73" s="9" t="str"/>
      <ns0:c r="E73" s="9" t="str"/>
      <ns0:c r="F73" s="9" t="str"/>
      <ns0:c r="G73" s="9" t="str"/>
      <ns0:c r="H73" s="9" t="str">
        <ns0:v>nonregression-v2</ns0:v>
      </ns0:c>
      <ns0:c r="I73" s="9" t="str">
        <ns0:v>A13</ns0:v>
      </ns0:c>
      <ns0:c r="J73" s="9" t="str">
        <ns0:v>A13::fixed::v1</ns0:v>
      </ns0:c>
    </ns0:row>
    <ns0:row r="74" ht="15" hidden="0" customHeight="1">
      <ns0:c r="A74" s="9" t="str">
        <ns0:v>期现</ns0:v>
      </ns0:c>
      <ns0:c r="B74" s="9" t="str">
        <ns0:v>ETF / IOPV 同刻偏离</ns0:v>
      </ns0:c>
      <ns0:c r="C74" s="9" t="str">
        <ns0:v>固定口径（不随 X 改变）</ns0:v>
      </ns0:c>
      <ns0:c r="D74" s="9" t="str"/>
      <ns0:c r="E74" s="9" t="str"/>
      <ns0:c r="F74" s="9" t="str"/>
      <ns0:c r="G74" s="9" t="str"/>
      <ns0:c r="H74" s="9" t="str">
        <ns0:v>nonregression-v2</ns0:v>
      </ns0:c>
      <ns0:c r="I74" s="9" t="str">
        <ns0:v>A14.etf</ns0:v>
      </ns0:c>
      <ns0:c r="J74" s="9" t="str">
        <ns0:v>A14.etf::fixed::v1</ns0:v>
      </ns0:c>
    </ns0:row>
    <ns0:row r="75" ht="15" hidden="0" customHeight="1">
      <ns0:c r="A75" s="9" t="str">
        <ns0:v>期现</ns0:v>
      </ns0:c>
      <ns0:c r="B75" s="9" t="str">
        <ns0:v>开盘偏离与修复</ns0:v>
      </ns0:c>
      <ns0:c r="C75" s="9" t="str">
        <ns0:v>期货收盘价 close</ns0:v>
      </ns0:c>
      <ns0:c r="D75" s="9" t="str"/>
      <ns0:c r="E75" s="9" t="str"/>
      <ns0:c r="F75" s="9" t="str"/>
      <ns0:c r="G75" s="9" t="str"/>
      <ns0:c r="H75" s="9" t="str">
        <ns0:v>nonregression-v2</ns0:v>
      </ns0:c>
      <ns0:c r="I75" s="9" t="str">
        <ns0:v>B01</ns0:v>
      </ns0:c>
      <ns0:c r="J75" s="9" t="str">
        <ns0:v>B01::future::v1</ns0:v>
      </ns0:c>
    </ns0:row>
    <ns0:row r="76" ht="15" hidden="0" customHeight="1">
      <ns0:c r="A76" s="9" t="str">
        <ns0:v>期现</ns0:v>
      </ns0:c>
      <ns0:c r="B76" s="9" t="str">
        <ns0:v>开盘偏离与修复</ns0:v>
      </ns0:c>
      <ns0:c r="C76" s="9" t="str">
        <ns0:v>分红调整基差（bp）</ns0:v>
      </ns0:c>
      <ns0:c r="D76" s="9" t="str"/>
      <ns0:c r="E76" s="9" t="str"/>
      <ns0:c r="F76" s="9" t="str"/>
      <ns0:c r="G76" s="9" t="str"/>
      <ns0:c r="H76" s="9" t="str">
        <ns0:v>nonregression-v2</ns0:v>
      </ns0:c>
      <ns0:c r="I76" s="9" t="str">
        <ns0:v>B01</ns0:v>
      </ns0:c>
      <ns0:c r="J76" s="9" t="str">
        <ns0:v>B01::basis::v1</ns0:v>
      </ns0:c>
    </ns0:row>
    <ns0:row r="77" ht="15" hidden="0" customHeight="1">
      <ns0:c r="A77" s="9" t="str">
        <ns0:v>期现</ns0:v>
      </ns0:c>
      <ns0:c r="B77" s="9" t="str">
        <ns0:v>开盘偏离与修复</ns0:v>
      </ns0:c>
      <ns0:c r="C77" s="9" t="str">
        <ns0:v>分红调整基差年化</ns0:v>
      </ns0:c>
      <ns0:c r="D77" s="9" t="str"/>
      <ns0:c r="E77" s="9" t="str"/>
      <ns0:c r="F77" s="9" t="str"/>
      <ns0:c r="G77" s="9" t="str"/>
      <ns0:c r="H77" s="9" t="str">
        <ns0:v>nonregression-v2</ns0:v>
      </ns0:c>
      <ns0:c r="I77" s="9" t="str">
        <ns0:v>B01</ns0:v>
      </ns0:c>
      <ns0:c r="J77" s="9" t="str">
        <ns0:v>B01::annual::v1</ns0:v>
      </ns0:c>
    </ns0:row>
    <ns0:row r="78" ht="15" hidden="0" customHeight="1">
      <ns0:c r="A78" s="9" t="str">
        <ns0:v>期现</ns0:v>
      </ns0:c>
      <ns0:c r="B78" s="9" t="str">
        <ns0:v>开盘偏离与修复</ns0:v>
      </ns0:c>
      <ns0:c r="C78" s="9" t="str">
        <ns0:v>未调整普通基差（bp）</ns0:v>
      </ns0:c>
      <ns0:c r="D78" s="9" t="str"/>
      <ns0:c r="E78" s="9" t="str"/>
      <ns0:c r="F78" s="9" t="str"/>
      <ns0:c r="G78" s="9" t="str"/>
      <ns0:c r="H78" s="9" t="str">
        <ns0:v>nonregression-v2</ns0:v>
      </ns0:c>
      <ns0:c r="I78" s="9" t="str">
        <ns0:v>B01</ns0:v>
      </ns0:c>
      <ns0:c r="J78" s="9" t="str">
        <ns0:v>B01::raw_basis::v1</ns0:v>
      </ns0:c>
    </ns0:row>
    <ns0:row r="79" ht="15" hidden="0" customHeight="1">
      <ns0:c r="A79" s="9" t="str">
        <ns0:v>期现</ns0:v>
      </ns0:c>
      <ns0:c r="B79" s="9" t="str">
        <ns0:v>开盘偏离与修复</ns0:v>
      </ns0:c>
      <ns0:c r="C79" s="9" t="str">
        <ns0:v>未调整对数基差（bp）</ns0:v>
      </ns0:c>
      <ns0:c r="D79" s="9" t="str"/>
      <ns0:c r="E79" s="9" t="str"/>
      <ns0:c r="F79" s="9" t="str"/>
      <ns0:c r="G79" s="9" t="str"/>
      <ns0:c r="H79" s="9" t="str">
        <ns0:v>nonregression-v2</ns0:v>
      </ns0:c>
      <ns0:c r="I79" s="9" t="str">
        <ns0:v>B01</ns0:v>
      </ns0:c>
      <ns0:c r="J79" s="9" t="str">
        <ns0:v>B01::log_basis::v1</ns0:v>
      </ns0:c>
    </ns0:row>
    <ns0:row r="80" ht="15" hidden="0" customHeight="1">
      <ns0:c r="A80" s="9" t="str">
        <ns0:v>期现</ns0:v>
      </ns0:c>
      <ns0:c r="B80" s="9" t="str">
        <ns0:v>开盘偏离与修复</ns0:v>
      </ns0:c>
      <ns0:c r="C80" s="9" t="str">
        <ns0:v>未调整简单年化</ns0:v>
      </ns0:c>
      <ns0:c r="D80" s="9" t="str"/>
      <ns0:c r="E80" s="9" t="str"/>
      <ns0:c r="F80" s="9" t="str"/>
      <ns0:c r="G80" s="9" t="str"/>
      <ns0:c r="H80" s="9" t="str">
        <ns0:v>nonregression-v2</ns0:v>
      </ns0:c>
      <ns0:c r="I80" s="9" t="str">
        <ns0:v>B01</ns0:v>
      </ns0:c>
      <ns0:c r="J80" s="9" t="str">
        <ns0:v>B01::raw_annual::v1</ns0:v>
      </ns0:c>
    </ns0:row>
    <ns0:row r="81" ht="15" hidden="0" customHeight="1">
      <ns0:c r="A81" s="9" t="str">
        <ns0:v>期现</ns0:v>
      </ns0:c>
      <ns0:c r="B81" s="9" t="str">
        <ns0:v>开盘偏离与修复</ns0:v>
      </ns0:c>
      <ns0:c r="C81" s="9" t="str">
        <ns0:v>未调整对数年化</ns0:v>
      </ns0:c>
      <ns0:c r="D81" s="9" t="str"/>
      <ns0:c r="E81" s="9" t="str"/>
      <ns0:c r="F81" s="9" t="str"/>
      <ns0:c r="G81" s="9" t="str"/>
      <ns0:c r="H81" s="9" t="str">
        <ns0:v>nonregression-v2</ns0:v>
      </ns0:c>
      <ns0:c r="I81" s="9" t="str">
        <ns0:v>B01</ns0:v>
      </ns0:c>
      <ns0:c r="J81" s="9" t="str">
        <ns0:v>B01::log_annual::v1</ns0:v>
      </ns0:c>
    </ns0:row>
    <ns0:row r="82" ht="15" hidden="0" customHeight="1">
      <ns0:c r="A82" s="9" t="str">
        <ns0:v>期现</ns0:v>
      </ns0:c>
      <ns0:c r="B82" s="9" t="str">
        <ns0:v>同步分钟量加权中枢</ns0:v>
      </ns0:c>
      <ns0:c r="C82" s="9" t="str">
        <ns0:v>期货收盘价 close</ns0:v>
      </ns0:c>
      <ns0:c r="D82" s="9" t="str"/>
      <ns0:c r="E82" s="9" t="str"/>
      <ns0:c r="F82" s="9" t="str"/>
      <ns0:c r="G82" s="9" t="str"/>
      <ns0:c r="H82" s="9" t="str">
        <ns0:v>nonregression-v2</ns0:v>
      </ns0:c>
      <ns0:c r="I82" s="9" t="str">
        <ns0:v>B02</ns0:v>
      </ns0:c>
      <ns0:c r="J82" s="9" t="str">
        <ns0:v>B02::future::v1</ns0:v>
      </ns0:c>
    </ns0:row>
    <ns0:row r="83" ht="15" hidden="0" customHeight="1">
      <ns0:c r="A83" s="9" t="str">
        <ns0:v>期现</ns0:v>
      </ns0:c>
      <ns0:c r="B83" s="9" t="str">
        <ns0:v>同步分钟量加权中枢</ns0:v>
      </ns0:c>
      <ns0:c r="C83" s="9" t="str">
        <ns0:v>分红调整基差（bp）</ns0:v>
      </ns0:c>
      <ns0:c r="D83" s="9" t="str"/>
      <ns0:c r="E83" s="9" t="str"/>
      <ns0:c r="F83" s="9" t="str"/>
      <ns0:c r="G83" s="9" t="str"/>
      <ns0:c r="H83" s="9" t="str">
        <ns0:v>nonregression-v2</ns0:v>
      </ns0:c>
      <ns0:c r="I83" s="9" t="str">
        <ns0:v>B02</ns0:v>
      </ns0:c>
      <ns0:c r="J83" s="9" t="str">
        <ns0:v>B02::basis::v1</ns0:v>
      </ns0:c>
    </ns0:row>
    <ns0:row r="84" ht="15" hidden="0" customHeight="1">
      <ns0:c r="A84" s="9" t="str">
        <ns0:v>期现</ns0:v>
      </ns0:c>
      <ns0:c r="B84" s="9" t="str">
        <ns0:v>同步分钟量加权中枢</ns0:v>
      </ns0:c>
      <ns0:c r="C84" s="9" t="str">
        <ns0:v>分红调整基差年化</ns0:v>
      </ns0:c>
      <ns0:c r="D84" s="9" t="str"/>
      <ns0:c r="E84" s="9" t="str"/>
      <ns0:c r="F84" s="9" t="str"/>
      <ns0:c r="G84" s="9" t="str"/>
      <ns0:c r="H84" s="9" t="str">
        <ns0:v>nonregression-v2</ns0:v>
      </ns0:c>
      <ns0:c r="I84" s="9" t="str">
        <ns0:v>B02</ns0:v>
      </ns0:c>
      <ns0:c r="J84" s="9" t="str">
        <ns0:v>B02::annual::v1</ns0:v>
      </ns0:c>
    </ns0:row>
    <ns0:row r="85" ht="15" hidden="0" customHeight="1">
      <ns0:c r="A85" s="9" t="str">
        <ns0:v>期现</ns0:v>
      </ns0:c>
      <ns0:c r="B85" s="9" t="str">
        <ns0:v>同步分钟量加权中枢</ns0:v>
      </ns0:c>
      <ns0:c r="C85" s="9" t="str">
        <ns0:v>未调整普通基差（bp）</ns0:v>
      </ns0:c>
      <ns0:c r="D85" s="9" t="str"/>
      <ns0:c r="E85" s="9" t="str"/>
      <ns0:c r="F85" s="9" t="str"/>
      <ns0:c r="G85" s="9" t="str"/>
      <ns0:c r="H85" s="9" t="str">
        <ns0:v>nonregression-v2</ns0:v>
      </ns0:c>
      <ns0:c r="I85" s="9" t="str">
        <ns0:v>B02</ns0:v>
      </ns0:c>
      <ns0:c r="J85" s="9" t="str">
        <ns0:v>B02::raw_basis::v1</ns0:v>
      </ns0:c>
    </ns0:row>
    <ns0:row r="86" ht="15" hidden="0" customHeight="1">
      <ns0:c r="A86" s="9" t="str">
        <ns0:v>期现</ns0:v>
      </ns0:c>
      <ns0:c r="B86" s="9" t="str">
        <ns0:v>同步分钟量加权中枢</ns0:v>
      </ns0:c>
      <ns0:c r="C86" s="9" t="str">
        <ns0:v>未调整对数基差（bp）</ns0:v>
      </ns0:c>
      <ns0:c r="D86" s="9" t="str"/>
      <ns0:c r="E86" s="9" t="str"/>
      <ns0:c r="F86" s="9" t="str"/>
      <ns0:c r="G86" s="9" t="str"/>
      <ns0:c r="H86" s="9" t="str">
        <ns0:v>nonregression-v2</ns0:v>
      </ns0:c>
      <ns0:c r="I86" s="9" t="str">
        <ns0:v>B02</ns0:v>
      </ns0:c>
      <ns0:c r="J86" s="9" t="str">
        <ns0:v>B02::log_basis::v1</ns0:v>
      </ns0:c>
    </ns0:row>
    <ns0:row r="87" ht="15" hidden="0" customHeight="1">
      <ns0:c r="A87" s="9" t="str">
        <ns0:v>期现</ns0:v>
      </ns0:c>
      <ns0:c r="B87" s="9" t="str">
        <ns0:v>同步分钟量加权中枢</ns0:v>
      </ns0:c>
      <ns0:c r="C87" s="9" t="str">
        <ns0:v>未调整简单年化</ns0:v>
      </ns0:c>
      <ns0:c r="D87" s="9" t="str"/>
      <ns0:c r="E87" s="9" t="str"/>
      <ns0:c r="F87" s="9" t="str"/>
      <ns0:c r="G87" s="9" t="str"/>
      <ns0:c r="H87" s="9" t="str">
        <ns0:v>nonregression-v2</ns0:v>
      </ns0:c>
      <ns0:c r="I87" s="9" t="str">
        <ns0:v>B02</ns0:v>
      </ns0:c>
      <ns0:c r="J87" s="9" t="str">
        <ns0:v>B02::raw_annual::v1</ns0:v>
      </ns0:c>
    </ns0:row>
    <ns0:row r="88" ht="15" hidden="0" customHeight="1">
      <ns0:c r="A88" s="9" t="str">
        <ns0:v>期现</ns0:v>
      </ns0:c>
      <ns0:c r="B88" s="9" t="str">
        <ns0:v>同步分钟量加权中枢</ns0:v>
      </ns0:c>
      <ns0:c r="C88" s="9" t="str">
        <ns0:v>未调整对数年化</ns0:v>
      </ns0:c>
      <ns0:c r="D88" s="9" t="str"/>
      <ns0:c r="E88" s="9" t="str"/>
      <ns0:c r="F88" s="9" t="str"/>
      <ns0:c r="G88" s="9" t="str"/>
      <ns0:c r="H88" s="9" t="str">
        <ns0:v>nonregression-v2</ns0:v>
      </ns0:c>
      <ns0:c r="I88" s="9" t="str">
        <ns0:v>B02</ns0:v>
      </ns0:c>
      <ns0:c r="J88" s="9" t="str">
        <ns0:v>B02::log_annual::v1</ns0:v>
      </ns0:c>
    </ns0:row>
    <ns0:row r="89" ht="15" hidden="0" customHeight="1">
      <ns0:c r="A89" s="9" t="str">
        <ns0:v>期现</ns0:v>
      </ns0:c>
      <ns0:c r="B89" s="9" t="str">
        <ns0:v>各腿独立增仓加权漂移</ns0:v>
      </ns0:c>
      <ns0:c r="C89" s="9" t="str">
        <ns0:v>期货收盘价 close</ns0:v>
      </ns0:c>
      <ns0:c r="D89" s="9" t="str"/>
      <ns0:c r="E89" s="9" t="str"/>
      <ns0:c r="F89" s="9" t="str"/>
      <ns0:c r="G89" s="9" t="str"/>
      <ns0:c r="H89" s="9" t="str">
        <ns0:v>nonregression-v2</ns0:v>
      </ns0:c>
      <ns0:c r="I89" s="9" t="str">
        <ns0:v>B03</ns0:v>
      </ns0:c>
      <ns0:c r="J89" s="9" t="str">
        <ns0:v>B03::future::v1</ns0:v>
      </ns0:c>
    </ns0:row>
    <ns0:row r="90" ht="15" hidden="0" customHeight="1">
      <ns0:c r="A90" s="9" t="str">
        <ns0:v>期现</ns0:v>
      </ns0:c>
      <ns0:c r="B90" s="9" t="str">
        <ns0:v>各腿独立增仓加权漂移</ns0:v>
      </ns0:c>
      <ns0:c r="C90" s="9" t="str">
        <ns0:v>分红调整基差（bp）</ns0:v>
      </ns0:c>
      <ns0:c r="D90" s="9" t="str"/>
      <ns0:c r="E90" s="9" t="str"/>
      <ns0:c r="F90" s="9" t="str"/>
      <ns0:c r="G90" s="9" t="str"/>
      <ns0:c r="H90" s="9" t="str">
        <ns0:v>nonregression-v2</ns0:v>
      </ns0:c>
      <ns0:c r="I90" s="9" t="str">
        <ns0:v>B03</ns0:v>
      </ns0:c>
      <ns0:c r="J90" s="9" t="str">
        <ns0:v>B03::basis::v1</ns0:v>
      </ns0:c>
    </ns0:row>
    <ns0:row r="91" ht="15" hidden="0" customHeight="1">
      <ns0:c r="A91" s="9" t="str">
        <ns0:v>期现</ns0:v>
      </ns0:c>
      <ns0:c r="B91" s="9" t="str">
        <ns0:v>各腿独立增仓加权漂移</ns0:v>
      </ns0:c>
      <ns0:c r="C91" s="9" t="str">
        <ns0:v>分红调整基差年化</ns0:v>
      </ns0:c>
      <ns0:c r="D91" s="9" t="str"/>
      <ns0:c r="E91" s="9" t="str"/>
      <ns0:c r="F91" s="9" t="str"/>
      <ns0:c r="G91" s="9" t="str"/>
      <ns0:c r="H91" s="9" t="str">
        <ns0:v>nonregression-v2</ns0:v>
      </ns0:c>
      <ns0:c r="I91" s="9" t="str">
        <ns0:v>B03</ns0:v>
      </ns0:c>
      <ns0:c r="J91" s="9" t="str">
        <ns0:v>B03::annual::v1</ns0:v>
      </ns0:c>
    </ns0:row>
    <ns0:row r="92" ht="15" hidden="0" customHeight="1">
      <ns0:c r="A92" s="9" t="str">
        <ns0:v>期现</ns0:v>
      </ns0:c>
      <ns0:c r="B92" s="9" t="str">
        <ns0:v>各腿独立增仓加权漂移</ns0:v>
      </ns0:c>
      <ns0:c r="C92" s="9" t="str">
        <ns0:v>未调整普通基差（bp）</ns0:v>
      </ns0:c>
      <ns0:c r="D92" s="9" t="str"/>
      <ns0:c r="E92" s="9" t="str"/>
      <ns0:c r="F92" s="9" t="str"/>
      <ns0:c r="G92" s="9" t="str"/>
      <ns0:c r="H92" s="9" t="str">
        <ns0:v>nonregression-v2</ns0:v>
      </ns0:c>
      <ns0:c r="I92" s="9" t="str">
        <ns0:v>B03</ns0:v>
      </ns0:c>
      <ns0:c r="J92" s="9" t="str">
        <ns0:v>B03::raw_basis::v1</ns0:v>
      </ns0:c>
    </ns0:row>
    <ns0:row r="93" ht="15" hidden="0" customHeight="1">
      <ns0:c r="A93" s="9" t="str">
        <ns0:v>期现</ns0:v>
      </ns0:c>
      <ns0:c r="B93" s="9" t="str">
        <ns0:v>各腿独立增仓加权漂移</ns0:v>
      </ns0:c>
      <ns0:c r="C93" s="9" t="str">
        <ns0:v>未调整对数基差（bp）</ns0:v>
      </ns0:c>
      <ns0:c r="D93" s="9" t="str"/>
      <ns0:c r="E93" s="9" t="str"/>
      <ns0:c r="F93" s="9" t="str"/>
      <ns0:c r="G93" s="9" t="str"/>
      <ns0:c r="H93" s="9" t="str">
        <ns0:v>nonregression-v2</ns0:v>
      </ns0:c>
      <ns0:c r="I93" s="9" t="str">
        <ns0:v>B03</ns0:v>
      </ns0:c>
      <ns0:c r="J93" s="9" t="str">
        <ns0:v>B03::log_basis::v1</ns0:v>
      </ns0:c>
    </ns0:row>
    <ns0:row r="94" ht="15" hidden="0" customHeight="1">
      <ns0:c r="A94" s="9" t="str">
        <ns0:v>期现</ns0:v>
      </ns0:c>
      <ns0:c r="B94" s="9" t="str">
        <ns0:v>各腿独立增仓加权漂移</ns0:v>
      </ns0:c>
      <ns0:c r="C94" s="9" t="str">
        <ns0:v>未调整简单年化</ns0:v>
      </ns0:c>
      <ns0:c r="D94" s="9" t="str"/>
      <ns0:c r="E94" s="9" t="str"/>
      <ns0:c r="F94" s="9" t="str"/>
      <ns0:c r="G94" s="9" t="str"/>
      <ns0:c r="H94" s="9" t="str">
        <ns0:v>nonregression-v2</ns0:v>
      </ns0:c>
      <ns0:c r="I94" s="9" t="str">
        <ns0:v>B03</ns0:v>
      </ns0:c>
      <ns0:c r="J94" s="9" t="str">
        <ns0:v>B03::raw_annual::v1</ns0:v>
      </ns0:c>
    </ns0:row>
    <ns0:row r="95" ht="15" hidden="0" customHeight="1">
      <ns0:c r="A95" s="9" t="str">
        <ns0:v>期现</ns0:v>
      </ns0:c>
      <ns0:c r="B95" s="9" t="str">
        <ns0:v>各腿独立增仓加权漂移</ns0:v>
      </ns0:c>
      <ns0:c r="C95" s="9" t="str">
        <ns0:v>未调整对数年化</ns0:v>
      </ns0:c>
      <ns0:c r="D95" s="9" t="str"/>
      <ns0:c r="E95" s="9" t="str"/>
      <ns0:c r="F95" s="9" t="str"/>
      <ns0:c r="G95" s="9" t="str"/>
      <ns0:c r="H95" s="9" t="str">
        <ns0:v>nonregression-v2</ns0:v>
      </ns0:c>
      <ns0:c r="I95" s="9" t="str">
        <ns0:v>B03</ns0:v>
      </ns0:c>
      <ns0:c r="J95" s="9" t="str">
        <ns0:v>B03::log_annual::v1</ns0:v>
      </ns0:c>
    </ns0:row>
    <ns0:row r="96" ht="15" hidden="0" customHeight="1">
      <ns0:c r="A96" s="9" t="str">
        <ns0:v>期现</ns0:v>
      </ns0:c>
      <ns0:c r="B96" s="9" t="str">
        <ns0:v>真实换手与增仓</ns0:v>
      </ns0:c>
      <ns0:c r="C96" s="9" t="str">
        <ns0:v>固定口径（不随 X 改变）</ns0:v>
      </ns0:c>
      <ns0:c r="D96" s="9" t="str"/>
      <ns0:c r="E96" s="9" t="str"/>
      <ns0:c r="F96" s="9" t="str"/>
      <ns0:c r="G96" s="9" t="str"/>
      <ns0:c r="H96" s="9" t="str">
        <ns0:v>nonregression-v2</ns0:v>
      </ns0:c>
      <ns0:c r="I96" s="9" t="str">
        <ns0:v>B04</ns0:v>
      </ns0:c>
      <ns0:c r="J96" s="9" t="str">
        <ns0:v>B04::fixed::v1</ns0:v>
      </ns0:c>
    </ns0:row>
    <ns0:row r="97" ht="15" hidden="0" customHeight="1">
      <ns0:c r="A97" s="9" t="str">
        <ns0:v>期现</ns0:v>
      </ns0:c>
      <ns0:c r="B97" s="9" t="str">
        <ns0:v>收盘位置与真实量能条件</ns0:v>
      </ns0:c>
      <ns0:c r="C97" s="9" t="str">
        <ns0:v>期货收盘价 close</ns0:v>
      </ns0:c>
      <ns0:c r="D97" s="9" t="str"/>
      <ns0:c r="E97" s="9" t="str"/>
      <ns0:c r="F97" s="9" t="str"/>
      <ns0:c r="G97" s="9" t="str"/>
      <ns0:c r="H97" s="9" t="str">
        <ns0:v>nonregression-v2</ns0:v>
      </ns0:c>
      <ns0:c r="I97" s="9" t="str">
        <ns0:v>B07</ns0:v>
      </ns0:c>
      <ns0:c r="J97" s="9" t="str">
        <ns0:v>B07::future::v1</ns0:v>
      </ns0:c>
    </ns0:row>
    <ns0:row r="98" ht="15" hidden="0" customHeight="1">
      <ns0:c r="A98" s="9" t="str">
        <ns0:v>期现</ns0:v>
      </ns0:c>
      <ns0:c r="B98" s="9" t="str">
        <ns0:v>真实成交相对活跃</ns0:v>
      </ns0:c>
      <ns0:c r="C98" s="9" t="str">
        <ns0:v>固定口径（不随 X 改变）</ns0:v>
      </ns0:c>
      <ns0:c r="D98" s="9" t="str"/>
      <ns0:c r="E98" s="9" t="str"/>
      <ns0:c r="F98" s="9" t="str"/>
      <ns0:c r="G98" s="9" t="str"/>
      <ns0:c r="H98" s="9" t="str">
        <ns0:v>nonregression-v2</ns0:v>
      </ns0:c>
      <ns0:c r="I98" s="9" t="str">
        <ns0:v>B09</ns0:v>
      </ns0:c>
      <ns0:c r="J98" s="9" t="str">
        <ns0:v>B09::fixed::v1</ns0:v>
      </ns0:c>
    </ns0:row>
    <ns0:row r="99" ht="15" hidden="0" customHeight="1">
      <ns0:c r="A99" s="9" t="str">
        <ns0:v>期现</ns0:v>
      </ns0:c>
      <ns0:c r="B99" s="9" t="str">
        <ns0:v>路径效率</ns0:v>
      </ns0:c>
      <ns0:c r="C99" s="9" t="str">
        <ns0:v>期货收盘价 close</ns0:v>
      </ns0:c>
      <ns0:c r="D99" s="9" t="str"/>
      <ns0:c r="E99" s="9" t="str"/>
      <ns0:c r="F99" s="9" t="str"/>
      <ns0:c r="G99" s="9" t="str"/>
      <ns0:c r="H99" s="9" t="str">
        <ns0:v>nonregression-v2</ns0:v>
      </ns0:c>
      <ns0:c r="I99" s="9" t="str">
        <ns0:v>B10</ns0:v>
      </ns0:c>
      <ns0:c r="J99" s="9" t="str">
        <ns0:v>B10::future::v1</ns0:v>
      </ns0:c>
    </ns0:row>
    <ns0:row r="100" ht="15" hidden="0" customHeight="1">
      <ns0:c r="A100" s="9" t="str">
        <ns0:v>期现</ns0:v>
      </ns0:c>
      <ns0:c r="B100" s="9" t="str">
        <ns0:v>路径效率</ns0:v>
      </ns0:c>
      <ns0:c r="C100" s="9" t="str">
        <ns0:v>分红调整基差（bp）</ns0:v>
      </ns0:c>
      <ns0:c r="D100" s="9" t="str"/>
      <ns0:c r="E100" s="9" t="str"/>
      <ns0:c r="F100" s="9" t="str"/>
      <ns0:c r="G100" s="9" t="str"/>
      <ns0:c r="H100" s="9" t="str">
        <ns0:v>nonregression-v2</ns0:v>
      </ns0:c>
      <ns0:c r="I100" s="9" t="str">
        <ns0:v>B10</ns0:v>
      </ns0:c>
      <ns0:c r="J100" s="9" t="str">
        <ns0:v>B10::basis::v1</ns0:v>
      </ns0:c>
    </ns0:row>
    <ns0:row r="101" ht="15" hidden="0" customHeight="1">
      <ns0:c r="A101" s="9" t="str">
        <ns0:v>期现</ns0:v>
      </ns0:c>
      <ns0:c r="B101" s="9" t="str">
        <ns0:v>路径效率</ns0:v>
      </ns0:c>
      <ns0:c r="C101" s="9" t="str">
        <ns0:v>分红调整基差年化</ns0:v>
      </ns0:c>
      <ns0:c r="D101" s="9" t="str"/>
      <ns0:c r="E101" s="9" t="str"/>
      <ns0:c r="F101" s="9" t="str"/>
      <ns0:c r="G101" s="9" t="str"/>
      <ns0:c r="H101" s="9" t="str">
        <ns0:v>nonregression-v2</ns0:v>
      </ns0:c>
      <ns0:c r="I101" s="9" t="str">
        <ns0:v>B10</ns0:v>
      </ns0:c>
      <ns0:c r="J101" s="9" t="str">
        <ns0:v>B10::annual::v1</ns0:v>
      </ns0:c>
    </ns0:row>
    <ns0:row r="102" ht="15" hidden="0" customHeight="1">
      <ns0:c r="A102" s="9" t="str">
        <ns0:v>期现</ns0:v>
      </ns0:c>
      <ns0:c r="B102" s="9" t="str">
        <ns0:v>路径效率</ns0:v>
      </ns0:c>
      <ns0:c r="C102" s="9" t="str">
        <ns0:v>未调整普通基差（bp）</ns0:v>
      </ns0:c>
      <ns0:c r="D102" s="9" t="str"/>
      <ns0:c r="E102" s="9" t="str"/>
      <ns0:c r="F102" s="9" t="str"/>
      <ns0:c r="G102" s="9" t="str"/>
      <ns0:c r="H102" s="9" t="str">
        <ns0:v>nonregression-v2</ns0:v>
      </ns0:c>
      <ns0:c r="I102" s="9" t="str">
        <ns0:v>B10</ns0:v>
      </ns0:c>
      <ns0:c r="J102" s="9" t="str">
        <ns0:v>B10::raw_basis::v1</ns0:v>
      </ns0:c>
    </ns0:row>
    <ns0:row r="103" ht="15" hidden="0" customHeight="1">
      <ns0:c r="A103" s="9" t="str">
        <ns0:v>期现</ns0:v>
      </ns0:c>
      <ns0:c r="B103" s="9" t="str">
        <ns0:v>路径效率</ns0:v>
      </ns0:c>
      <ns0:c r="C103" s="9" t="str">
        <ns0:v>未调整对数基差（bp）</ns0:v>
      </ns0:c>
      <ns0:c r="D103" s="9" t="str"/>
      <ns0:c r="E103" s="9" t="str"/>
      <ns0:c r="F103" s="9" t="str"/>
      <ns0:c r="G103" s="9" t="str"/>
      <ns0:c r="H103" s="9" t="str">
        <ns0:v>nonregression-v2</ns0:v>
      </ns0:c>
      <ns0:c r="I103" s="9" t="str">
        <ns0:v>B10</ns0:v>
      </ns0:c>
      <ns0:c r="J103" s="9" t="str">
        <ns0:v>B10::log_basis::v1</ns0:v>
      </ns0:c>
    </ns0:row>
    <ns0:row r="104" ht="15" hidden="0" customHeight="1">
      <ns0:c r="A104" s="9" t="str">
        <ns0:v>期现</ns0:v>
      </ns0:c>
      <ns0:c r="B104" s="9" t="str">
        <ns0:v>路径效率</ns0:v>
      </ns0:c>
      <ns0:c r="C104" s="9" t="str">
        <ns0:v>未调整简单年化</ns0:v>
      </ns0:c>
      <ns0:c r="D104" s="9" t="str"/>
      <ns0:c r="E104" s="9" t="str"/>
      <ns0:c r="F104" s="9" t="str"/>
      <ns0:c r="G104" s="9" t="str"/>
      <ns0:c r="H104" s="9" t="str">
        <ns0:v>nonregression-v2</ns0:v>
      </ns0:c>
      <ns0:c r="I104" s="9" t="str">
        <ns0:v>B10</ns0:v>
      </ns0:c>
      <ns0:c r="J104" s="9" t="str">
        <ns0:v>B10::raw_annual::v1</ns0:v>
      </ns0:c>
    </ns0:row>
    <ns0:row r="105" ht="15" hidden="0" customHeight="1">
      <ns0:c r="A105" s="9" t="str">
        <ns0:v>期现</ns0:v>
      </ns0:c>
      <ns0:c r="B105" s="9" t="str">
        <ns0:v>路径效率</ns0:v>
      </ns0:c>
      <ns0:c r="C105" s="9" t="str">
        <ns0:v>未调整对数年化</ns0:v>
      </ns0:c>
      <ns0:c r="D105" s="9" t="str"/>
      <ns0:c r="E105" s="9" t="str"/>
      <ns0:c r="F105" s="9" t="str"/>
      <ns0:c r="G105" s="9" t="str"/>
      <ns0:c r="H105" s="9" t="str">
        <ns0:v>nonregression-v2</ns0:v>
      </ns0:c>
      <ns0:c r="I105" s="9" t="str">
        <ns0:v>B10</ns0:v>
      </ns0:c>
      <ns0:c r="J105" s="9" t="str">
        <ns0:v>B10::log_annual::v1</ns0:v>
      </ns0:c>
    </ns0:row>
    <ns0:row r="106" ht="15" hidden="0" customHeight="1">
      <ns0:c r="A106" s="9" t="str">
        <ns0:v>期现</ns0:v>
      </ns0:c>
      <ns0:c r="B106" s="9" t="str">
        <ns0:v>各腿振幅压力</ns0:v>
      </ns0:c>
      <ns0:c r="C106" s="9" t="str">
        <ns0:v>期货收盘价 close</ns0:v>
      </ns0:c>
      <ns0:c r="D106" s="9" t="str"/>
      <ns0:c r="E106" s="9" t="str"/>
      <ns0:c r="F106" s="9" t="str"/>
      <ns0:c r="G106" s="9" t="str"/>
      <ns0:c r="H106" s="9" t="str">
        <ns0:v>nonregression-v2</ns0:v>
      </ns0:c>
      <ns0:c r="I106" s="9" t="str">
        <ns0:v>B11</ns0:v>
      </ns0:c>
      <ns0:c r="J106" s="9" t="str">
        <ns0:v>B11::future::v1</ns0:v>
      </ns0:c>
    </ns0:row>
    <ns0:row r="107" ht="15" hidden="0" customHeight="1">
      <ns0:c r="A107" s="9" t="str">
        <ns0:v>期现</ns0:v>
      </ns0:c>
      <ns0:c r="B107" s="9" t="str">
        <ns0:v>各腿振幅压力</ns0:v>
      </ns0:c>
      <ns0:c r="C107" s="9" t="str">
        <ns0:v>分红调整基差（bp）</ns0:v>
      </ns0:c>
      <ns0:c r="D107" s="9" t="str"/>
      <ns0:c r="E107" s="9" t="str"/>
      <ns0:c r="F107" s="9" t="str"/>
      <ns0:c r="G107" s="9" t="str"/>
      <ns0:c r="H107" s="9" t="str">
        <ns0:v>nonregression-v2</ns0:v>
      </ns0:c>
      <ns0:c r="I107" s="9" t="str">
        <ns0:v>B11</ns0:v>
      </ns0:c>
      <ns0:c r="J107" s="9" t="str">
        <ns0:v>B11::basis::v1</ns0:v>
      </ns0:c>
    </ns0:row>
    <ns0:row r="108" ht="15" hidden="0" customHeight="1">
      <ns0:c r="A108" s="9" t="str">
        <ns0:v>期现</ns0:v>
      </ns0:c>
      <ns0:c r="B108" s="9" t="str">
        <ns0:v>各腿振幅压力</ns0:v>
      </ns0:c>
      <ns0:c r="C108" s="9" t="str">
        <ns0:v>分红调整基差年化</ns0:v>
      </ns0:c>
      <ns0:c r="D108" s="9" t="str"/>
      <ns0:c r="E108" s="9" t="str"/>
      <ns0:c r="F108" s="9" t="str"/>
      <ns0:c r="G108" s="9" t="str"/>
      <ns0:c r="H108" s="9" t="str">
        <ns0:v>nonregression-v2</ns0:v>
      </ns0:c>
      <ns0:c r="I108" s="9" t="str">
        <ns0:v>B11</ns0:v>
      </ns0:c>
      <ns0:c r="J108" s="9" t="str">
        <ns0:v>B11::annual::v1</ns0:v>
      </ns0:c>
    </ns0:row>
    <ns0:row r="109" ht="15" hidden="0" customHeight="1">
      <ns0:c r="A109" s="9" t="str">
        <ns0:v>期现</ns0:v>
      </ns0:c>
      <ns0:c r="B109" s="9" t="str">
        <ns0:v>各腿振幅压力</ns0:v>
      </ns0:c>
      <ns0:c r="C109" s="9" t="str">
        <ns0:v>未调整普通基差（bp）</ns0:v>
      </ns0:c>
      <ns0:c r="D109" s="9" t="str"/>
      <ns0:c r="E109" s="9" t="str"/>
      <ns0:c r="F109" s="9" t="str"/>
      <ns0:c r="G109" s="9" t="str"/>
      <ns0:c r="H109" s="9" t="str">
        <ns0:v>nonregression-v2</ns0:v>
      </ns0:c>
      <ns0:c r="I109" s="9" t="str">
        <ns0:v>B11</ns0:v>
      </ns0:c>
      <ns0:c r="J109" s="9" t="str">
        <ns0:v>B11::raw_basis::v1</ns0:v>
      </ns0:c>
    </ns0:row>
    <ns0:row r="110" ht="15" hidden="0" customHeight="1">
      <ns0:c r="A110" s="9" t="str">
        <ns0:v>期现</ns0:v>
      </ns0:c>
      <ns0:c r="B110" s="9" t="str">
        <ns0:v>各腿振幅压力</ns0:v>
      </ns0:c>
      <ns0:c r="C110" s="9" t="str">
        <ns0:v>未调整对数基差（bp）</ns0:v>
      </ns0:c>
      <ns0:c r="D110" s="9" t="str"/>
      <ns0:c r="E110" s="9" t="str"/>
      <ns0:c r="F110" s="9" t="str"/>
      <ns0:c r="G110" s="9" t="str"/>
      <ns0:c r="H110" s="9" t="str">
        <ns0:v>nonregression-v2</ns0:v>
      </ns0:c>
      <ns0:c r="I110" s="9" t="str">
        <ns0:v>B11</ns0:v>
      </ns0:c>
      <ns0:c r="J110" s="9" t="str">
        <ns0:v>B11::log_basis::v1</ns0:v>
      </ns0:c>
    </ns0:row>
    <ns0:row r="111" ht="15" hidden="0" customHeight="1">
      <ns0:c r="A111" s="9" t="str">
        <ns0:v>期现</ns0:v>
      </ns0:c>
      <ns0:c r="B111" s="9" t="str">
        <ns0:v>各腿振幅压力</ns0:v>
      </ns0:c>
      <ns0:c r="C111" s="9" t="str">
        <ns0:v>未调整简单年化</ns0:v>
      </ns0:c>
      <ns0:c r="D111" s="9" t="str"/>
      <ns0:c r="E111" s="9" t="str"/>
      <ns0:c r="F111" s="9" t="str"/>
      <ns0:c r="G111" s="9" t="str"/>
      <ns0:c r="H111" s="9" t="str">
        <ns0:v>nonregression-v2</ns0:v>
      </ns0:c>
      <ns0:c r="I111" s="9" t="str">
        <ns0:v>B11</ns0:v>
      </ns0:c>
      <ns0:c r="J111" s="9" t="str">
        <ns0:v>B11::raw_annual::v1</ns0:v>
      </ns0:c>
    </ns0:row>
    <ns0:row r="112" ht="15" hidden="0" customHeight="1">
      <ns0:c r="A112" s="9" t="str">
        <ns0:v>期现</ns0:v>
      </ns0:c>
      <ns0:c r="B112" s="9" t="str">
        <ns0:v>各腿振幅压力</ns0:v>
      </ns0:c>
      <ns0:c r="C112" s="9" t="str">
        <ns0:v>未调整对数年化</ns0:v>
      </ns0:c>
      <ns0:c r="D112" s="9" t="str"/>
      <ns0:c r="E112" s="9" t="str"/>
      <ns0:c r="F112" s="9" t="str"/>
      <ns0:c r="G112" s="9" t="str"/>
      <ns0:c r="H112" s="9" t="str">
        <ns0:v>nonregression-v2</ns0:v>
      </ns0:c>
      <ns0:c r="I112" s="9" t="str">
        <ns0:v>B11</ns0:v>
      </ns0:c>
      <ns0:c r="J112" s="9" t="str">
        <ns0:v>B11::log_annual::v1</ns0:v>
      </ns0:c>
    </ns0:row>
    <ns0:row r="113" ht="52.79999923706055" hidden="0" customHeight="1">
      <ns0:c r="A113" s="9" t="str">
        <ns0:v>同品种跨期</ns0:v>
      </ns0:c>
      <ns0:c r="B113" s="9" t="str">
        <ns0:v>合约对历史均值</ns0:v>
      </ns0:c>
      <ns0:c r="C113" s="9" t="str">
        <ns0:v>跨期价差 close（近−远）</ns0:v>
      </ns0:c>
      <ns0:c r="D113" s="9" t="str">
        <ns0:v>A=近月，B=远月。X=F近−F远。</ns0:v>
      </ns0:c>
      <ns0:c r="E113" s="9" t="str">
        <ns0:v>与X同单位；表示这对合约自身的近期中心。</ns0:v>
      </ns0:c>
      <ns0:c r="F113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3" s="9" t="str">
        <ns0:v>contract-pair-v3</ns0:v>
      </ns0:c>
      <ns0:c r="I113" s="9" t="str">
        <ns0:v>A03.mean</ns0:v>
      </ns0:c>
      <ns0:c r="J113" s="9" t="str">
        <ns0:v>A03.mean::future::v1</ns0:v>
      </ns0:c>
    </ns0:row>
    <ns0:row r="114" ht="52.79999923706055" hidden="0" customHeight="1">
      <ns0:c r="A114" s="9" t="str">
        <ns0:v>同品种跨期</ns0:v>
      </ns0:c>
      <ns0:c r="B114" s="9" t="str">
        <ns0:v>合约对历史均值</ns0:v>
      </ns0:c>
      <ns0:c r="C114" s="9" t="str">
        <ns0:v>分红调整跨期基差（bp）</ns0:v>
      </ns0:c>
      <ns0:c r="D114" s="9" t="str">
        <ns0:v>A=近月，B=远月。X=10000 × [(F近+D近)−(F远+D远)] / S。</ns0:v>
      </ns0:c>
      <ns0:c r="E114" s="9" t="str">
        <ns0:v>与X同单位；表示这对合约自身的近期中心。</ns0:v>
      </ns0:c>
      <ns0:c r="F114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4" s="9" t="str">
        <ns0:v>contract-pair-v3</ns0:v>
      </ns0:c>
      <ns0:c r="I114" s="9" t="str">
        <ns0:v>A03.mean</ns0:v>
      </ns0:c>
      <ns0:c r="J114" s="9" t="str">
        <ns0:v>A03.mean::basis::v1</ns0:v>
      </ns0:c>
    </ns0:row>
    <ns0:row r="115" ht="52.79999923706055" hidden="0" customHeight="1">
      <ns0:c r="A115" s="9" t="str">
        <ns0:v>同品种跨期</ns0:v>
      </ns0:c>
      <ns0:c r="B115" s="9" t="str">
        <ns0:v>合约对历史均值</ns0:v>
      </ns0:c>
      <ns0:c r="C115" s="9" t="str">
        <ns0:v>分红调整期限持有率（年化）</ns0:v>
      </ns0:c>
      <ns0:c r="D115" s="9" t="str">
        <ns0:v>A=近月，B=远月。X=100 × [(F远+D远)/(F近+D近)−1] × 365/(T远−T近)，两腿T≥5。</ns0:v>
      </ns0:c>
      <ns0:c r="E115" s="9" t="str">
        <ns0:v>与X同单位；表示这对合约自身的近期中心。 输入X采用远/近，正值表示远月较贵；与近−远价差的方向不同。</ns0:v>
      </ns0:c>
      <ns0:c r="F115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5" s="9" t="str">
        <ns0:v>contract-pair-v3</ns0:v>
      </ns0:c>
      <ns0:c r="I115" s="9" t="str">
        <ns0:v>A03.mean</ns0:v>
      </ns0:c>
      <ns0:c r="J115" s="9" t="str">
        <ns0:v>A03.mean::annual::v1</ns0:v>
      </ns0:c>
    </ns0:row>
    <ns0:row r="116" ht="52.79999923706055" hidden="0" customHeight="1">
      <ns0:c r="A116" s="9" t="str">
        <ns0:v>同品种跨期</ns0:v>
      </ns0:c>
      <ns0:c r="B116" s="9" t="str">
        <ns0:v>合约对历史均值</ns0:v>
      </ns0:c>
      <ns0:c r="C116" s="9" t="str">
        <ns0:v>未调整跨期基差（bp）</ns0:v>
      </ns0:c>
      <ns0:c r="D116" s="9" t="str">
        <ns0:v>A=近月，B=远月。X=10000 × (F近−F远) / S。</ns0:v>
      </ns0:c>
      <ns0:c r="E116" s="9" t="str">
        <ns0:v>与X同单位；表示这对合约自身的近期中心。</ns0:v>
      </ns0:c>
      <ns0:c r="F116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6" s="9" t="str">
        <ns0:v>contract-pair-v3</ns0:v>
      </ns0:c>
      <ns0:c r="I116" s="9" t="str">
        <ns0:v>A03.mean</ns0:v>
      </ns0:c>
      <ns0:c r="J116" s="9" t="str">
        <ns0:v>A03.mean::raw_basis::v1</ns0:v>
      </ns0:c>
    </ns0:row>
    <ns0:row r="117" ht="52.79999923706055" hidden="0" customHeight="1">
      <ns0:c r="A117" s="9" t="str">
        <ns0:v>同品种跨期</ns0:v>
      </ns0:c>
      <ns0:c r="B117" s="9" t="str">
        <ns0:v>合约对历史均值</ns0:v>
      </ns0:c>
      <ns0:c r="C117" s="9" t="str">
        <ns0:v>未调整跨期对数价比</ns0:v>
      </ns0:c>
      <ns0:c r="D117" s="9" t="str">
        <ns0:v>A=近月，B=远月。X=10000 × ln(F近/F远)。</ns0:v>
      </ns0:c>
      <ns0:c r="E117" s="9" t="str">
        <ns0:v>与X同单位；表示这对合约自身的近期中心。</ns0:v>
      </ns0:c>
      <ns0:c r="F117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7" s="9" t="str">
        <ns0:v>contract-pair-v3</ns0:v>
      </ns0:c>
      <ns0:c r="I117" s="9" t="str">
        <ns0:v>A03.mean</ns0:v>
      </ns0:c>
      <ns0:c r="J117" s="9" t="str">
        <ns0:v>A03.mean::log_basis::v1</ns0:v>
      </ns0:c>
    </ns0:row>
    <ns0:row r="118" ht="52.79999923706055" hidden="0" customHeight="1">
      <ns0:c r="A118" s="9" t="str">
        <ns0:v>同品种跨期</ns0:v>
      </ns0:c>
      <ns0:c r="B118" s="9" t="str">
        <ns0:v>合约对历史均值</ns0:v>
      </ns0:c>
      <ns0:c r="C118" s="9" t="str">
        <ns0:v>未调整简单期限持有率</ns0:v>
      </ns0:c>
      <ns0:c r="D118" s="9" t="str">
        <ns0:v>A=近月，B=远月。X=100 × (F远/F近−1) × 365/(T远−T近)，两腿T≥5。</ns0:v>
      </ns0:c>
      <ns0:c r="E118" s="9" t="str">
        <ns0:v>与X同单位；表示这对合约自身的近期中心。 输入X采用远/近，正值表示远月较贵；与近−远价差的方向不同。</ns0:v>
      </ns0:c>
      <ns0:c r="F118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8" s="9" t="str">
        <ns0:v>contract-pair-v3</ns0:v>
      </ns0:c>
      <ns0:c r="I118" s="9" t="str">
        <ns0:v>A03.mean</ns0:v>
      </ns0:c>
      <ns0:c r="J118" s="9" t="str">
        <ns0:v>A03.mean::raw_annual::v1</ns0:v>
      </ns0:c>
    </ns0:row>
    <ns0:row r="119" ht="52.79999923706055" hidden="0" customHeight="1">
      <ns0:c r="A119" s="9" t="str">
        <ns0:v>同品种跨期</ns0:v>
      </ns0:c>
      <ns0:c r="B119" s="9" t="str">
        <ns0:v>合约对历史均值</ns0:v>
      </ns0:c>
      <ns0:c r="C119" s="9" t="str">
        <ns0:v>未调整对数期限持有率</ns0:v>
      </ns0:c>
      <ns0:c r="D119" s="9" t="str">
        <ns0:v>A=近月，B=远月。X=100 × ln(F远/F近) × 365/(T远−T近)，两腿T≥5。</ns0:v>
      </ns0:c>
      <ns0:c r="E119" s="9" t="str">
        <ns0:v>与X同单位；表示这对合约自身的近期中心。 输入X采用远/近，正值表示远月较贵；与近−远价差的方向不同。</ns0:v>
      </ns0:c>
      <ns0:c r="F119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11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19" s="9" t="str">
        <ns0:v>contract-pair-v3</ns0:v>
      </ns0:c>
      <ns0:c r="I119" s="9" t="str">
        <ns0:v>A03.mean</ns0:v>
      </ns0:c>
      <ns0:c r="J119" s="9" t="str">
        <ns0:v>A03.mean::log_annual::v1</ns0:v>
      </ns0:c>
    </ns0:row>
    <ns0:row r="120" ht="52.79999923706055" hidden="0" customHeight="1">
      <ns0:c r="A120" s="9" t="str">
        <ns0:v>同品种跨期</ns0:v>
      </ns0:c>
      <ns0:c r="B120" s="9" t="str">
        <ns0:v>合约对历史标准差</ns0:v>
      </ns0:c>
      <ns0:c r="C120" s="9" t="str">
        <ns0:v>跨期价差 close（近−远）</ns0:v>
      </ns0:c>
      <ns0:c r="D120" s="9" t="str">
        <ns0:v>A=近月，B=远月。X=F近−F远。</ns0:v>
      </ns0:c>
      <ns0:c r="E120" s="9" t="str">
        <ns0:v>与X同单位；越大表示这对合约近期波动越大。</ns0:v>
      </ns0:c>
      <ns0:c r="F120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0" s="9" t="str">
        <ns0:v>contract-pair-v3</ns0:v>
      </ns0:c>
      <ns0:c r="I120" s="9" t="str">
        <ns0:v>A03.std</ns0:v>
      </ns0:c>
      <ns0:c r="J120" s="9" t="str">
        <ns0:v>A03.std::future::v1</ns0:v>
      </ns0:c>
    </ns0:row>
    <ns0:row r="121" ht="52.79999923706055" hidden="0" customHeight="1">
      <ns0:c r="A121" s="9" t="str">
        <ns0:v>同品种跨期</ns0:v>
      </ns0:c>
      <ns0:c r="B121" s="9" t="str">
        <ns0:v>合约对历史标准差</ns0:v>
      </ns0:c>
      <ns0:c r="C121" s="9" t="str">
        <ns0:v>分红调整跨期基差（bp）</ns0:v>
      </ns0:c>
      <ns0:c r="D121" s="9" t="str">
        <ns0:v>A=近月，B=远月。X=10000 × [(F近+D近)−(F远+D远)] / S。</ns0:v>
      </ns0:c>
      <ns0:c r="E121" s="9" t="str">
        <ns0:v>与X同单位；越大表示这对合约近期波动越大。</ns0:v>
      </ns0:c>
      <ns0:c r="F121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1" s="9" t="str">
        <ns0:v>contract-pair-v3</ns0:v>
      </ns0:c>
      <ns0:c r="I121" s="9" t="str">
        <ns0:v>A03.std</ns0:v>
      </ns0:c>
      <ns0:c r="J121" s="9" t="str">
        <ns0:v>A03.std::basis::v1</ns0:v>
      </ns0:c>
    </ns0:row>
    <ns0:row r="122" ht="52.79999923706055" hidden="0" customHeight="1">
      <ns0:c r="A122" s="9" t="str">
        <ns0:v>同品种跨期</ns0:v>
      </ns0:c>
      <ns0:c r="B122" s="9" t="str">
        <ns0:v>合约对历史标准差</ns0:v>
      </ns0:c>
      <ns0:c r="C122" s="9" t="str">
        <ns0:v>分红调整期限持有率（年化）</ns0:v>
      </ns0:c>
      <ns0:c r="D122" s="9" t="str">
        <ns0:v>A=近月，B=远月。X=100 × [(F远+D远)/(F近+D近)−1] × 365/(T远−T近)，两腿T≥5。</ns0:v>
      </ns0:c>
      <ns0:c r="E122" s="9" t="str">
        <ns0:v>与X同单位；越大表示这对合约近期波动越大。 输入X采用远/近，正值表示远月较贵；与近−远价差的方向不同。</ns0:v>
      </ns0:c>
      <ns0:c r="F122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2" s="9" t="str">
        <ns0:v>contract-pair-v3</ns0:v>
      </ns0:c>
      <ns0:c r="I122" s="9" t="str">
        <ns0:v>A03.std</ns0:v>
      </ns0:c>
      <ns0:c r="J122" s="9" t="str">
        <ns0:v>A03.std::annual::v1</ns0:v>
      </ns0:c>
    </ns0:row>
    <ns0:row r="123" ht="52.79999923706055" hidden="0" customHeight="1">
      <ns0:c r="A123" s="9" t="str">
        <ns0:v>同品种跨期</ns0:v>
      </ns0:c>
      <ns0:c r="B123" s="9" t="str">
        <ns0:v>合约对历史标准差</ns0:v>
      </ns0:c>
      <ns0:c r="C123" s="9" t="str">
        <ns0:v>未调整跨期基差（bp）</ns0:v>
      </ns0:c>
      <ns0:c r="D123" s="9" t="str">
        <ns0:v>A=近月，B=远月。X=10000 × (F近−F远) / S。</ns0:v>
      </ns0:c>
      <ns0:c r="E123" s="9" t="str">
        <ns0:v>与X同单位；越大表示这对合约近期波动越大。</ns0:v>
      </ns0:c>
      <ns0:c r="F123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3" s="9" t="str">
        <ns0:v>contract-pair-v3</ns0:v>
      </ns0:c>
      <ns0:c r="I123" s="9" t="str">
        <ns0:v>A03.std</ns0:v>
      </ns0:c>
      <ns0:c r="J123" s="9" t="str">
        <ns0:v>A03.std::raw_basis::v1</ns0:v>
      </ns0:c>
    </ns0:row>
    <ns0:row r="124" ht="52.79999923706055" hidden="0" customHeight="1">
      <ns0:c r="A124" s="9" t="str">
        <ns0:v>同品种跨期</ns0:v>
      </ns0:c>
      <ns0:c r="B124" s="9" t="str">
        <ns0:v>合约对历史标准差</ns0:v>
      </ns0:c>
      <ns0:c r="C124" s="9" t="str">
        <ns0:v>未调整跨期对数价比</ns0:v>
      </ns0:c>
      <ns0:c r="D124" s="9" t="str">
        <ns0:v>A=近月，B=远月。X=10000 × ln(F近/F远)。</ns0:v>
      </ns0:c>
      <ns0:c r="E124" s="9" t="str">
        <ns0:v>与X同单位；越大表示这对合约近期波动越大。</ns0:v>
      </ns0:c>
      <ns0:c r="F124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4" s="9" t="str">
        <ns0:v>contract-pair-v3</ns0:v>
      </ns0:c>
      <ns0:c r="I124" s="9" t="str">
        <ns0:v>A03.std</ns0:v>
      </ns0:c>
      <ns0:c r="J124" s="9" t="str">
        <ns0:v>A03.std::log_basis::v1</ns0:v>
      </ns0:c>
    </ns0:row>
    <ns0:row r="125" ht="52.79999923706055" hidden="0" customHeight="1">
      <ns0:c r="A125" s="9" t="str">
        <ns0:v>同品种跨期</ns0:v>
      </ns0:c>
      <ns0:c r="B125" s="9" t="str">
        <ns0:v>合约对历史标准差</ns0:v>
      </ns0:c>
      <ns0:c r="C125" s="9" t="str">
        <ns0:v>未调整简单期限持有率</ns0:v>
      </ns0:c>
      <ns0:c r="D125" s="9" t="str">
        <ns0:v>A=近月，B=远月。X=100 × (F远/F近−1) × 365/(T远−T近)，两腿T≥5。</ns0:v>
      </ns0:c>
      <ns0:c r="E125" s="9" t="str">
        <ns0:v>与X同单位；越大表示这对合约近期波动越大。 输入X采用远/近，正值表示远月较贵；与近−远价差的方向不同。</ns0:v>
      </ns0:c>
      <ns0:c r="F125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5" s="9" t="str">
        <ns0:v>contract-pair-v3</ns0:v>
      </ns0:c>
      <ns0:c r="I125" s="9" t="str">
        <ns0:v>A03.std</ns0:v>
      </ns0:c>
      <ns0:c r="J125" s="9" t="str">
        <ns0:v>A03.std::raw_annual::v1</ns0:v>
      </ns0:c>
    </ns0:row>
    <ns0:row r="126" ht="52.79999923706055" hidden="0" customHeight="1">
      <ns0:c r="A126" s="9" t="str">
        <ns0:v>同品种跨期</ns0:v>
      </ns0:c>
      <ns0:c r="B126" s="9" t="str">
        <ns0:v>合约对历史标准差</ns0:v>
      </ns0:c>
      <ns0:c r="C126" s="9" t="str">
        <ns0:v>未调整对数期限持有率</ns0:v>
      </ns0:c>
      <ns0:c r="D126" s="9" t="str">
        <ns0:v>A=近月，B=远月。X=100 × ln(F远/F近) × 365/(T远−T近)，两腿T≥5。</ns0:v>
      </ns0:c>
      <ns0:c r="E126" s="9" t="str">
        <ns0:v>与X同单位；越大表示这对合约近期波动越大。 输入X采用远/近，正值表示远月较贵；与近−远价差的方向不同。</ns0:v>
      </ns0:c>
      <ns0:c r="F126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12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6" s="9" t="str">
        <ns0:v>contract-pair-v3</ns0:v>
      </ns0:c>
      <ns0:c r="I126" s="9" t="str">
        <ns0:v>A03.std</ns0:v>
      </ns0:c>
      <ns0:c r="J126" s="9" t="str">
        <ns0:v>A03.std::log_annual::v1</ns0:v>
      </ns0:c>
    </ns0:row>
    <ns0:row r="127" ht="52.79999923706055" hidden="0" customHeight="1">
      <ns0:c r="A127" s="9" t="str">
        <ns0:v>同品种跨期</ns0:v>
      </ns0:c>
      <ns0:c r="B127" s="9" t="str">
        <ns0:v>合约对历史Z</ns0:v>
      </ns0:c>
      <ns0:c r="C127" s="9" t="str">
        <ns0:v>跨期价差 close（近−远）</ns0:v>
      </ns0:c>
      <ns0:c r="D127" s="9" t="str">
        <ns0:v>A=近月，B=远月。X=F近−F远。</ns0:v>
      </ns0:c>
      <ns0:c r="E127" s="9" t="str">
        <ns0:v>倍；正值在自身中心之上，负值在中心之下；并非两腿Z相减。</ns0:v>
      </ns0:c>
      <ns0:c r="F127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2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7" s="9" t="str">
        <ns0:v>contract-pair-v3</ns0:v>
      </ns0:c>
      <ns0:c r="I127" s="9" t="str">
        <ns0:v>A03.z</ns0:v>
      </ns0:c>
      <ns0:c r="J127" s="9" t="str">
        <ns0:v>A03.z::future::v1</ns0:v>
      </ns0:c>
    </ns0:row>
    <ns0:row r="128" ht="52.79999923706055" hidden="0" customHeight="1">
      <ns0:c r="A128" s="9" t="str">
        <ns0:v>同品种跨期</ns0:v>
      </ns0:c>
      <ns0:c r="B128" s="9" t="str">
        <ns0:v>合约对历史Z</ns0:v>
      </ns0:c>
      <ns0:c r="C128" s="9" t="str">
        <ns0:v>分红调整跨期基差（bp）</ns0:v>
      </ns0:c>
      <ns0:c r="D128" s="9" t="str">
        <ns0:v>A=近月，B=远月。X=10000 × [(F近+D近)−(F远+D远)] / S。</ns0:v>
      </ns0:c>
      <ns0:c r="E128" s="9" t="str">
        <ns0:v>倍；正值在自身中心之上，负值在中心之下；并非两腿Z相减。</ns0:v>
      </ns0:c>
      <ns0:c r="F128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2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8" s="9" t="str">
        <ns0:v>contract-pair-v3</ns0:v>
      </ns0:c>
      <ns0:c r="I128" s="9" t="str">
        <ns0:v>A03.z</ns0:v>
      </ns0:c>
      <ns0:c r="J128" s="9" t="str">
        <ns0:v>A03.z::basis::v1</ns0:v>
      </ns0:c>
    </ns0:row>
    <ns0:row r="129" ht="52.79999923706055" hidden="0" customHeight="1">
      <ns0:c r="A129" s="9" t="str">
        <ns0:v>同品种跨期</ns0:v>
      </ns0:c>
      <ns0:c r="B129" s="9" t="str">
        <ns0:v>合约对历史Z</ns0:v>
      </ns0:c>
      <ns0:c r="C129" s="9" t="str">
        <ns0:v>分红调整期限持有率（年化）</ns0:v>
      </ns0:c>
      <ns0:c r="D129" s="9" t="str">
        <ns0:v>A=近月，B=远月。X=100 × [(F远+D远)/(F近+D近)−1] × 365/(T远−T近)，两腿T≥5。</ns0:v>
      </ns0:c>
      <ns0:c r="E129" s="9" t="str">
        <ns0:v>倍；正值在自身中心之上，负值在中心之下；并非两腿Z相减。 输入X采用远/近，正值表示远月较贵；与近−远价差的方向不同。</ns0:v>
      </ns0:c>
      <ns0:c r="F129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2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29" s="9" t="str">
        <ns0:v>contract-pair-v3</ns0:v>
      </ns0:c>
      <ns0:c r="I129" s="9" t="str">
        <ns0:v>A03.z</ns0:v>
      </ns0:c>
      <ns0:c r="J129" s="9" t="str">
        <ns0:v>A03.z::annual::v1</ns0:v>
      </ns0:c>
    </ns0:row>
    <ns0:row r="130" ht="52.79999923706055" hidden="0" customHeight="1">
      <ns0:c r="A130" s="9" t="str">
        <ns0:v>同品种跨期</ns0:v>
      </ns0:c>
      <ns0:c r="B130" s="9" t="str">
        <ns0:v>合约对历史Z</ns0:v>
      </ns0:c>
      <ns0:c r="C130" s="9" t="str">
        <ns0:v>未调整跨期基差（bp）</ns0:v>
      </ns0:c>
      <ns0:c r="D130" s="9" t="str">
        <ns0:v>A=近月，B=远月。X=10000 × (F近−F远) / S。</ns0:v>
      </ns0:c>
      <ns0:c r="E130" s="9" t="str">
        <ns0:v>倍；正值在自身中心之上，负值在中心之下；并非两腿Z相减。</ns0:v>
      </ns0:c>
      <ns0:c r="F130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3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0" s="9" t="str">
        <ns0:v>contract-pair-v3</ns0:v>
      </ns0:c>
      <ns0:c r="I130" s="9" t="str">
        <ns0:v>A03.z</ns0:v>
      </ns0:c>
      <ns0:c r="J130" s="9" t="str">
        <ns0:v>A03.z::raw_basis::v1</ns0:v>
      </ns0:c>
    </ns0:row>
    <ns0:row r="131" ht="52.79999923706055" hidden="0" customHeight="1">
      <ns0:c r="A131" s="9" t="str">
        <ns0:v>同品种跨期</ns0:v>
      </ns0:c>
      <ns0:c r="B131" s="9" t="str">
        <ns0:v>合约对历史Z</ns0:v>
      </ns0:c>
      <ns0:c r="C131" s="9" t="str">
        <ns0:v>未调整跨期对数价比</ns0:v>
      </ns0:c>
      <ns0:c r="D131" s="9" t="str">
        <ns0:v>A=近月，B=远月。X=10000 × ln(F近/F远)。</ns0:v>
      </ns0:c>
      <ns0:c r="E131" s="9" t="str">
        <ns0:v>倍；正值在自身中心之上，负值在中心之下；并非两腿Z相减。</ns0:v>
      </ns0:c>
      <ns0:c r="F131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3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1" s="9" t="str">
        <ns0:v>contract-pair-v3</ns0:v>
      </ns0:c>
      <ns0:c r="I131" s="9" t="str">
        <ns0:v>A03.z</ns0:v>
      </ns0:c>
      <ns0:c r="J131" s="9" t="str">
        <ns0:v>A03.z::log_basis::v1</ns0:v>
      </ns0:c>
    </ns0:row>
    <ns0:row r="132" ht="52.79999923706055" hidden="0" customHeight="1">
      <ns0:c r="A132" s="9" t="str">
        <ns0:v>同品种跨期</ns0:v>
      </ns0:c>
      <ns0:c r="B132" s="9" t="str">
        <ns0:v>合约对历史Z</ns0:v>
      </ns0:c>
      <ns0:c r="C132" s="9" t="str">
        <ns0:v>未调整简单期限持有率</ns0:v>
      </ns0:c>
      <ns0:c r="D132" s="9" t="str">
        <ns0:v>A=近月，B=远月。X=100 × (F远/F近−1) × 365/(T远−T近)，两腿T≥5。</ns0:v>
      </ns0:c>
      <ns0:c r="E132" s="9" t="str">
        <ns0:v>倍；正值在自身中心之上，负值在中心之下；并非两腿Z相减。 输入X采用远/近，正值表示远月较贵；与近−远价差的方向不同。</ns0:v>
      </ns0:c>
      <ns0:c r="F132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3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2" s="9" t="str">
        <ns0:v>contract-pair-v3</ns0:v>
      </ns0:c>
      <ns0:c r="I132" s="9" t="str">
        <ns0:v>A03.z</ns0:v>
      </ns0:c>
      <ns0:c r="J132" s="9" t="str">
        <ns0:v>A03.z::raw_annual::v1</ns0:v>
      </ns0:c>
    </ns0:row>
    <ns0:row r="133" ht="52.79999923706055" hidden="0" customHeight="1">
      <ns0:c r="A133" s="9" t="str">
        <ns0:v>同品种跨期</ns0:v>
      </ns0:c>
      <ns0:c r="B133" s="9" t="str">
        <ns0:v>合约对历史Z</ns0:v>
      </ns0:c>
      <ns0:c r="C133" s="9" t="str">
        <ns0:v>未调整对数期限持有率</ns0:v>
      </ns0:c>
      <ns0:c r="D133" s="9" t="str">
        <ns0:v>A=近月，B=远月。X=100 × ln(F远/F近) × 365/(T远−T近)，两腿T≥5。</ns0:v>
      </ns0:c>
      <ns0:c r="E133" s="9" t="str">
        <ns0:v>倍；正值在自身中心之上，负值在中心之下；并非两腿Z相减。 输入X采用远/近，正值表示远月较贵；与近−远价差的方向不同。</ns0:v>
      </ns0:c>
      <ns0:c r="F133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13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3" s="9" t="str">
        <ns0:v>contract-pair-v3</ns0:v>
      </ns0:c>
      <ns0:c r="I133" s="9" t="str">
        <ns0:v>A03.z</ns0:v>
      </ns0:c>
      <ns0:c r="J133" s="9" t="str">
        <ns0:v>A03.z::log_annual::v1</ns0:v>
      </ns0:c>
    </ns0:row>
    <ns0:row r="134" ht="52.79999923706055" hidden="0" customHeight="1">
      <ns0:c r="A134" s="9" t="str">
        <ns0:v>同品种跨期</ns0:v>
      </ns0:c>
      <ns0:c r="B134" s="9" t="str">
        <ns0:v>合约对历史分位</ns0:v>
      </ns0:c>
      <ns0:c r="C134" s="9" t="str">
        <ns0:v>跨期价差 close（近−远）</ns0:v>
      </ns0:c>
      <ns0:c r="D134" s="9" t="str">
        <ns0:v>A=近月，B=远月。X=F近−F远。</ns0:v>
      </ns0:c>
      <ns0:c r="E134" s="9" t="str">
        <ns0:v>0—100%；高分位表示当前X处于自身近期较高位置，不直接代表收益方向。</ns0:v>
      </ns0:c>
      <ns0:c r="F134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4" s="9" t="str">
        <ns0:v>contract-pair-v3</ns0:v>
      </ns0:c>
      <ns0:c r="I134" s="9" t="str">
        <ns0:v>A03.percentile</ns0:v>
      </ns0:c>
      <ns0:c r="J134" s="9" t="str">
        <ns0:v>A03.percentile::future::v1</ns0:v>
      </ns0:c>
    </ns0:row>
    <ns0:row r="135" ht="52.79999923706055" hidden="0" customHeight="1">
      <ns0:c r="A135" s="9" t="str">
        <ns0:v>同品种跨期</ns0:v>
      </ns0:c>
      <ns0:c r="B135" s="9" t="str">
        <ns0:v>合约对历史分位</ns0:v>
      </ns0:c>
      <ns0:c r="C135" s="9" t="str">
        <ns0:v>分红调整跨期基差（bp）</ns0:v>
      </ns0:c>
      <ns0:c r="D135" s="9" t="str">
        <ns0:v>A=近月，B=远月。X=10000 × [(F近+D近)−(F远+D远)] / S。</ns0:v>
      </ns0:c>
      <ns0:c r="E135" s="9" t="str">
        <ns0:v>0—100%；高分位表示当前X处于自身近期较高位置，不直接代表收益方向。</ns0:v>
      </ns0:c>
      <ns0:c r="F135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5" s="9" t="str">
        <ns0:v>contract-pair-v3</ns0:v>
      </ns0:c>
      <ns0:c r="I135" s="9" t="str">
        <ns0:v>A03.percentile</ns0:v>
      </ns0:c>
      <ns0:c r="J135" s="9" t="str">
        <ns0:v>A03.percentile::basis::v1</ns0:v>
      </ns0:c>
    </ns0:row>
    <ns0:row r="136" ht="52.79999923706055" hidden="0" customHeight="1">
      <ns0:c r="A136" s="9" t="str">
        <ns0:v>同品种跨期</ns0:v>
      </ns0:c>
      <ns0:c r="B136" s="9" t="str">
        <ns0:v>合约对历史分位</ns0:v>
      </ns0:c>
      <ns0:c r="C136" s="9" t="str">
        <ns0:v>分红调整期限持有率（年化）</ns0:v>
      </ns0:c>
      <ns0:c r="D136" s="9" t="str">
        <ns0:v>A=近月，B=远月。X=100 × [(F远+D远)/(F近+D近)−1] × 365/(T远−T近)，两腿T≥5。</ns0:v>
      </ns0:c>
      <ns0:c r="E136" s="9" t="str">
        <ns0:v>0—100%；高分位表示当前X处于自身近期较高位置，不直接代表收益方向。 输入X采用远/近，正值表示远月较贵；与近−远价差的方向不同。</ns0:v>
      </ns0:c>
      <ns0:c r="F136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6" s="9" t="str">
        <ns0:v>contract-pair-v3</ns0:v>
      </ns0:c>
      <ns0:c r="I136" s="9" t="str">
        <ns0:v>A03.percentile</ns0:v>
      </ns0:c>
      <ns0:c r="J136" s="9" t="str">
        <ns0:v>A03.percentile::annual::v1</ns0:v>
      </ns0:c>
    </ns0:row>
    <ns0:row r="137" ht="52.79999923706055" hidden="0" customHeight="1">
      <ns0:c r="A137" s="9" t="str">
        <ns0:v>同品种跨期</ns0:v>
      </ns0:c>
      <ns0:c r="B137" s="9" t="str">
        <ns0:v>合约对历史分位</ns0:v>
      </ns0:c>
      <ns0:c r="C137" s="9" t="str">
        <ns0:v>未调整跨期基差（bp）</ns0:v>
      </ns0:c>
      <ns0:c r="D137" s="9" t="str">
        <ns0:v>A=近月，B=远月。X=10000 × (F近−F远) / S。</ns0:v>
      </ns0:c>
      <ns0:c r="E137" s="9" t="str">
        <ns0:v>0—100%；高分位表示当前X处于自身近期较高位置，不直接代表收益方向。</ns0:v>
      </ns0:c>
      <ns0:c r="F137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7" s="9" t="str">
        <ns0:v>contract-pair-v3</ns0:v>
      </ns0:c>
      <ns0:c r="I137" s="9" t="str">
        <ns0:v>A03.percentile</ns0:v>
      </ns0:c>
      <ns0:c r="J137" s="9" t="str">
        <ns0:v>A03.percentile::raw_basis::v1</ns0:v>
      </ns0:c>
    </ns0:row>
    <ns0:row r="138" ht="52.79999923706055" hidden="0" customHeight="1">
      <ns0:c r="A138" s="9" t="str">
        <ns0:v>同品种跨期</ns0:v>
      </ns0:c>
      <ns0:c r="B138" s="9" t="str">
        <ns0:v>合约对历史分位</ns0:v>
      </ns0:c>
      <ns0:c r="C138" s="9" t="str">
        <ns0:v>未调整跨期对数价比</ns0:v>
      </ns0:c>
      <ns0:c r="D138" s="9" t="str">
        <ns0:v>A=近月，B=远月。X=10000 × ln(F近/F远)。</ns0:v>
      </ns0:c>
      <ns0:c r="E138" s="9" t="str">
        <ns0:v>0—100%；高分位表示当前X处于自身近期较高位置，不直接代表收益方向。</ns0:v>
      </ns0:c>
      <ns0:c r="F138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8" s="9" t="str">
        <ns0:v>contract-pair-v3</ns0:v>
      </ns0:c>
      <ns0:c r="I138" s="9" t="str">
        <ns0:v>A03.percentile</ns0:v>
      </ns0:c>
      <ns0:c r="J138" s="9" t="str">
        <ns0:v>A03.percentile::log_basis::v1</ns0:v>
      </ns0:c>
    </ns0:row>
    <ns0:row r="139" ht="52.79999923706055" hidden="0" customHeight="1">
      <ns0:c r="A139" s="9" t="str">
        <ns0:v>同品种跨期</ns0:v>
      </ns0:c>
      <ns0:c r="B139" s="9" t="str">
        <ns0:v>合约对历史分位</ns0:v>
      </ns0:c>
      <ns0:c r="C139" s="9" t="str">
        <ns0:v>未调整简单期限持有率</ns0:v>
      </ns0:c>
      <ns0:c r="D139" s="9" t="str">
        <ns0:v>A=近月，B=远月。X=100 × (F远/F近−1) × 365/(T远−T近)，两腿T≥5。</ns0:v>
      </ns0:c>
      <ns0:c r="E139" s="9" t="str">
        <ns0:v>0—100%；高分位表示当前X处于自身近期较高位置，不直接代表收益方向。 输入X采用远/近，正值表示远月较贵；与近−远价差的方向不同。</ns0:v>
      </ns0:c>
      <ns0:c r="F139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3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39" s="9" t="str">
        <ns0:v>contract-pair-v3</ns0:v>
      </ns0:c>
      <ns0:c r="I139" s="9" t="str">
        <ns0:v>A03.percentile</ns0:v>
      </ns0:c>
      <ns0:c r="J139" s="9" t="str">
        <ns0:v>A03.percentile::raw_annual::v1</ns0:v>
      </ns0:c>
    </ns0:row>
    <ns0:row r="140" ht="52.79999923706055" hidden="0" customHeight="1">
      <ns0:c r="A140" s="9" t="str">
        <ns0:v>同品种跨期</ns0:v>
      </ns0:c>
      <ns0:c r="B140" s="9" t="str">
        <ns0:v>合约对历史分位</ns0:v>
      </ns0:c>
      <ns0:c r="C140" s="9" t="str">
        <ns0:v>未调整对数期限持有率</ns0:v>
      </ns0:c>
      <ns0:c r="D140" s="9" t="str">
        <ns0:v>A=近月，B=远月。X=100 × ln(F远/F近) × 365/(T远−T近)，两腿T≥5。</ns0:v>
      </ns0:c>
      <ns0:c r="E140" s="9" t="str">
        <ns0:v>0—100%；高分位表示当前X处于自身近期较高位置，不直接代表收益方向。 输入X采用远/近，正值表示远月较贵；与近−远价差的方向不同。</ns0:v>
      </ns0:c>
      <ns0:c r="F140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14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0" s="9" t="str">
        <ns0:v>contract-pair-v3</ns0:v>
      </ns0:c>
      <ns0:c r="I140" s="9" t="str">
        <ns0:v>A03.percentile</ns0:v>
      </ns0:c>
      <ns0:c r="J140" s="9" t="str">
        <ns0:v>A03.percentile::log_annual::v1</ns0:v>
      </ns0:c>
    </ns0:row>
    <ns0:row r="141" ht="52.79999923706055" hidden="0" customHeight="1">
      <ns0:c r="A141" s="9" t="str">
        <ns0:v>同品种跨期</ns0:v>
      </ns0:c>
      <ns0:c r="B141" s="9" t="str">
        <ns0:v>合约对五期变化</ns0:v>
      </ns0:c>
      <ns0:c r="C141" s="9" t="str">
        <ns0:v>跨期价差 close（近−远）</ns0:v>
      </ns0:c>
      <ns0:c r="D141" s="9" t="str">
        <ns0:v>A=近月，B=远月。X=F近−F远。</ns0:v>
      </ns0:c>
      <ns0:c r="E141" s="9" t="str">
        <ns0:v>与X同单位；正值表示X扩大，负值表示X缩小。</ns0:v>
      </ns0:c>
      <ns0:c r="F141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1" s="9" t="str">
        <ns0:v>contract-pair-v3</ns0:v>
      </ns0:c>
      <ns0:c r="I141" s="9" t="str">
        <ns0:v>A03.change5</ns0:v>
      </ns0:c>
      <ns0:c r="J141" s="9" t="str">
        <ns0:v>A03.change5::future::v1</ns0:v>
      </ns0:c>
    </ns0:row>
    <ns0:row r="142" ht="52.79999923706055" hidden="0" customHeight="1">
      <ns0:c r="A142" s="9" t="str">
        <ns0:v>同品种跨期</ns0:v>
      </ns0:c>
      <ns0:c r="B142" s="9" t="str">
        <ns0:v>合约对五期变化</ns0:v>
      </ns0:c>
      <ns0:c r="C142" s="9" t="str">
        <ns0:v>分红调整跨期基差（bp）</ns0:v>
      </ns0:c>
      <ns0:c r="D142" s="9" t="str">
        <ns0:v>A=近月，B=远月。X=10000 × [(F近+D近)−(F远+D远)] / S。</ns0:v>
      </ns0:c>
      <ns0:c r="E142" s="9" t="str">
        <ns0:v>与X同单位；正值表示X扩大，负值表示X缩小。</ns0:v>
      </ns0:c>
      <ns0:c r="F142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2" s="9" t="str">
        <ns0:v>contract-pair-v3</ns0:v>
      </ns0:c>
      <ns0:c r="I142" s="9" t="str">
        <ns0:v>A03.change5</ns0:v>
      </ns0:c>
      <ns0:c r="J142" s="9" t="str">
        <ns0:v>A03.change5::basis::v1</ns0:v>
      </ns0:c>
    </ns0:row>
    <ns0:row r="143" ht="52.79999923706055" hidden="0" customHeight="1">
      <ns0:c r="A143" s="9" t="str">
        <ns0:v>同品种跨期</ns0:v>
      </ns0:c>
      <ns0:c r="B143" s="9" t="str">
        <ns0:v>合约对五期变化</ns0:v>
      </ns0:c>
      <ns0:c r="C143" s="9" t="str">
        <ns0:v>分红调整期限持有率（年化）</ns0:v>
      </ns0:c>
      <ns0:c r="D143" s="9" t="str">
        <ns0:v>A=近月，B=远月。X=100 × [(F远+D远)/(F近+D近)−1] × 365/(T远−T近)，两腿T≥5。</ns0:v>
      </ns0:c>
      <ns0:c r="E143" s="9" t="str">
        <ns0:v>与X同单位；正值表示X扩大，负值表示X缩小。 输入X采用远/近，正值表示远月较贵；与近−远价差的方向不同。</ns0:v>
      </ns0:c>
      <ns0:c r="F143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3" s="9" t="str">
        <ns0:v>contract-pair-v3</ns0:v>
      </ns0:c>
      <ns0:c r="I143" s="9" t="str">
        <ns0:v>A03.change5</ns0:v>
      </ns0:c>
      <ns0:c r="J143" s="9" t="str">
        <ns0:v>A03.change5::annual::v1</ns0:v>
      </ns0:c>
    </ns0:row>
    <ns0:row r="144" ht="52.79999923706055" hidden="0" customHeight="1">
      <ns0:c r="A144" s="9" t="str">
        <ns0:v>同品种跨期</ns0:v>
      </ns0:c>
      <ns0:c r="B144" s="9" t="str">
        <ns0:v>合约对五期变化</ns0:v>
      </ns0:c>
      <ns0:c r="C144" s="9" t="str">
        <ns0:v>未调整跨期基差（bp）</ns0:v>
      </ns0:c>
      <ns0:c r="D144" s="9" t="str">
        <ns0:v>A=近月，B=远月。X=10000 × (F近−F远) / S。</ns0:v>
      </ns0:c>
      <ns0:c r="E144" s="9" t="str">
        <ns0:v>与X同单位；正值表示X扩大，负值表示X缩小。</ns0:v>
      </ns0:c>
      <ns0:c r="F144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4" s="9" t="str">
        <ns0:v>contract-pair-v3</ns0:v>
      </ns0:c>
      <ns0:c r="I144" s="9" t="str">
        <ns0:v>A03.change5</ns0:v>
      </ns0:c>
      <ns0:c r="J144" s="9" t="str">
        <ns0:v>A03.change5::raw_basis::v1</ns0:v>
      </ns0:c>
    </ns0:row>
    <ns0:row r="145" ht="52.79999923706055" hidden="0" customHeight="1">
      <ns0:c r="A145" s="9" t="str">
        <ns0:v>同品种跨期</ns0:v>
      </ns0:c>
      <ns0:c r="B145" s="9" t="str">
        <ns0:v>合约对五期变化</ns0:v>
      </ns0:c>
      <ns0:c r="C145" s="9" t="str">
        <ns0:v>未调整跨期对数价比</ns0:v>
      </ns0:c>
      <ns0:c r="D145" s="9" t="str">
        <ns0:v>A=近月，B=远月。X=10000 × ln(F近/F远)。</ns0:v>
      </ns0:c>
      <ns0:c r="E145" s="9" t="str">
        <ns0:v>与X同单位；正值表示X扩大，负值表示X缩小。</ns0:v>
      </ns0:c>
      <ns0:c r="F145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5" s="9" t="str">
        <ns0:v>contract-pair-v3</ns0:v>
      </ns0:c>
      <ns0:c r="I145" s="9" t="str">
        <ns0:v>A03.change5</ns0:v>
      </ns0:c>
      <ns0:c r="J145" s="9" t="str">
        <ns0:v>A03.change5::log_basis::v1</ns0:v>
      </ns0:c>
    </ns0:row>
    <ns0:row r="146" ht="52.79999923706055" hidden="0" customHeight="1">
      <ns0:c r="A146" s="9" t="str">
        <ns0:v>同品种跨期</ns0:v>
      </ns0:c>
      <ns0:c r="B146" s="9" t="str">
        <ns0:v>合约对五期变化</ns0:v>
      </ns0:c>
      <ns0:c r="C146" s="9" t="str">
        <ns0:v>未调整简单期限持有率</ns0:v>
      </ns0:c>
      <ns0:c r="D146" s="9" t="str">
        <ns0:v>A=近月，B=远月。X=100 × (F远/F近−1) × 365/(T远−T近)，两腿T≥5。</ns0:v>
      </ns0:c>
      <ns0:c r="E146" s="9" t="str">
        <ns0:v>与X同单位；正值表示X扩大，负值表示X缩小。 输入X采用远/近，正值表示远月较贵；与近−远价差的方向不同。</ns0:v>
      </ns0:c>
      <ns0:c r="F146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6" s="9" t="str">
        <ns0:v>contract-pair-v3</ns0:v>
      </ns0:c>
      <ns0:c r="I146" s="9" t="str">
        <ns0:v>A03.change5</ns0:v>
      </ns0:c>
      <ns0:c r="J146" s="9" t="str">
        <ns0:v>A03.change5::raw_annual::v1</ns0:v>
      </ns0:c>
    </ns0:row>
    <ns0:row r="147" ht="52.79999923706055" hidden="0" customHeight="1">
      <ns0:c r="A147" s="9" t="str">
        <ns0:v>同品种跨期</ns0:v>
      </ns0:c>
      <ns0:c r="B147" s="9" t="str">
        <ns0:v>合约对五期变化</ns0:v>
      </ns0:c>
      <ns0:c r="C147" s="9" t="str">
        <ns0:v>未调整对数期限持有率</ns0:v>
      </ns0:c>
      <ns0:c r="D147" s="9" t="str">
        <ns0:v>A=近月，B=远月。X=100 × ln(F远/F近) × 365/(T远−T近)，两腿T≥5。</ns0:v>
      </ns0:c>
      <ns0:c r="E147" s="9" t="str">
        <ns0:v>与X同单位；正值表示X扩大，负值表示X缩小。 输入X采用远/近，正值表示远月较贵；与近−远价差的方向不同。</ns0:v>
      </ns0:c>
      <ns0:c r="F147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14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7" s="9" t="str">
        <ns0:v>contract-pair-v3</ns0:v>
      </ns0:c>
      <ns0:c r="I147" s="9" t="str">
        <ns0:v>A03.change5</ns0:v>
      </ns0:c>
      <ns0:c r="J147" s="9" t="str">
        <ns0:v>A03.change5::log_annual::v1</ns0:v>
      </ns0:c>
    </ns0:row>
    <ns0:row r="148" ht="52.79999923706055" hidden="0" customHeight="1">
      <ns0:c r="A148" s="9" t="str">
        <ns0:v>同品种跨期</ns0:v>
      </ns0:c>
      <ns0:c r="B148" s="9" t="str">
        <ns0:v>合约对30期分位</ns0:v>
      </ns0:c>
      <ns0:c r="C148" s="9" t="str">
        <ns0:v>跨期价差 close（近−远）</ns0:v>
      </ns0:c>
      <ns0:c r="D148" s="9" t="str">
        <ns0:v>A=近月，B=远月。X=F近−F远。</ns0:v>
      </ns0:c>
      <ns0:c r="E148" s="9" t="str">
        <ns0:v>0—100%；是独立的30期规则，不能与20期半权分位混用。</ns0:v>
      </ns0:c>
      <ns0:c r="F148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4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8" s="9" t="str">
        <ns0:v>contract-pair-v3</ns0:v>
      </ns0:c>
      <ns0:c r="I148" s="9" t="str">
        <ns0:v>A03.legacy_percentile30</ns0:v>
      </ns0:c>
      <ns0:c r="J148" s="9" t="str">
        <ns0:v>A03.legacy_percentile30::future::v1</ns0:v>
      </ns0:c>
    </ns0:row>
    <ns0:row r="149" ht="52.79999923706055" hidden="0" customHeight="1">
      <ns0:c r="A149" s="9" t="str">
        <ns0:v>同品种跨期</ns0:v>
      </ns0:c>
      <ns0:c r="B149" s="9" t="str">
        <ns0:v>合约对30期分位</ns0:v>
      </ns0:c>
      <ns0:c r="C149" s="9" t="str">
        <ns0:v>分红调整跨期基差（bp）</ns0:v>
      </ns0:c>
      <ns0:c r="D149" s="9" t="str">
        <ns0:v>A=近月，B=远月。X=10000 × [(F近+D近)−(F远+D远)] / S。</ns0:v>
      </ns0:c>
      <ns0:c r="E149" s="9" t="str">
        <ns0:v>0—100%；是独立的30期规则，不能与20期半权分位混用。</ns0:v>
      </ns0:c>
      <ns0:c r="F149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4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49" s="9" t="str">
        <ns0:v>contract-pair-v3</ns0:v>
      </ns0:c>
      <ns0:c r="I149" s="9" t="str">
        <ns0:v>A03.legacy_percentile30</ns0:v>
      </ns0:c>
      <ns0:c r="J149" s="9" t="str">
        <ns0:v>A03.legacy_percentile30::basis::v1</ns0:v>
      </ns0:c>
    </ns0:row>
    <ns0:row r="150" ht="52.79999923706055" hidden="0" customHeight="1">
      <ns0:c r="A150" s="9" t="str">
        <ns0:v>同品种跨期</ns0:v>
      </ns0:c>
      <ns0:c r="B150" s="9" t="str">
        <ns0:v>合约对30期分位</ns0:v>
      </ns0:c>
      <ns0:c r="C150" s="9" t="str">
        <ns0:v>分红调整期限持有率（年化）</ns0:v>
      </ns0:c>
      <ns0:c r="D150" s="9" t="str">
        <ns0:v>A=近月，B=远月。X=100 × [(F远+D远)/(F近+D近)−1] × 365/(T远−T近)，两腿T≥5。</ns0:v>
      </ns0:c>
      <ns0:c r="E150" s="9" t="str">
        <ns0:v>0—100%；是独立的30期规则，不能与20期半权分位混用。 输入X采用远/近，正值表示远月较贵；与近−远价差的方向不同。</ns0:v>
      </ns0:c>
      <ns0:c r="F150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0" s="9" t="str">
        <ns0:v>contract-pair-v3</ns0:v>
      </ns0:c>
      <ns0:c r="I150" s="9" t="str">
        <ns0:v>A03.legacy_percentile30</ns0:v>
      </ns0:c>
      <ns0:c r="J150" s="9" t="str">
        <ns0:v>A03.legacy_percentile30::annual::v1</ns0:v>
      </ns0:c>
    </ns0:row>
    <ns0:row r="151" ht="52.79999923706055" hidden="0" customHeight="1">
      <ns0:c r="A151" s="9" t="str">
        <ns0:v>同品种跨期</ns0:v>
      </ns0:c>
      <ns0:c r="B151" s="9" t="str">
        <ns0:v>合约对30期分位</ns0:v>
      </ns0:c>
      <ns0:c r="C151" s="9" t="str">
        <ns0:v>未调整跨期基差（bp）</ns0:v>
      </ns0:c>
      <ns0:c r="D151" s="9" t="str">
        <ns0:v>A=近月，B=远月。X=10000 × (F近−F远) / S。</ns0:v>
      </ns0:c>
      <ns0:c r="E151" s="9" t="str">
        <ns0:v>0—100%；是独立的30期规则，不能与20期半权分位混用。</ns0:v>
      </ns0:c>
      <ns0:c r="F151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1" s="9" t="str">
        <ns0:v>contract-pair-v3</ns0:v>
      </ns0:c>
      <ns0:c r="I151" s="9" t="str">
        <ns0:v>A03.legacy_percentile30</ns0:v>
      </ns0:c>
      <ns0:c r="J151" s="9" t="str">
        <ns0:v>A03.legacy_percentile30::raw_basis::v1</ns0:v>
      </ns0:c>
    </ns0:row>
    <ns0:row r="152" ht="52.79999923706055" hidden="0" customHeight="1">
      <ns0:c r="A152" s="9" t="str">
        <ns0:v>同品种跨期</ns0:v>
      </ns0:c>
      <ns0:c r="B152" s="9" t="str">
        <ns0:v>合约对30期分位</ns0:v>
      </ns0:c>
      <ns0:c r="C152" s="9" t="str">
        <ns0:v>未调整跨期对数价比</ns0:v>
      </ns0:c>
      <ns0:c r="D152" s="9" t="str">
        <ns0:v>A=近月，B=远月。X=10000 × ln(F近/F远)。</ns0:v>
      </ns0:c>
      <ns0:c r="E152" s="9" t="str">
        <ns0:v>0—100%；是独立的30期规则，不能与20期半权分位混用。</ns0:v>
      </ns0:c>
      <ns0:c r="F152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2" s="9" t="str">
        <ns0:v>contract-pair-v3</ns0:v>
      </ns0:c>
      <ns0:c r="I152" s="9" t="str">
        <ns0:v>A03.legacy_percentile30</ns0:v>
      </ns0:c>
      <ns0:c r="J152" s="9" t="str">
        <ns0:v>A03.legacy_percentile30::log_basis::v1</ns0:v>
      </ns0:c>
    </ns0:row>
    <ns0:row r="153" ht="52.79999923706055" hidden="0" customHeight="1">
      <ns0:c r="A153" s="9" t="str">
        <ns0:v>同品种跨期</ns0:v>
      </ns0:c>
      <ns0:c r="B153" s="9" t="str">
        <ns0:v>合约对30期分位</ns0:v>
      </ns0:c>
      <ns0:c r="C153" s="9" t="str">
        <ns0:v>未调整简单期限持有率</ns0:v>
      </ns0:c>
      <ns0:c r="D153" s="9" t="str">
        <ns0:v>A=近月，B=远月。X=100 × (F远/F近−1) × 365/(T远−T近)，两腿T≥5。</ns0:v>
      </ns0:c>
      <ns0:c r="E153" s="9" t="str">
        <ns0:v>0—100%；是独立的30期规则，不能与20期半权分位混用。 输入X采用远/近，正值表示远月较贵；与近−远价差的方向不同。</ns0:v>
      </ns0:c>
      <ns0:c r="F153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3" s="9" t="str">
        <ns0:v>contract-pair-v3</ns0:v>
      </ns0:c>
      <ns0:c r="I153" s="9" t="str">
        <ns0:v>A03.legacy_percentile30</ns0:v>
      </ns0:c>
      <ns0:c r="J153" s="9" t="str">
        <ns0:v>A03.legacy_percentile30::raw_annual::v1</ns0:v>
      </ns0:c>
    </ns0:row>
    <ns0:row r="154" ht="52.79999923706055" hidden="0" customHeight="1">
      <ns0:c r="A154" s="9" t="str">
        <ns0:v>同品种跨期</ns0:v>
      </ns0:c>
      <ns0:c r="B154" s="9" t="str">
        <ns0:v>合约对30期分位</ns0:v>
      </ns0:c>
      <ns0:c r="C154" s="9" t="str">
        <ns0:v>未调整对数期限持有率</ns0:v>
      </ns0:c>
      <ns0:c r="D154" s="9" t="str">
        <ns0:v>A=近月，B=远月。X=100 × ln(F远/F近) × 365/(T远−T近)，两腿T≥5。</ns0:v>
      </ns0:c>
      <ns0:c r="E154" s="9" t="str">
        <ns0:v>0—100%；是独立的30期规则，不能与20期半权分位混用。 输入X采用远/近，正值表示远月较贵；与近−远价差的方向不同。</ns0:v>
      </ns0:c>
      <ns0:c r="F154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15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4" s="9" t="str">
        <ns0:v>contract-pair-v3</ns0:v>
      </ns0:c>
      <ns0:c r="I154" s="9" t="str">
        <ns0:v>A03.legacy_percentile30</ns0:v>
      </ns0:c>
      <ns0:c r="J154" s="9" t="str">
        <ns0:v>A03.legacy_percentile30::log_annual::v1</ns0:v>
      </ns0:c>
    </ns0:row>
    <ns0:row r="155" ht="52.79999923706055" hidden="0" customHeight="1">
      <ns0:c r="A155" s="9" t="str">
        <ns0:v>同品种跨期</ns0:v>
      </ns0:c>
      <ns0:c r="B155" s="9" t="str">
        <ns0:v>分红调整跨期点差</ns0:v>
      </ns0:c>
      <ns0:c r="C155" s="9" t="str">
        <ns0:v>固定口径（不随 X 改变）</ns0:v>
      </ns0:c>
      <ns0:c r="D155" s="9" t="str">
        <ns0:v>A=近月，B=远月。把两腿各自加入剩余分红后，以近月减远月。</ns0:v>
      </ns0:c>
      <ns0:c r="E155" s="9" t="str">
        <ns0:v>点；正值表示调整后的近月高于远月。</ns0:v>
      </ns0:c>
      <ns0:c r="F155" s="9" t="str">
        <ns0:v>把两腿各自加入剩余分红后，以近月减远月。 F=真实期货价，S=对应现货指数，D=该合约剩余分红点数，T=剩余自然日，V=成交量，OI=持仓量；1bp=万分之一，年化1表示1个百分点。</ns0:v>
      </ns0:c>
      <ns0:c r="G15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5" s="9" t="str">
        <ns0:v>contract-pair-v3</ns0:v>
      </ns0:c>
      <ns0:c r="I155" s="9" t="str">
        <ns0:v>A04.points</ns0:v>
      </ns0:c>
      <ns0:c r="J155" s="9" t="str">
        <ns0:v>A04.points::fixed::v1</ns0:v>
      </ns0:c>
    </ns0:row>
    <ns0:row r="156" ht="52.79999923706055" hidden="0" customHeight="1">
      <ns0:c r="A156" s="9" t="str">
        <ns0:v>同品种跨期</ns0:v>
      </ns0:c>
      <ns0:c r="B156" s="9" t="str">
        <ns0:v>分红调整跨期标准化差</ns0:v>
      </ns0:c>
      <ns0:c r="C156" s="9" t="str">
        <ns0:v>固定口径（不随 X 改变）</ns0:v>
      </ns0:c>
      <ns0:c r="D156" s="9" t="str">
        <ns0:v>A=近月，B=远月。分红调整后的近远点差除以共同现货指数，再乘10000。</ns0:v>
      </ns0:c>
      <ns0:c r="E156" s="9" t="str">
        <ns0:v>bp；1bp是共同现货点位的万分之一。</ns0:v>
      </ns0:c>
      <ns0:c r="F156" s="9" t="str">
        <ns0:v>分红调整后的近远点差除以共同现货指数，再乘10000。 F=真实期货价，S=对应现货指数，D=该合约剩余分红点数，T=剩余自然日，V=成交量，OI=持仓量；1bp=万分之一，年化1表示1个百分点。</ns0:v>
      </ns0:c>
      <ns0:c r="G15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6" s="9" t="str">
        <ns0:v>contract-pair-v3</ns0:v>
      </ns0:c>
      <ns0:c r="I156" s="9" t="str">
        <ns0:v>A04.bp</ns0:v>
      </ns0:c>
      <ns0:c r="J156" s="9" t="str">
        <ns0:v>A04.bp::fixed::v1</ns0:v>
      </ns0:c>
    </ns0:row>
    <ns0:row r="157" ht="52.79999923706055" hidden="0" customHeight="1">
      <ns0:c r="A157" s="9" t="str">
        <ns0:v>同品种跨期</ns0:v>
      </ns0:c>
      <ns0:c r="B157" s="9" t="str">
        <ns0:v>未调整跨期点差</ns0:v>
      </ns0:c>
      <ns0:c r="C157" s="9" t="str">
        <ns0:v>固定口径（不随 X 改变）</ns0:v>
      </ns0:c>
      <ns0:c r="D157" s="9" t="str">
        <ns0:v>A=近月，B=远月。直接用近月期货收盘减远月期货收盘，不加入分红。</ns0:v>
      </ns0:c>
      <ns0:c r="E157" s="9" t="str">
        <ns0:v>点；正值表示近月高于远月。</ns0:v>
      </ns0:c>
      <ns0:c r="F157" s="9" t="str">
        <ns0:v>直接用近月期货收盘减远月期货收盘，不加入分红。 F=真实期货价，S=对应现货指数，D=该合约剩余分红点数，T=剩余自然日，V=成交量，OI=持仓量；1bp=万分之一，年化1表示1个百分点。</ns0:v>
      </ns0:c>
      <ns0:c r="G15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7" s="9" t="str">
        <ns0:v>contract-pair-v3</ns0:v>
      </ns0:c>
      <ns0:c r="I157" s="9" t="str">
        <ns0:v>A04.raw_points</ns0:v>
      </ns0:c>
      <ns0:c r="J157" s="9" t="str">
        <ns0:v>A04.raw_points::fixed::v1</ns0:v>
      </ns0:c>
    </ns0:row>
    <ns0:row r="158" ht="52.79999923706055" hidden="0" customHeight="1">
      <ns0:c r="A158" s="9" t="str">
        <ns0:v>同品种跨期</ns0:v>
      </ns0:c>
      <ns0:c r="B158" s="9" t="str">
        <ns0:v>未调整跨期标准化差</ns0:v>
      </ns0:c>
      <ns0:c r="C158" s="9" t="str">
        <ns0:v>固定口径（不随 X 改变）</ns0:v>
      </ns0:c>
      <ns0:c r="D158" s="9" t="str">
        <ns0:v>A=近月，B=远月。近远期货点差除以共同现货指数，附带这条价差自身的历史统计。</ns0:v>
      </ns0:c>
      <ns0:c r="E158" s="9" t="str">
        <ns0:v>bp；近−远方向。</ns0:v>
      </ns0:c>
      <ns0:c r="F158" s="9" t="str">
        <ns0:v>近远期货点差除以共同现货指数，附带这条价差自身的历史统计。 F=真实期货价，S=对应现货指数，D=该合约剩余分红点数，T=剩余自然日，V=成交量，OI=持仓量；1bp=万分之一，年化1表示1个百分点。</ns0:v>
      </ns0:c>
      <ns0:c r="G15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8" s="9" t="str">
        <ns0:v>contract-pair-v3</ns0:v>
      </ns0:c>
      <ns0:c r="I158" s="9" t="str">
        <ns0:v>A04.raw_bp</ns0:v>
      </ns0:c>
      <ns0:c r="J158" s="9" t="str">
        <ns0:v>A04.raw_bp::fixed::v1</ns0:v>
      </ns0:c>
    </ns0:row>
    <ns0:row r="159" ht="52.79999923706055" hidden="0" customHeight="1">
      <ns0:c r="A159" s="9" t="str">
        <ns0:v>同品种跨期</ns0:v>
      </ns0:c>
      <ns0:c r="B159" s="9" t="str">
        <ns0:v>分红调整期限持有率</ns0:v>
      </ns0:c>
      <ns0:c r="C159" s="9" t="str">
        <ns0:v>固定口径（不随 X 改变）</ns0:v>
      </ns0:c>
      <ns0:c r="D159" s="9" t="str">
        <ns0:v>A=近月，B=远月。以调整后远月相对近月的价格比例，按两腿到期日之差年化。</ns0:v>
      </ns0:c>
      <ns0:c r="E159" s="9" t="str">
        <ns0:v>年化百分点；正值表示调整后远月较贵，方向为远/近，与近−远价差相反。</ns0:v>
      </ns0:c>
      <ns0:c r="F159" s="9" t="str">
        <ns0:v>以调整后远月相对近月的价格比例，按两腿到期日之差年化。 F=真实期货价，S=对应现货指数，D=该合约剩余分红点数，T=剩余自然日，V=成交量，OI=持仓量；1bp=万分之一，年化1表示1个百分点。</ns0:v>
      </ns0:c>
      <ns0:c r="G15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59" s="9" t="str">
        <ns0:v>contract-pair-v3</ns0:v>
      </ns0:c>
      <ns0:c r="I159" s="9" t="str">
        <ns0:v>A05</ns0:v>
      </ns0:c>
      <ns0:c r="J159" s="9" t="str">
        <ns0:v>A05::fixed::v1</ns0:v>
      </ns0:c>
    </ns0:row>
    <ns0:row r="160" ht="52.79999923706055" hidden="0" customHeight="1">
      <ns0:c r="A160" s="9" t="str">
        <ns0:v>同品种跨期</ns0:v>
      </ns0:c>
      <ns0:c r="B160" s="9" t="str">
        <ns0:v>未调整对数期限持有率</ns0:v>
      </ns0:c>
      <ns0:c r="C160" s="9" t="str">
        <ns0:v>固定口径（不随 X 改变）</ns0:v>
      </ns0:c>
      <ns0:c r="D160" s="9" t="str">
        <ns0:v>A=近月，B=远月。对远月/近月价格取对数，再按到期日间隔年化；附带自身历史统计。</ns0:v>
      </ns0:c>
      <ns0:c r="E160" s="9" t="str">
        <ns0:v>年化百分点；正值表示远月高于近月。</ns0:v>
      </ns0:c>
      <ns0:c r="F160" s="9" t="str">
        <ns0:v>对远月/近月价格取对数，再按到期日间隔年化；附带自身历史统计。 F=真实期货价，S=对应现货指数，D=该合约剩余分红点数，T=剩余自然日，V=成交量，OI=持仓量；1bp=万分之一，年化1表示1个百分点。</ns0:v>
      </ns0:c>
      <ns0:c r="G16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0" s="9" t="str">
        <ns0:v>contract-pair-v3</ns0:v>
      </ns0:c>
      <ns0:c r="I160" s="9" t="str">
        <ns0:v>A05.log_carry</ns0:v>
      </ns0:c>
      <ns0:c r="J160" s="9" t="str">
        <ns0:v>A05.log_carry::fixed::v1</ns0:v>
      </ns0:c>
    </ns0:row>
    <ns0:row r="161" ht="66" hidden="0" customHeight="1">
      <ns0:c r="A161" s="9" t="str">
        <ns0:v>同品种跨期</ns0:v>
      </ns0:c>
      <ns0:c r="B161" s="9" t="str">
        <ns0:v>合约对五期收益归因</ns0:v>
      </ns0:c>
      <ns0:c r="C161" s="9" t="str">
        <ns0:v>固定口径（不随 X 改变）</ns0:v>
      </ns0:c>
      <ns0:c r="D161" s="9" t="str">
        <ns0:v>A=近月，B=远月。对同一合约对五期对数价比变化，分别展示期货、现货、基差及分红情景分量。</ns0:v>
      </ns0:c>
      <ns0:c r="E161" s="9" t="str">
        <ns0:v>收益bp；主项为10000Δ5ln(F_A/F_B)，未扣成本，也不是实际调仓策略收益。</ns0:v>
      </ns0:c>
      <ns0:c r="F161" s="9" t="str">
        <ns0:v>对同一合约对五期对数价比变化，分别展示期货、现货、基差及分红情景分量。 F=真实期货价，S=对应现货指数，D=该合约剩余分红点数，T=剩余自然日，V=成交量，OI=持仓量；1bp=万分之一，年化1表示1个百分点。</ns0:v>
      </ns0:c>
      <ns0:c r="G16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1" s="9" t="str">
        <ns0:v>contract-pair-v3</ns0:v>
      </ns0:c>
      <ns0:c r="I161" s="9" t="str">
        <ns0:v>A07</ns0:v>
      </ns0:c>
      <ns0:c r="J161" s="9" t="str">
        <ns0:v>A07::fixed::v1</ns0:v>
      </ns0:c>
    </ns0:row>
    <ns0:row r="162" ht="52.79999923706055" hidden="0" customHeight="1">
      <ns0:c r="A162" s="9" t="str">
        <ns0:v>同品种跨期</ns0:v>
      </ns0:c>
      <ns0:c r="B162" s="9" t="str">
        <ns0:v>合约对当前名义金额</ns0:v>
      </ns0:c>
      <ns0:c r="C162" s="9" t="str">
        <ns0:v>固定口径（不随 X 改变）</ns0:v>
      </ns0:c>
      <ns0:c r="D162" s="9" t="str">
        <ns0:v>A=近月，B=远月。用当前两腿价格及合约乘数给出名义金额、等名义手数比和取整误差。</ns0:v>
      </ns0:c>
      <ns0:c r="E162" s="9" t="str">
        <ns0:v>h的单位为B手/A手；这里是当前金额说明，量仓指标使用前一完整交易日h。</ns0:v>
      </ns0:c>
      <ns0:c r="F162" s="9" t="str">
        <ns0:v>用当前两腿价格及合约乘数给出名义金额、等名义手数比和取整误差。 F=真实期货价，S=对应现货指数，D=该合约剩余分红点数，T=剩余自然日，V=成交量，OI=持仓量；1bp=万分之一，年化1表示1个百分点。</ns0:v>
      </ns0:c>
      <ns0:c r="G16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2" s="9" t="str">
        <ns0:v>contract-pair-v3</ns0:v>
      </ns0:c>
      <ns0:c r="I162" s="9" t="str">
        <ns0:v>A09</ns0:v>
      </ns0:c>
      <ns0:c r="J162" s="9" t="str">
        <ns0:v>A09::fixed::v1</ns0:v>
      </ns0:c>
    </ns0:row>
    <ns0:row r="163" ht="52.79999923706055" hidden="0" customHeight="1">
      <ns0:c r="A163" s="9" t="str">
        <ns0:v>同品种跨期</ns0:v>
      </ns0:c>
      <ns0:c r="B163" s="9" t="str">
        <ns0:v>跨期1:1五期金额变化</ns0:v>
      </ns0:c>
      <ns0:c r="C163" s="9" t="str">
        <ns0:v>固定口径（不随 X 改变）</ns0:v>
      </ns0:c>
      <ns0:c r="D163" s="9" t="str">
        <ns0:v>A=近月，B=远月。固定近月1手、远月1手，计算近−远价差五期变化乘合约乘数。</ns0:v>
      </ns0:c>
      <ns0:c r="E163" s="9" t="str">
        <ns0:v>元；正值表示该固定1:1多近空远组合价格变化为正，未扣成本。</ns0:v>
      </ns0:c>
      <ns0:c r="F163" s="9" t="str">
        <ns0:v>固定近月1手、远月1手，计算近−远价差五期变化乘合约乘数。 F=真实期货价，S=对应现货指数，D=该合约剩余分红点数，T=剩余自然日，V=成交量，OI=持仓量；1bp=万分之一，年化1表示1个百分点。</ns0:v>
      </ns0:c>
      <ns0:c r="G16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3" s="9" t="str">
        <ns0:v>contract-pair-v3</ns0:v>
      </ns0:c>
      <ns0:c r="I163" s="9" t="str">
        <ns0:v>A09.one_to_one_pnl5</ns0:v>
      </ns0:c>
      <ns0:c r="J163" s="9" t="str">
        <ns0:v>A09.one_to_one_pnl5::fixed::v1</ns0:v>
      </ns0:c>
    </ns0:row>
    <ns0:row r="164" ht="52.79999923706055" hidden="0" customHeight="1">
      <ns0:c r="A164" s="9" t="str">
        <ns0:v>同品种跨期</ns0:v>
      </ns0:c>
      <ns0:c r="B164" s="9" t="str">
        <ns0:v>合约对30分钟实现波动</ns0:v>
      </ns0:c>
      <ns0:c r="C164" s="9" t="str">
        <ns0:v>跨期价差 close（近−远）</ns0:v>
      </ns0:c>
      <ns0:c r="D164" s="9" t="str">
        <ns0:v>A=近月，B=远月。X=F近−F远。</ns0:v>
      </ns0:c>
      <ns0:c r="E164" s="9" t="str">
        <ns0:v>与X同单位；衡量合约对自身波动，不是两腿波动率相减。</ns0:v>
      </ns0:c>
      <ns0:c r="F164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4" s="9" t="str">
        <ns0:v>contract-pair-v3</ns0:v>
      </ns0:c>
      <ns0:c r="I164" s="9" t="str">
        <ns0:v>A11</ns0:v>
      </ns0:c>
      <ns0:c r="J164" s="9" t="str">
        <ns0:v>A11::future::v1</ns0:v>
      </ns0:c>
    </ns0:row>
    <ns0:row r="165" ht="52.79999923706055" hidden="0" customHeight="1">
      <ns0:c r="A165" s="9" t="str">
        <ns0:v>同品种跨期</ns0:v>
      </ns0:c>
      <ns0:c r="B165" s="9" t="str">
        <ns0:v>合约对30分钟实现波动</ns0:v>
      </ns0:c>
      <ns0:c r="C165" s="9" t="str">
        <ns0:v>分红调整跨期基差（bp）</ns0:v>
      </ns0:c>
      <ns0:c r="D165" s="9" t="str">
        <ns0:v>A=近月，B=远月。X=10000 × [(F近+D近)−(F远+D远)] / S。</ns0:v>
      </ns0:c>
      <ns0:c r="E165" s="9" t="str">
        <ns0:v>与X同单位；衡量合约对自身波动，不是两腿波动率相减。</ns0:v>
      </ns0:c>
      <ns0:c r="F165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5" s="9" t="str">
        <ns0:v>contract-pair-v3</ns0:v>
      </ns0:c>
      <ns0:c r="I165" s="9" t="str">
        <ns0:v>A11</ns0:v>
      </ns0:c>
      <ns0:c r="J165" s="9" t="str">
        <ns0:v>A11::basis::v1</ns0:v>
      </ns0:c>
    </ns0:row>
    <ns0:row r="166" ht="52.79999923706055" hidden="0" customHeight="1">
      <ns0:c r="A166" s="9" t="str">
        <ns0:v>同品种跨期</ns0:v>
      </ns0:c>
      <ns0:c r="B166" s="9" t="str">
        <ns0:v>合约对30分钟实现波动</ns0:v>
      </ns0:c>
      <ns0:c r="C166" s="9" t="str">
        <ns0:v>分红调整期限持有率（年化）</ns0:v>
      </ns0:c>
      <ns0:c r="D166" s="9" t="str">
        <ns0:v>A=近月，B=远月。X=100 × [(F远+D远)/(F近+D近)−1] × 365/(T远−T近)，两腿T≥5。</ns0:v>
      </ns0:c>
      <ns0:c r="E166" s="9" t="str">
        <ns0:v>与X同单位；衡量合约对自身波动，不是两腿波动率相减。 输入X采用远/近，正值表示远月较贵；与近−远价差的方向不同。</ns0:v>
      </ns0:c>
      <ns0:c r="F166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6" s="9" t="str">
        <ns0:v>contract-pair-v3</ns0:v>
      </ns0:c>
      <ns0:c r="I166" s="9" t="str">
        <ns0:v>A11</ns0:v>
      </ns0:c>
      <ns0:c r="J166" s="9" t="str">
        <ns0:v>A11::annual::v1</ns0:v>
      </ns0:c>
    </ns0:row>
    <ns0:row r="167" ht="52.79999923706055" hidden="0" customHeight="1">
      <ns0:c r="A167" s="9" t="str">
        <ns0:v>同品种跨期</ns0:v>
      </ns0:c>
      <ns0:c r="B167" s="9" t="str">
        <ns0:v>合约对30分钟实现波动</ns0:v>
      </ns0:c>
      <ns0:c r="C167" s="9" t="str">
        <ns0:v>未调整跨期基差（bp）</ns0:v>
      </ns0:c>
      <ns0:c r="D167" s="9" t="str">
        <ns0:v>A=近月，B=远月。X=10000 × (F近−F远) / S。</ns0:v>
      </ns0:c>
      <ns0:c r="E167" s="9" t="str">
        <ns0:v>与X同单位；衡量合约对自身波动，不是两腿波动率相减。</ns0:v>
      </ns0:c>
      <ns0:c r="F167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7" s="9" t="str">
        <ns0:v>contract-pair-v3</ns0:v>
      </ns0:c>
      <ns0:c r="I167" s="9" t="str">
        <ns0:v>A11</ns0:v>
      </ns0:c>
      <ns0:c r="J167" s="9" t="str">
        <ns0:v>A11::raw_basis::v1</ns0:v>
      </ns0:c>
    </ns0:row>
    <ns0:row r="168" ht="52.79999923706055" hidden="0" customHeight="1">
      <ns0:c r="A168" s="9" t="str">
        <ns0:v>同品种跨期</ns0:v>
      </ns0:c>
      <ns0:c r="B168" s="9" t="str">
        <ns0:v>合约对30分钟实现波动</ns0:v>
      </ns0:c>
      <ns0:c r="C168" s="9" t="str">
        <ns0:v>未调整跨期对数价比</ns0:v>
      </ns0:c>
      <ns0:c r="D168" s="9" t="str">
        <ns0:v>A=近月，B=远月。X=10000 × ln(F近/F远)。</ns0:v>
      </ns0:c>
      <ns0:c r="E168" s="9" t="str">
        <ns0:v>与X同单位；衡量合约对自身波动，不是两腿波动率相减。</ns0:v>
      </ns0:c>
      <ns0:c r="F168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8" s="9" t="str">
        <ns0:v>contract-pair-v3</ns0:v>
      </ns0:c>
      <ns0:c r="I168" s="9" t="str">
        <ns0:v>A11</ns0:v>
      </ns0:c>
      <ns0:c r="J168" s="9" t="str">
        <ns0:v>A11::log_basis::v1</ns0:v>
      </ns0:c>
    </ns0:row>
    <ns0:row r="169" ht="52.79999923706055" hidden="0" customHeight="1">
      <ns0:c r="A169" s="9" t="str">
        <ns0:v>同品种跨期</ns0:v>
      </ns0:c>
      <ns0:c r="B169" s="9" t="str">
        <ns0:v>合约对30分钟实现波动</ns0:v>
      </ns0:c>
      <ns0:c r="C169" s="9" t="str">
        <ns0:v>未调整简单期限持有率</ns0:v>
      </ns0:c>
      <ns0:c r="D169" s="9" t="str">
        <ns0:v>A=近月，B=远月。X=100 × (F远/F近−1) × 365/(T远−T近)，两腿T≥5。</ns0:v>
      </ns0:c>
      <ns0:c r="E169" s="9" t="str">
        <ns0:v>与X同单位；衡量合约对自身波动，不是两腿波动率相减。 输入X采用远/近，正值表示远月较贵；与近−远价差的方向不同。</ns0:v>
      </ns0:c>
      <ns0:c r="F169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6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69" s="9" t="str">
        <ns0:v>contract-pair-v3</ns0:v>
      </ns0:c>
      <ns0:c r="I169" s="9" t="str">
        <ns0:v>A11</ns0:v>
      </ns0:c>
      <ns0:c r="J169" s="9" t="str">
        <ns0:v>A11::raw_annual::v1</ns0:v>
      </ns0:c>
    </ns0:row>
    <ns0:row r="170" ht="52.79999923706055" hidden="0" customHeight="1">
      <ns0:c r="A170" s="9" t="str">
        <ns0:v>同品种跨期</ns0:v>
      </ns0:c>
      <ns0:c r="B170" s="9" t="str">
        <ns0:v>合约对30分钟实现波动</ns0:v>
      </ns0:c>
      <ns0:c r="C170" s="9" t="str">
        <ns0:v>未调整对数期限持有率</ns0:v>
      </ns0:c>
      <ns0:c r="D170" s="9" t="str">
        <ns0:v>A=近月，B=远月。X=100 × ln(F远/F近) × 365/(T远−T近)，两腿T≥5。</ns0:v>
      </ns0:c>
      <ns0:c r="E170" s="9" t="str">
        <ns0:v>与X同单位；衡量合约对自身波动，不是两腿波动率相减。 输入X采用远/近，正值表示远月较贵；与近−远价差的方向不同。</ns0:v>
      </ns0:c>
      <ns0:c r="F170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17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0" s="9" t="str">
        <ns0:v>contract-pair-v3</ns0:v>
      </ns0:c>
      <ns0:c r="I170" s="9" t="str">
        <ns0:v>A11</ns0:v>
      </ns0:c>
      <ns0:c r="J170" s="9" t="str">
        <ns0:v>A11::log_annual::v1</ns0:v>
      </ns0:c>
    </ns0:row>
    <ns0:row r="171" ht="66" hidden="0" customHeight="1">
      <ns0:c r="A171" s="9" t="str">
        <ns0:v>同品种跨期</ns0:v>
      </ns0:c>
      <ns0:c r="B171" s="9" t="str">
        <ns0:v>合约对连续偏离事件</ns0:v>
      </ns0:c>
      <ns0:c r="C171" s="9" t="str">
        <ns0:v>跨期价差 close（近−远）</ns0:v>
      </ns0:c>
      <ns0:c r="D171" s="9" t="str">
        <ns0:v>A=近月，B=远月。X=F近−F远。</ns0:v>
      </ns0:c>
      <ns0:c r="E171" s="9" t="str">
        <ns0:v>次、倍、根及时间；只描述该对合约的连续偏离，不自动生成交易指令。</ns0:v>
      </ns0:c>
      <ns0:c r="F171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1" s="9" t="str">
        <ns0:v>contract-pair-v3</ns0:v>
      </ns0:c>
      <ns0:c r="I171" s="9" t="str">
        <ns0:v>A12</ns0:v>
      </ns0:c>
      <ns0:c r="J171" s="9" t="str">
        <ns0:v>A12::future::v1</ns0:v>
      </ns0:c>
    </ns0:row>
    <ns0:row r="172" ht="66" hidden="0" customHeight="1">
      <ns0:c r="A172" s="9" t="str">
        <ns0:v>同品种跨期</ns0:v>
      </ns0:c>
      <ns0:c r="B172" s="9" t="str">
        <ns0:v>合约对连续偏离事件</ns0:v>
      </ns0:c>
      <ns0:c r="C172" s="9" t="str">
        <ns0:v>分红调整跨期基差（bp）</ns0:v>
      </ns0:c>
      <ns0:c r="D172" s="9" t="str">
        <ns0:v>A=近月，B=远月。X=10000 × [(F近+D近)−(F远+D远)] / S。</ns0:v>
      </ns0:c>
      <ns0:c r="E172" s="9" t="str">
        <ns0:v>次、倍、根及时间；只描述该对合约的连续偏离，不自动生成交易指令。</ns0:v>
      </ns0:c>
      <ns0:c r="F172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2" s="9" t="str">
        <ns0:v>contract-pair-v3</ns0:v>
      </ns0:c>
      <ns0:c r="I172" s="9" t="str">
        <ns0:v>A12</ns0:v>
      </ns0:c>
      <ns0:c r="J172" s="9" t="str">
        <ns0:v>A12::basis::v1</ns0:v>
      </ns0:c>
    </ns0:row>
    <ns0:row r="173" ht="66" hidden="0" customHeight="1">
      <ns0:c r="A173" s="9" t="str">
        <ns0:v>同品种跨期</ns0:v>
      </ns0:c>
      <ns0:c r="B173" s="9" t="str">
        <ns0:v>合约对连续偏离事件</ns0:v>
      </ns0:c>
      <ns0:c r="C173" s="9" t="str">
        <ns0:v>分红调整期限持有率（年化）</ns0:v>
      </ns0:c>
      <ns0:c r="D173" s="9" t="str">
        <ns0:v>A=近月，B=远月。X=100 × [(F远+D远)/(F近+D近)−1] × 365/(T远−T近)，两腿T≥5。</ns0:v>
      </ns0:c>
      <ns0:c r="E173" s="9" t="str">
        <ns0:v>次、倍、根及时间；只描述该对合约的连续偏离，不自动生成交易指令。 输入X采用远/近，正值表示远月较贵；与近−远价差的方向不同。</ns0:v>
      </ns0:c>
      <ns0:c r="F173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3" s="9" t="str">
        <ns0:v>contract-pair-v3</ns0:v>
      </ns0:c>
      <ns0:c r="I173" s="9" t="str">
        <ns0:v>A12</ns0:v>
      </ns0:c>
      <ns0:c r="J173" s="9" t="str">
        <ns0:v>A12::annual::v1</ns0:v>
      </ns0:c>
    </ns0:row>
    <ns0:row r="174" ht="66" hidden="0" customHeight="1">
      <ns0:c r="A174" s="9" t="str">
        <ns0:v>同品种跨期</ns0:v>
      </ns0:c>
      <ns0:c r="B174" s="9" t="str">
        <ns0:v>合约对连续偏离事件</ns0:v>
      </ns0:c>
      <ns0:c r="C174" s="9" t="str">
        <ns0:v>未调整跨期基差（bp）</ns0:v>
      </ns0:c>
      <ns0:c r="D174" s="9" t="str">
        <ns0:v>A=近月，B=远月。X=10000 × (F近−F远) / S。</ns0:v>
      </ns0:c>
      <ns0:c r="E174" s="9" t="str">
        <ns0:v>次、倍、根及时间；只描述该对合约的连续偏离，不自动生成交易指令。</ns0:v>
      </ns0:c>
      <ns0:c r="F174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4" s="9" t="str">
        <ns0:v>contract-pair-v3</ns0:v>
      </ns0:c>
      <ns0:c r="I174" s="9" t="str">
        <ns0:v>A12</ns0:v>
      </ns0:c>
      <ns0:c r="J174" s="9" t="str">
        <ns0:v>A12::raw_basis::v1</ns0:v>
      </ns0:c>
    </ns0:row>
    <ns0:row r="175" ht="66" hidden="0" customHeight="1">
      <ns0:c r="A175" s="9" t="str">
        <ns0:v>同品种跨期</ns0:v>
      </ns0:c>
      <ns0:c r="B175" s="9" t="str">
        <ns0:v>合约对连续偏离事件</ns0:v>
      </ns0:c>
      <ns0:c r="C175" s="9" t="str">
        <ns0:v>未调整跨期对数价比</ns0:v>
      </ns0:c>
      <ns0:c r="D175" s="9" t="str">
        <ns0:v>A=近月，B=远月。X=10000 × ln(F近/F远)。</ns0:v>
      </ns0:c>
      <ns0:c r="E175" s="9" t="str">
        <ns0:v>次、倍、根及时间；只描述该对合约的连续偏离，不自动生成交易指令。</ns0:v>
      </ns0:c>
      <ns0:c r="F175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5" s="9" t="str">
        <ns0:v>contract-pair-v3</ns0:v>
      </ns0:c>
      <ns0:c r="I175" s="9" t="str">
        <ns0:v>A12</ns0:v>
      </ns0:c>
      <ns0:c r="J175" s="9" t="str">
        <ns0:v>A12::log_basis::v1</ns0:v>
      </ns0:c>
    </ns0:row>
    <ns0:row r="176" ht="66" hidden="0" customHeight="1">
      <ns0:c r="A176" s="9" t="str">
        <ns0:v>同品种跨期</ns0:v>
      </ns0:c>
      <ns0:c r="B176" s="9" t="str">
        <ns0:v>合约对连续偏离事件</ns0:v>
      </ns0:c>
      <ns0:c r="C176" s="9" t="str">
        <ns0:v>未调整简单期限持有率</ns0:v>
      </ns0:c>
      <ns0:c r="D176" s="9" t="str">
        <ns0:v>A=近月，B=远月。X=100 × (F远/F近−1) × 365/(T远−T近)，两腿T≥5。</ns0:v>
      </ns0:c>
      <ns0:c r="E176" s="9" t="str">
        <ns0:v>次、倍、根及时间；只描述该对合约的连续偏离，不自动生成交易指令。 输入X采用远/近，正值表示远月较贵；与近−远价差的方向不同。</ns0:v>
      </ns0:c>
      <ns0:c r="F176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6" s="9" t="str">
        <ns0:v>contract-pair-v3</ns0:v>
      </ns0:c>
      <ns0:c r="I176" s="9" t="str">
        <ns0:v>A12</ns0:v>
      </ns0:c>
      <ns0:c r="J176" s="9" t="str">
        <ns0:v>A12::raw_annual::v1</ns0:v>
      </ns0:c>
    </ns0:row>
    <ns0:row r="177" ht="66" hidden="0" customHeight="1">
      <ns0:c r="A177" s="9" t="str">
        <ns0:v>同品种跨期</ns0:v>
      </ns0:c>
      <ns0:c r="B177" s="9" t="str">
        <ns0:v>合约对连续偏离事件</ns0:v>
      </ns0:c>
      <ns0:c r="C177" s="9" t="str">
        <ns0:v>未调整对数期限持有率</ns0:v>
      </ns0:c>
      <ns0:c r="D177" s="9" t="str">
        <ns0:v>A=近月，B=远月。X=100 × ln(F远/F近) × 365/(T远−T近)，两腿T≥5。</ns0:v>
      </ns0:c>
      <ns0:c r="E177" s="9" t="str">
        <ns0:v>次、倍、根及时间；只描述该对合约的连续偏离，不自动生成交易指令。 输入X采用远/近，正值表示远月较贵；与近−远价差的方向不同。</ns0:v>
      </ns0:c>
      <ns0:c r="F177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17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7" s="9" t="str">
        <ns0:v>contract-pair-v3</ns0:v>
      </ns0:c>
      <ns0:c r="I177" s="9" t="str">
        <ns0:v>A12</ns0:v>
      </ns0:c>
      <ns0:c r="J177" s="9" t="str">
        <ns0:v>A12::log_annual::v1</ns0:v>
      </ns0:c>
    </ns0:row>
    <ns0:row r="178" ht="66" hidden="0" customHeight="1">
      <ns0:c r="A178" s="9" t="str">
        <ns0:v>同品种跨期</ns0:v>
      </ns0:c>
      <ns0:c r="B178" s="9" t="str">
        <ns0:v>双向跨期一档盘口</ns0:v>
      </ns0:c>
      <ns0:c r="C178" s="9" t="str">
        <ns0:v>固定口径（不随 X 改变）</ns0:v>
      </ns0:c>
      <ns0:c r="D178" s="9" t="str">
        <ns0:v>A=近月，B=远月。买近卖远看Ask近−Bid远；卖近买远看Bid近−Ask远，并检查两腿报价同刻及盘口量。</ns0:v>
      </ns0:c>
      <ns0:c r="E178" s="9" t="str">
        <ns0:v>点；两种方向分别展示，缺真实有效盘口就留空。</ns0:v>
      </ns0:c>
      <ns0:c r="F178" s="9" t="str">
        <ns0:v>买近卖远看Ask近−Bid远；卖近买远看Bid近−Ask远，并检查两腿报价同刻及盘口量。 F=真实期货价，S=对应现货指数，D=该合约剩余分红点数，T=剩余自然日，V=成交量，OI=持仓量；1bp=万分之一，年化1表示1个百分点。</ns0:v>
      </ns0:c>
      <ns0:c r="G17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8" s="9" t="str">
        <ns0:v>contract-pair-v3</ns0:v>
      </ns0:c>
      <ns0:c r="I178" s="9" t="str">
        <ns0:v>A14.book</ns0:v>
      </ns0:c>
      <ns0:c r="J178" s="9" t="str">
        <ns0:v>A14.book::fixed::v1</ns0:v>
      </ns0:c>
    </ns0:row>
    <ns0:row r="179" ht="52.79999923706055" hidden="0" customHeight="1">
      <ns0:c r="A179" s="9" t="str">
        <ns0:v>同品种跨期</ns0:v>
      </ns0:c>
      <ns0:c r="B179" s="9" t="str">
        <ns0:v>合约对开盘偏离与修复</ns0:v>
      </ns0:c>
      <ns0:c r="C179" s="9" t="str">
        <ns0:v>跨期价差 close（近−远）</ns0:v>
      </ns0:c>
      <ns0:c r="D179" s="9" t="str">
        <ns0:v>A=近月，B=远月。X=F近−F远。</ns0:v>
      </ns0:c>
      <ns0:c r="E179" s="9" t="str">
        <ns0:v>gap与X同单位；repair为倍，正值表示回归，1表示恰好修复，负值表示继续偏离。</ns0:v>
      </ns0:c>
      <ns0:c r="F179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7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79" s="9" t="str">
        <ns0:v>contract-pair-v3</ns0:v>
      </ns0:c>
      <ns0:c r="I179" s="9" t="str">
        <ns0:v>B01</ns0:v>
      </ns0:c>
      <ns0:c r="J179" s="9" t="str">
        <ns0:v>B01::future::v1</ns0:v>
      </ns0:c>
    </ns0:row>
    <ns0:row r="180" ht="52.79999923706055" hidden="0" customHeight="1">
      <ns0:c r="A180" s="9" t="str">
        <ns0:v>同品种跨期</ns0:v>
      </ns0:c>
      <ns0:c r="B180" s="9" t="str">
        <ns0:v>合约对开盘偏离与修复</ns0:v>
      </ns0:c>
      <ns0:c r="C180" s="9" t="str">
        <ns0:v>分红调整跨期基差（bp）</ns0:v>
      </ns0:c>
      <ns0:c r="D180" s="9" t="str">
        <ns0:v>A=近月，B=远月。X=10000 × [(F近+D近)−(F远+D远)] / S。</ns0:v>
      </ns0:c>
      <ns0:c r="E180" s="9" t="str">
        <ns0:v>gap与X同单位；repair为倍，正值表示回归，1表示恰好修复，负值表示继续偏离。</ns0:v>
      </ns0:c>
      <ns0:c r="F180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0" s="9" t="str">
        <ns0:v>contract-pair-v3</ns0:v>
      </ns0:c>
      <ns0:c r="I180" s="9" t="str">
        <ns0:v>B01</ns0:v>
      </ns0:c>
      <ns0:c r="J180" s="9" t="str">
        <ns0:v>B01::basis::v1</ns0:v>
      </ns0:c>
    </ns0:row>
    <ns0:row r="181" ht="52.79999923706055" hidden="0" customHeight="1">
      <ns0:c r="A181" s="9" t="str">
        <ns0:v>同品种跨期</ns0:v>
      </ns0:c>
      <ns0:c r="B181" s="9" t="str">
        <ns0:v>合约对开盘偏离与修复</ns0:v>
      </ns0:c>
      <ns0:c r="C181" s="9" t="str">
        <ns0:v>分红调整期限持有率（年化）</ns0:v>
      </ns0:c>
      <ns0:c r="D181" s="9" t="str">
        <ns0:v>A=近月，B=远月。X=100 × [(F远+D远)/(F近+D近)−1] × 365/(T远−T近)，两腿T≥5。</ns0:v>
      </ns0:c>
      <ns0:c r="E181" s="9" t="str">
        <ns0:v>gap与X同单位；repair为倍，正值表示回归，1表示恰好修复，负值表示继续偏离。 输入X采用远/近，正值表示远月较贵；与近−远价差的方向不同。</ns0:v>
      </ns0:c>
      <ns0:c r="F181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1" s="9" t="str">
        <ns0:v>contract-pair-v3</ns0:v>
      </ns0:c>
      <ns0:c r="I181" s="9" t="str">
        <ns0:v>B01</ns0:v>
      </ns0:c>
      <ns0:c r="J181" s="9" t="str">
        <ns0:v>B01::annual::v1</ns0:v>
      </ns0:c>
    </ns0:row>
    <ns0:row r="182" ht="52.79999923706055" hidden="0" customHeight="1">
      <ns0:c r="A182" s="9" t="str">
        <ns0:v>同品种跨期</ns0:v>
      </ns0:c>
      <ns0:c r="B182" s="9" t="str">
        <ns0:v>合约对开盘偏离与修复</ns0:v>
      </ns0:c>
      <ns0:c r="C182" s="9" t="str">
        <ns0:v>未调整跨期基差（bp）</ns0:v>
      </ns0:c>
      <ns0:c r="D182" s="9" t="str">
        <ns0:v>A=近月，B=远月。X=10000 × (F近−F远) / S。</ns0:v>
      </ns0:c>
      <ns0:c r="E182" s="9" t="str">
        <ns0:v>gap与X同单位；repair为倍，正值表示回归，1表示恰好修复，负值表示继续偏离。</ns0:v>
      </ns0:c>
      <ns0:c r="F182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2" s="9" t="str">
        <ns0:v>contract-pair-v3</ns0:v>
      </ns0:c>
      <ns0:c r="I182" s="9" t="str">
        <ns0:v>B01</ns0:v>
      </ns0:c>
      <ns0:c r="J182" s="9" t="str">
        <ns0:v>B01::raw_basis::v1</ns0:v>
      </ns0:c>
    </ns0:row>
    <ns0:row r="183" ht="52.79999923706055" hidden="0" customHeight="1">
      <ns0:c r="A183" s="9" t="str">
        <ns0:v>同品种跨期</ns0:v>
      </ns0:c>
      <ns0:c r="B183" s="9" t="str">
        <ns0:v>合约对开盘偏离与修复</ns0:v>
      </ns0:c>
      <ns0:c r="C183" s="9" t="str">
        <ns0:v>未调整跨期对数价比</ns0:v>
      </ns0:c>
      <ns0:c r="D183" s="9" t="str">
        <ns0:v>A=近月，B=远月。X=10000 × ln(F近/F远)。</ns0:v>
      </ns0:c>
      <ns0:c r="E183" s="9" t="str">
        <ns0:v>gap与X同单位；repair为倍，正值表示回归，1表示恰好修复，负值表示继续偏离。</ns0:v>
      </ns0:c>
      <ns0:c r="F183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3" s="9" t="str">
        <ns0:v>contract-pair-v3</ns0:v>
      </ns0:c>
      <ns0:c r="I183" s="9" t="str">
        <ns0:v>B01</ns0:v>
      </ns0:c>
      <ns0:c r="J183" s="9" t="str">
        <ns0:v>B01::log_basis::v1</ns0:v>
      </ns0:c>
    </ns0:row>
    <ns0:row r="184" ht="52.79999923706055" hidden="0" customHeight="1">
      <ns0:c r="A184" s="9" t="str">
        <ns0:v>同品种跨期</ns0:v>
      </ns0:c>
      <ns0:c r="B184" s="9" t="str">
        <ns0:v>合约对开盘偏离与修复</ns0:v>
      </ns0:c>
      <ns0:c r="C184" s="9" t="str">
        <ns0:v>未调整简单期限持有率</ns0:v>
      </ns0:c>
      <ns0:c r="D184" s="9" t="str">
        <ns0:v>A=近月，B=远月。X=100 × (F远/F近−1) × 365/(T远−T近)，两腿T≥5。</ns0:v>
      </ns0:c>
      <ns0:c r="E184" s="9" t="str">
        <ns0:v>gap与X同单位；repair为倍，正值表示回归，1表示恰好修复，负值表示继续偏离。 输入X采用远/近，正值表示远月较贵；与近−远价差的方向不同。</ns0:v>
      </ns0:c>
      <ns0:c r="F184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4" s="9" t="str">
        <ns0:v>contract-pair-v3</ns0:v>
      </ns0:c>
      <ns0:c r="I184" s="9" t="str">
        <ns0:v>B01</ns0:v>
      </ns0:c>
      <ns0:c r="J184" s="9" t="str">
        <ns0:v>B01::raw_annual::v1</ns0:v>
      </ns0:c>
    </ns0:row>
    <ns0:row r="185" ht="52.79999923706055" hidden="0" customHeight="1">
      <ns0:c r="A185" s="9" t="str">
        <ns0:v>同品种跨期</ns0:v>
      </ns0:c>
      <ns0:c r="B185" s="9" t="str">
        <ns0:v>合约对开盘偏离与修复</ns0:v>
      </ns0:c>
      <ns0:c r="C185" s="9" t="str">
        <ns0:v>未调整对数期限持有率</ns0:v>
      </ns0:c>
      <ns0:c r="D185" s="9" t="str">
        <ns0:v>A=近月，B=远月。X=100 × ln(F远/F近) × 365/(T远−T近)，两腿T≥5。</ns0:v>
      </ns0:c>
      <ns0:c r="E185" s="9" t="str">
        <ns0:v>gap与X同单位；repair为倍，正值表示回归，1表示恰好修复，负值表示继续偏离。 输入X采用远/近，正值表示远月较贵；与近−远价差的方向不同。</ns0:v>
      </ns0:c>
      <ns0:c r="F185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18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5" s="9" t="str">
        <ns0:v>contract-pair-v3</ns0:v>
      </ns0:c>
      <ns0:c r="I185" s="9" t="str">
        <ns0:v>B01</ns0:v>
      </ns0:c>
      <ns0:c r="J185" s="9" t="str">
        <ns0:v>B01::log_annual::v1</ns0:v>
      </ns0:c>
    </ns0:row>
    <ns0:row r="186" ht="66" hidden="0" customHeight="1">
      <ns0:c r="A186" s="9" t="str">
        <ns0:v>同品种跨期</ns0:v>
      </ns0:c>
      <ns0:c r="B186" s="9" t="str">
        <ns0:v>合约对匹配量加权中枢</ns0:v>
      </ns0:c>
      <ns0:c r="C186" s="9" t="str">
        <ns0:v>跨期价差 close（近−远）</ns0:v>
      </ns0:c>
      <ns0:c r="D186" s="9" t="str">
        <ns0:v>A=近月，B=远月。X=F近−F远。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86" s="9" t="str">
        <ns0:v>center/gap与X同单位；gap=日终X−中枢，权重为折算A腿的匹配容量代理。</ns0:v>
      </ns0:c>
      <ns0:c r="F186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8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6" s="9" t="str">
        <ns0:v>contract-pair-v3</ns0:v>
      </ns0:c>
      <ns0:c r="I186" s="9" t="str">
        <ns0:v>B02</ns0:v>
      </ns0:c>
      <ns0:c r="J186" s="9" t="str">
        <ns0:v>B02::future::v1</ns0:v>
      </ns0:c>
    </ns0:row>
    <ns0:row r="187" ht="79.19999694824219" hidden="0" customHeight="1">
      <ns0:c r="A187" s="9" t="str">
        <ns0:v>同品种跨期</ns0:v>
      </ns0:c>
      <ns0:c r="B187" s="9" t="str">
        <ns0:v>合约对匹配量加权中枢</ns0:v>
      </ns0:c>
      <ns0:c r="C187" s="9" t="str">
        <ns0:v>分红调整跨期基差（bp）</ns0:v>
      </ns0:c>
      <ns0:c r="D187" s="9" t="str">
        <ns0:v>A=近月，B=远月。X=10000 × [(F近+D近)−(F远+D远)]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87" s="9" t="str">
        <ns0:v>center/gap与X同单位；gap=日终X−中枢，权重为折算A腿的匹配容量代理。</ns0:v>
      </ns0:c>
      <ns0:c r="F187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8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7" s="9" t="str">
        <ns0:v>contract-pair-v3</ns0:v>
      </ns0:c>
      <ns0:c r="I187" s="9" t="str">
        <ns0:v>B02</ns0:v>
      </ns0:c>
      <ns0:c r="J187" s="9" t="str">
        <ns0:v>B02::basis::v1</ns0:v>
      </ns0:c>
    </ns0:row>
    <ns0:row r="188" ht="79.19999694824219" hidden="0" customHeight="1">
      <ns0:c r="A188" s="9" t="str">
        <ns0:v>同品种跨期</ns0:v>
      </ns0:c>
      <ns0:c r="B188" s="9" t="str">
        <ns0:v>合约对匹配量加权中枢</ns0:v>
      </ns0:c>
      <ns0:c r="C188" s="9" t="str">
        <ns0:v>分红调整期限持有率（年化）</ns0:v>
      </ns0:c>
      <ns0:c r="D188" s="9" t="str">
        <ns0:v>A=近月，B=远月。X=100 × [(F远+D远)/(F近+D近)−1]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88" s="9" t="str">
        <ns0:v>center/gap与X同单位；gap=日终X−中枢，权重为折算A腿的匹配容量代理。 输入X采用远/近，正值表示远月较贵；与近−远价差的方向不同。</ns0:v>
      </ns0:c>
      <ns0:c r="F188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8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8" s="9" t="str">
        <ns0:v>contract-pair-v3</ns0:v>
      </ns0:c>
      <ns0:c r="I188" s="9" t="str">
        <ns0:v>B02</ns0:v>
      </ns0:c>
      <ns0:c r="J188" s="9" t="str">
        <ns0:v>B02::annual::v1</ns0:v>
      </ns0:c>
    </ns0:row>
    <ns0:row r="189" ht="66" hidden="0" customHeight="1">
      <ns0:c r="A189" s="9" t="str">
        <ns0:v>同品种跨期</ns0:v>
      </ns0:c>
      <ns0:c r="B189" s="9" t="str">
        <ns0:v>合约对匹配量加权中枢</ns0:v>
      </ns0:c>
      <ns0:c r="C189" s="9" t="str">
        <ns0:v>未调整跨期基差（bp）</ns0:v>
      </ns0:c>
      <ns0:c r="D189" s="9" t="str">
        <ns0:v>A=近月，B=远月。X=10000 × (F近−F远)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89" s="9" t="str">
        <ns0:v>center/gap与X同单位；gap=日终X−中枢，权重为折算A腿的匹配容量代理。</ns0:v>
      </ns0:c>
      <ns0:c r="F189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8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89" s="9" t="str">
        <ns0:v>contract-pair-v3</ns0:v>
      </ns0:c>
      <ns0:c r="I189" s="9" t="str">
        <ns0:v>B02</ns0:v>
      </ns0:c>
      <ns0:c r="J189" s="9" t="str">
        <ns0:v>B02::raw_basis::v1</ns0:v>
      </ns0:c>
    </ns0:row>
    <ns0:row r="190" ht="66" hidden="0" customHeight="1">
      <ns0:c r="A190" s="9" t="str">
        <ns0:v>同品种跨期</ns0:v>
      </ns0:c>
      <ns0:c r="B190" s="9" t="str">
        <ns0:v>合约对匹配量加权中枢</ns0:v>
      </ns0:c>
      <ns0:c r="C190" s="9" t="str">
        <ns0:v>未调整跨期对数价比</ns0:v>
      </ns0:c>
      <ns0:c r="D190" s="9" t="str">
        <ns0:v>A=近月，B=远月。X=10000 × ln(F近/F远)。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0" s="9" t="str">
        <ns0:v>center/gap与X同单位；gap=日终X−中枢，权重为折算A腿的匹配容量代理。</ns0:v>
      </ns0:c>
      <ns0:c r="F190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9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0" s="9" t="str">
        <ns0:v>contract-pair-v3</ns0:v>
      </ns0:c>
      <ns0:c r="I190" s="9" t="str">
        <ns0:v>B02</ns0:v>
      </ns0:c>
      <ns0:c r="J190" s="9" t="str">
        <ns0:v>B02::log_basis::v1</ns0:v>
      </ns0:c>
    </ns0:row>
    <ns0:row r="191" ht="79.19999694824219" hidden="0" customHeight="1">
      <ns0:c r="A191" s="9" t="str">
        <ns0:v>同品种跨期</ns0:v>
      </ns0:c>
      <ns0:c r="B191" s="9" t="str">
        <ns0:v>合约对匹配量加权中枢</ns0:v>
      </ns0:c>
      <ns0:c r="C191" s="9" t="str">
        <ns0:v>未调整简单期限持有率</ns0:v>
      </ns0:c>
      <ns0:c r="D191" s="9" t="str">
        <ns0:v>A=近月，B=远月。X=100 × (F远/F近−1)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1" s="9" t="str">
        <ns0:v>center/gap与X同单位；gap=日终X−中枢，权重为折算A腿的匹配容量代理。 输入X采用远/近，正值表示远月较贵；与近−远价差的方向不同。</ns0:v>
      </ns0:c>
      <ns0:c r="F191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9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1" s="9" t="str">
        <ns0:v>contract-pair-v3</ns0:v>
      </ns0:c>
      <ns0:c r="I191" s="9" t="str">
        <ns0:v>B02</ns0:v>
      </ns0:c>
      <ns0:c r="J191" s="9" t="str">
        <ns0:v>B02::raw_annual::v1</ns0:v>
      </ns0:c>
    </ns0:row>
    <ns0:row r="192" ht="79.19999694824219" hidden="0" customHeight="1">
      <ns0:c r="A192" s="9" t="str">
        <ns0:v>同品种跨期</ns0:v>
      </ns0:c>
      <ns0:c r="B192" s="9" t="str">
        <ns0:v>合约对匹配量加权中枢</ns0:v>
      </ns0:c>
      <ns0:c r="C192" s="9" t="str">
        <ns0:v>未调整对数期限持有率</ns0:v>
      </ns0:c>
      <ns0:c r="D192" s="9" t="str">
        <ns0:v>A=近月，B=远月。X=100 × ln(F远/F近)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2" s="9" t="str">
        <ns0:v>center/gap与X同单位；gap=日终X−中枢，权重为折算A腿的匹配容量代理。 输入X采用远/近，正值表示远月较贵；与近−远价差的方向不同。</ns0:v>
      </ns0:c>
      <ns0:c r="F192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19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2" s="9" t="str">
        <ns0:v>contract-pair-v3</ns0:v>
      </ns0:c>
      <ns0:c r="I192" s="9" t="str">
        <ns0:v>B02</ns0:v>
      </ns0:c>
      <ns0:c r="J192" s="9" t="str">
        <ns0:v>B02::log_annual::v1</ns0:v>
      </ns0:c>
    </ns0:row>
    <ns0:row r="193" ht="66" hidden="0" customHeight="1">
      <ns0:c r="A193" s="9" t="str">
        <ns0:v>同品种跨期</ns0:v>
      </ns0:c>
      <ns0:c r="B193" s="9" t="str">
        <ns0:v>合约对共同增仓加权漂移</ns0:v>
      </ns0:c>
      <ns0:c r="C193" s="9" t="str">
        <ns0:v>跨期价差 close（近−远）</ns0:v>
      </ns0:c>
      <ns0:c r="D193" s="9" t="str">
        <ns0:v>A=近月，B=远月。X=F近−F远。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3" s="9" t="str">
        <ns0:v>与X同单位；正值表示双腿共同增仓时X倾向扩大；一腿独增仓不产生共同权重。</ns0:v>
      </ns0:c>
      <ns0:c r="F193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3" s="9" t="str">
        <ns0:v>contract-pair-v3</ns0:v>
      </ns0:c>
      <ns0:c r="I193" s="9" t="str">
        <ns0:v>B03</ns0:v>
      </ns0:c>
      <ns0:c r="J193" s="9" t="str">
        <ns0:v>B03::future::v1</ns0:v>
      </ns0:c>
    </ns0:row>
    <ns0:row r="194" ht="79.19999694824219" hidden="0" customHeight="1">
      <ns0:c r="A194" s="9" t="str">
        <ns0:v>同品种跨期</ns0:v>
      </ns0:c>
      <ns0:c r="B194" s="9" t="str">
        <ns0:v>合约对共同增仓加权漂移</ns0:v>
      </ns0:c>
      <ns0:c r="C194" s="9" t="str">
        <ns0:v>分红调整跨期基差（bp）</ns0:v>
      </ns0:c>
      <ns0:c r="D194" s="9" t="str">
        <ns0:v>A=近月，B=远月。X=10000 × [(F近+D近)−(F远+D远)]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4" s="9" t="str">
        <ns0:v>与X同单位；正值表示双腿共同增仓时X倾向扩大；一腿独增仓不产生共同权重。</ns0:v>
      </ns0:c>
      <ns0:c r="F194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4" s="9" t="str">
        <ns0:v>contract-pair-v3</ns0:v>
      </ns0:c>
      <ns0:c r="I194" s="9" t="str">
        <ns0:v>B03</ns0:v>
      </ns0:c>
      <ns0:c r="J194" s="9" t="str">
        <ns0:v>B03::basis::v1</ns0:v>
      </ns0:c>
    </ns0:row>
    <ns0:row r="195" ht="79.19999694824219" hidden="0" customHeight="1">
      <ns0:c r="A195" s="9" t="str">
        <ns0:v>同品种跨期</ns0:v>
      </ns0:c>
      <ns0:c r="B195" s="9" t="str">
        <ns0:v>合约对共同增仓加权漂移</ns0:v>
      </ns0:c>
      <ns0:c r="C195" s="9" t="str">
        <ns0:v>分红调整期限持有率（年化）</ns0:v>
      </ns0:c>
      <ns0:c r="D195" s="9" t="str">
        <ns0:v>A=近月，B=远月。X=100 × [(F远+D远)/(F近+D近)−1]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5" s="9" t="str">
        <ns0:v>与X同单位；正值表示双腿共同增仓时X倾向扩大；一腿独增仓不产生共同权重。 输入X采用远/近，正值表示远月较贵；与近−远价差的方向不同。</ns0:v>
      </ns0:c>
      <ns0:c r="F195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5" s="9" t="str">
        <ns0:v>contract-pair-v3</ns0:v>
      </ns0:c>
      <ns0:c r="I195" s="9" t="str">
        <ns0:v>B03</ns0:v>
      </ns0:c>
      <ns0:c r="J195" s="9" t="str">
        <ns0:v>B03::annual::v1</ns0:v>
      </ns0:c>
    </ns0:row>
    <ns0:row r="196" ht="66" hidden="0" customHeight="1">
      <ns0:c r="A196" s="9" t="str">
        <ns0:v>同品种跨期</ns0:v>
      </ns0:c>
      <ns0:c r="B196" s="9" t="str">
        <ns0:v>合约对共同增仓加权漂移</ns0:v>
      </ns0:c>
      <ns0:c r="C196" s="9" t="str">
        <ns0:v>未调整跨期基差（bp）</ns0:v>
      </ns0:c>
      <ns0:c r="D196" s="9" t="str">
        <ns0:v>A=近月，B=远月。X=10000 × (F近−F远)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6" s="9" t="str">
        <ns0:v>与X同单位；正值表示双腿共同增仓时X倾向扩大；一腿独增仓不产生共同权重。</ns0:v>
      </ns0:c>
      <ns0:c r="F196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6" s="9" t="str">
        <ns0:v>contract-pair-v3</ns0:v>
      </ns0:c>
      <ns0:c r="I196" s="9" t="str">
        <ns0:v>B03</ns0:v>
      </ns0:c>
      <ns0:c r="J196" s="9" t="str">
        <ns0:v>B03::raw_basis::v1</ns0:v>
      </ns0:c>
    </ns0:row>
    <ns0:row r="197" ht="66" hidden="0" customHeight="1">
      <ns0:c r="A197" s="9" t="str">
        <ns0:v>同品种跨期</ns0:v>
      </ns0:c>
      <ns0:c r="B197" s="9" t="str">
        <ns0:v>合约对共同增仓加权漂移</ns0:v>
      </ns0:c>
      <ns0:c r="C197" s="9" t="str">
        <ns0:v>未调整跨期对数价比</ns0:v>
      </ns0:c>
      <ns0:c r="D197" s="9" t="str">
        <ns0:v>A=近月，B=远月。X=10000 × ln(F近/F远)。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7" s="9" t="str">
        <ns0:v>与X同单位；正值表示双腿共同增仓时X倾向扩大；一腿独增仓不产生共同权重。</ns0:v>
      </ns0:c>
      <ns0:c r="F197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7" s="9" t="str">
        <ns0:v>contract-pair-v3</ns0:v>
      </ns0:c>
      <ns0:c r="I197" s="9" t="str">
        <ns0:v>B03</ns0:v>
      </ns0:c>
      <ns0:c r="J197" s="9" t="str">
        <ns0:v>B03::log_basis::v1</ns0:v>
      </ns0:c>
    </ns0:row>
    <ns0:row r="198" ht="79.19999694824219" hidden="0" customHeight="1">
      <ns0:c r="A198" s="9" t="str">
        <ns0:v>同品种跨期</ns0:v>
      </ns0:c>
      <ns0:c r="B198" s="9" t="str">
        <ns0:v>合约对共同增仓加权漂移</ns0:v>
      </ns0:c>
      <ns0:c r="C198" s="9" t="str">
        <ns0:v>未调整简单期限持有率</ns0:v>
      </ns0:c>
      <ns0:c r="D198" s="9" t="str">
        <ns0:v>A=近月，B=远月。X=100 × (F远/F近−1)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8" s="9" t="str">
        <ns0:v>与X同单位；正值表示双腿共同增仓时X倾向扩大；一腿独增仓不产生共同权重。 输入X采用远/近，正值表示远月较贵；与近−远价差的方向不同。</ns0:v>
      </ns0:c>
      <ns0:c r="F198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8" s="9" t="str">
        <ns0:v>contract-pair-v3</ns0:v>
      </ns0:c>
      <ns0:c r="I198" s="9" t="str">
        <ns0:v>B03</ns0:v>
      </ns0:c>
      <ns0:c r="J198" s="9" t="str">
        <ns0:v>B03::raw_annual::v1</ns0:v>
      </ns0:c>
    </ns0:row>
    <ns0:row r="199" ht="79.19999694824219" hidden="0" customHeight="1">
      <ns0:c r="A199" s="9" t="str">
        <ns0:v>同品种跨期</ns0:v>
      </ns0:c>
      <ns0:c r="B199" s="9" t="str">
        <ns0:v>合约对共同增仓加权漂移</ns0:v>
      </ns0:c>
      <ns0:c r="C199" s="9" t="str">
        <ns0:v>未调整对数期限持有率</ns0:v>
      </ns0:c>
      <ns0:c r="D199" s="9" t="str">
        <ns0:v>A=近月，B=远月。X=100 × ln(F远/F近)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199" s="9" t="str">
        <ns0:v>与X同单位；正值表示双腿共同增仓时X倾向扩大；一腿独增仓不产生共同权重。 输入X采用远/近，正值表示远月较贵；与近−远价差的方向不同。</ns0:v>
      </ns0:c>
      <ns0:c r="F199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19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199" s="9" t="str">
        <ns0:v>contract-pair-v3</ns0:v>
      </ns0:c>
      <ns0:c r="I199" s="9" t="str">
        <ns0:v>B03</ns0:v>
      </ns0:c>
      <ns0:c r="J199" s="9" t="str">
        <ns0:v>B03::log_annual::v1</ns0:v>
      </ns0:c>
    </ns0:row>
    <ns0:row r="200" ht="79.19999694824219" hidden="0" customHeight="1">
      <ns0:c r="A200" s="9" t="str">
        <ns0:v>同品种跨期</ns0:v>
      </ns0:c>
      <ns0:c r="B200" s="9" t="str">
        <ns0:v>合约对匹配换手与增仓</ns0:v>
      </ns0:c>
      <ns0:c r="C200" s="9" t="str">
        <ns0:v>固定口径（不随 X 改变）</ns0:v>
      </ns0:c>
      <ns0:c r="D200" s="9" t="str">
        <ns0:v>A=近月，B=远月。Q=V配/OI配前；ΔOI配使用同一个h比较今日与昨日；K=100ΔOI配/V配。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0" s="9" t="str">
        <ns0:v>Q为倍，K为%，ΔOI配为A腿折算手数；不是只显示A腿换手。</ns0:v>
      </ns0:c>
      <ns0:c r="F200" s="9" t="str">
        <ns0:v>Q=V配/OI配前；ΔOI配使用同一个h比较今日与昨日；K=100ΔOI配/V配。 F=真实期货价，S=对应现货指数，D=该合约剩余分红点数，T=剩余自然日，V=成交量，OI=持仓量；1bp=万分之一，年化1表示1个百分点。</ns0:v>
      </ns0:c>
      <ns0:c r="G20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0" s="9" t="str">
        <ns0:v>contract-pair-v3</ns0:v>
      </ns0:c>
      <ns0:c r="I200" s="9" t="str">
        <ns0:v>B04</ns0:v>
      </ns0:c>
      <ns0:c r="J200" s="9" t="str">
        <ns0:v>B04::fixed::v1</ns0:v>
      </ns0:c>
    </ns0:row>
    <ns0:row r="201" ht="79.19999694824219" hidden="0" customHeight="1">
      <ns0:c r="A201" s="9" t="str">
        <ns0:v>同品种跨期</ns0:v>
      </ns0:c>
      <ns0:c r="B201" s="9" t="str">
        <ns0:v>跨期持仓迁移形态代理</ns0:v>
      </ns0:c>
      <ns0:c r="C201" s="9" t="str">
        <ns0:v>固定口径（不随 X 改变）</ns0:v>
      </ns0:c>
      <ns0:c r="D201" s="9" t="str">
        <ns0:v>A=近月，B=远月。同时使用近月减仓和远月增仓，取可对应部分的较小值，并显示迁移占比和两腿净增仓。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1" s="9" t="str">
        <ns0:v>M为手，R/N为%；只描述持仓形态，不能断言同一账户真实移仓。</ns0:v>
      </ns0:c>
      <ns0:c r="F201" s="9" t="str">
        <ns0:v>同时使用近月减仓和远月增仓，取可对应部分的较小值，并显示迁移占比和两腿净增仓。 F=真实期货价，S=对应现货指数，D=该合约剩余分红点数，T=剩余自然日，V=成交量，OI=持仓量；1bp=万分之一，年化1表示1个百分点。</ns0:v>
      </ns0:c>
      <ns0:c r="G20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1" s="9" t="str">
        <ns0:v>contract-pair-v3</ns0:v>
      </ns0:c>
      <ns0:c r="I201" s="9" t="str">
        <ns0:v>B05</ns0:v>
      </ns0:c>
      <ns0:c r="J201" s="9" t="str">
        <ns0:v>B05::fixed::v1</ns0:v>
      </ns0:c>
    </ns0:row>
    <ns0:row r="202" ht="79.19999694824219" hidden="0" customHeight="1">
      <ns0:c r="A202" s="9" t="str">
        <ns0:v>同品种跨期</ns0:v>
      </ns0:c>
      <ns0:c r="B202" s="9" t="str">
        <ns0:v>跨期流量与存量份额偏移</ns0:v>
      </ns0:c>
      <ns0:c r="C202" s="9" t="str">
        <ns0:v>固定口径（不随 X 改变）</ns0:v>
      </ns0:c>
      <ns0:c r="D202" s="9" t="str">
        <ns0:v>A=近月，B=远月。远月当日成交占两腿成交的比例，减远月昨日持仓占两腿持仓的比例。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2" s="9" t="str">
        <ns0:v>百分点；正值表示成交分布比昨日持仓分布更偏向远月。</ns0:v>
      </ns0:c>
      <ns0:c r="F202" s="9" t="str">
        <ns0:v>远月当日成交占两腿成交的比例，减远月昨日持仓占两腿持仓的比例。 F=真实期货价，S=对应现货指数，D=该合约剩余分红点数，T=剩余自然日，V=成交量，OI=持仓量；1bp=万分之一，年化1表示1个百分点。</ns0:v>
      </ns0:c>
      <ns0:c r="G20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2" s="9" t="str">
        <ns0:v>contract-pair-v3</ns0:v>
      </ns0:c>
      <ns0:c r="I202" s="9" t="str">
        <ns0:v>B06</ns0:v>
      </ns0:c>
      <ns0:c r="J202" s="9" t="str">
        <ns0:v>B06::fixed::v1</ns0:v>
      </ns0:c>
    </ns0:row>
    <ns0:row r="203" ht="66" hidden="0" customHeight="1">
      <ns0:c r="A203" s="9" t="str">
        <ns0:v>同品种跨期</ns0:v>
      </ns0:c>
      <ns0:c r="B203" s="9" t="str">
        <ns0:v>合约对收盘位置</ns0:v>
      </ns0:c>
      <ns0:c r="C203" s="9" t="str">
        <ns0:v>跨期价差 close（近−远）</ns0:v>
      </ns0:c>
      <ns0:c r="D203" s="9" t="str">
        <ns0:v>A=近月，B=远月。X=F近−F远。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3" s="9" t="str">
        <ns0:v>−1到1；1在合约对当日最高点，−1在最低点；高低相等时留空。</ns0:v>
      </ns0:c>
      <ns0:c r="F203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3" s="9" t="str">
        <ns0:v>contract-pair-v3</ns0:v>
      </ns0:c>
      <ns0:c r="I203" s="9" t="str">
        <ns0:v>B07</ns0:v>
      </ns0:c>
      <ns0:c r="J203" s="9" t="str">
        <ns0:v>B07::future::v1</ns0:v>
      </ns0:c>
    </ns0:row>
    <ns0:row r="204" ht="79.19999694824219" hidden="0" customHeight="1">
      <ns0:c r="A204" s="9" t="str">
        <ns0:v>同品种跨期</ns0:v>
      </ns0:c>
      <ns0:c r="B204" s="9" t="str">
        <ns0:v>合约对收盘位置</ns0:v>
      </ns0:c>
      <ns0:c r="C204" s="9" t="str">
        <ns0:v>分红调整跨期基差（bp）</ns0:v>
      </ns0:c>
      <ns0:c r="D204" s="9" t="str">
        <ns0:v>A=近月，B=远月。X=10000 × [(F近+D近)−(F远+D远)]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4" s="9" t="str">
        <ns0:v>−1到1；1在合约对当日最高点，−1在最低点；高低相等时留空。</ns0:v>
      </ns0:c>
      <ns0:c r="F204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4" s="9" t="str">
        <ns0:v>contract-pair-v3</ns0:v>
      </ns0:c>
      <ns0:c r="I204" s="9" t="str">
        <ns0:v>B07</ns0:v>
      </ns0:c>
      <ns0:c r="J204" s="9" t="str">
        <ns0:v>B07::basis::v1</ns0:v>
      </ns0:c>
    </ns0:row>
    <ns0:row r="205" ht="79.19999694824219" hidden="0" customHeight="1">
      <ns0:c r="A205" s="9" t="str">
        <ns0:v>同品种跨期</ns0:v>
      </ns0:c>
      <ns0:c r="B205" s="9" t="str">
        <ns0:v>合约对收盘位置</ns0:v>
      </ns0:c>
      <ns0:c r="C205" s="9" t="str">
        <ns0:v>分红调整期限持有率（年化）</ns0:v>
      </ns0:c>
      <ns0:c r="D205" s="9" t="str">
        <ns0:v>A=近月，B=远月。X=100 × [(F远+D远)/(F近+D近)−1]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5" s="9" t="str">
        <ns0:v>−1到1；1在合约对当日最高点，−1在最低点；高低相等时留空。 输入X采用远/近，正值表示远月较贵；与近−远价差的方向不同。</ns0:v>
      </ns0:c>
      <ns0:c r="F205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5" s="9" t="str">
        <ns0:v>contract-pair-v3</ns0:v>
      </ns0:c>
      <ns0:c r="I205" s="9" t="str">
        <ns0:v>B07</ns0:v>
      </ns0:c>
      <ns0:c r="J205" s="9" t="str">
        <ns0:v>B07::annual::v1</ns0:v>
      </ns0:c>
    </ns0:row>
    <ns0:row r="206" ht="66" hidden="0" customHeight="1">
      <ns0:c r="A206" s="9" t="str">
        <ns0:v>同品种跨期</ns0:v>
      </ns0:c>
      <ns0:c r="B206" s="9" t="str">
        <ns0:v>合约对收盘位置</ns0:v>
      </ns0:c>
      <ns0:c r="C206" s="9" t="str">
        <ns0:v>未调整跨期基差（bp）</ns0:v>
      </ns0:c>
      <ns0:c r="D206" s="9" t="str">
        <ns0:v>A=近月，B=远月。X=10000 × (F近−F远)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6" s="9" t="str">
        <ns0:v>−1到1；1在合约对当日最高点，−1在最低点；高低相等时留空。</ns0:v>
      </ns0:c>
      <ns0:c r="F206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6" s="9" t="str">
        <ns0:v>contract-pair-v3</ns0:v>
      </ns0:c>
      <ns0:c r="I206" s="9" t="str">
        <ns0:v>B07</ns0:v>
      </ns0:c>
      <ns0:c r="J206" s="9" t="str">
        <ns0:v>B07::raw_basis::v1</ns0:v>
      </ns0:c>
    </ns0:row>
    <ns0:row r="207" ht="66" hidden="0" customHeight="1">
      <ns0:c r="A207" s="9" t="str">
        <ns0:v>同品种跨期</ns0:v>
      </ns0:c>
      <ns0:c r="B207" s="9" t="str">
        <ns0:v>合约对收盘位置</ns0:v>
      </ns0:c>
      <ns0:c r="C207" s="9" t="str">
        <ns0:v>未调整跨期对数价比</ns0:v>
      </ns0:c>
      <ns0:c r="D207" s="9" t="str">
        <ns0:v>A=近月，B=远月。X=10000 × ln(F近/F远)。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7" s="9" t="str">
        <ns0:v>−1到1；1在合约对当日最高点，−1在最低点；高低相等时留空。</ns0:v>
      </ns0:c>
      <ns0:c r="F207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7" s="9" t="str">
        <ns0:v>contract-pair-v3</ns0:v>
      </ns0:c>
      <ns0:c r="I207" s="9" t="str">
        <ns0:v>B07</ns0:v>
      </ns0:c>
      <ns0:c r="J207" s="9" t="str">
        <ns0:v>B07::log_basis::v1</ns0:v>
      </ns0:c>
    </ns0:row>
    <ns0:row r="208" ht="79.19999694824219" hidden="0" customHeight="1">
      <ns0:c r="A208" s="9" t="str">
        <ns0:v>同品种跨期</ns0:v>
      </ns0:c>
      <ns0:c r="B208" s="9" t="str">
        <ns0:v>合约对收盘位置</ns0:v>
      </ns0:c>
      <ns0:c r="C208" s="9" t="str">
        <ns0:v>未调整简单期限持有率</ns0:v>
      </ns0:c>
      <ns0:c r="D208" s="9" t="str">
        <ns0:v>A=近月，B=远月。X=100 × (F远/F近−1)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8" s="9" t="str">
        <ns0:v>−1到1；1在合约对当日最高点，−1在最低点；高低相等时留空。 输入X采用远/近，正值表示远月较贵；与近−远价差的方向不同。</ns0:v>
      </ns0:c>
      <ns0:c r="F208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8" s="9" t="str">
        <ns0:v>contract-pair-v3</ns0:v>
      </ns0:c>
      <ns0:c r="I208" s="9" t="str">
        <ns0:v>B07</ns0:v>
      </ns0:c>
      <ns0:c r="J208" s="9" t="str">
        <ns0:v>B07::raw_annual::v1</ns0:v>
      </ns0:c>
    </ns0:row>
    <ns0:row r="209" ht="79.19999694824219" hidden="0" customHeight="1">
      <ns0:c r="A209" s="9" t="str">
        <ns0:v>同品种跨期</ns0:v>
      </ns0:c>
      <ns0:c r="B209" s="9" t="str">
        <ns0:v>合约对收盘位置</ns0:v>
      </ns0:c>
      <ns0:c r="C209" s="9" t="str">
        <ns0:v>未调整对数期限持有率</ns0:v>
      </ns0:c>
      <ns0:c r="D209" s="9" t="str">
        <ns0:v>A=近月，B=远月。X=100 × ln(F远/F近)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09" s="9" t="str">
        <ns0:v>−1到1；1在合约对当日最高点，−1在最低点；高低相等时留空。 输入X采用远/近，正值表示远月较贵；与近−远价差的方向不同。</ns0:v>
      </ns0:c>
      <ns0:c r="F209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20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09" s="9" t="str">
        <ns0:v>contract-pair-v3</ns0:v>
      </ns0:c>
      <ns0:c r="I209" s="9" t="str">
        <ns0:v>B07</ns0:v>
      </ns0:c>
      <ns0:c r="J209" s="9" t="str">
        <ns0:v>B07::log_annual::v1</ns0:v>
      </ns0:c>
    </ns0:row>
    <ns0:row r="210" ht="79.19999694824219" hidden="0" customHeight="1">
      <ns0:c r="A210" s="9" t="str">
        <ns0:v>同品种跨期</ns0:v>
      </ns0:c>
      <ns0:c r="B210" s="9" t="str">
        <ns0:v>合约对匹配持仓扩张</ns0:v>
      </ns0:c>
      <ns0:c r="C210" s="9" t="str">
        <ns0:v>固定口径（不随 X 改变）</ns0:v>
      </ns0:c>
      <ns0:c r="D210" s="9" t="str">
        <ns0:v>A=近月，B=远月。用当期前一完整交易日h固定两端，比较当前与五期前min(OI_A,OI_B/h)的对数增长。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10" s="9" t="str">
        <ns0:v>对数增长百分点；正值表示这对具体合约的匹配持仓容量扩大。原固定品种集合增长仅作辅助。</ns0:v>
      </ns0:c>
      <ns0:c r="F210" s="9" t="str">
        <ns0:v>用当期前一完整交易日h固定两端，比较当前与五期前min(OI_A,OI_B/h)的对数增长。 F=真实期货价，S=对应现货指数，D=该合约剩余分红点数，T=剩余自然日，V=成交量，OI=持仓量；1bp=万分之一，年化1表示1个百分点。</ns0:v>
      </ns0:c>
      <ns0:c r="G21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0" s="9" t="str">
        <ns0:v>contract-pair-v3</ns0:v>
      </ns0:c>
      <ns0:c r="I210" s="9" t="str">
        <ns0:v>B08</ns0:v>
      </ns0:c>
      <ns0:c r="J210" s="9" t="str">
        <ns0:v>B08::fixed::v1</ns0:v>
      </ns0:c>
    </ns0:row>
    <ns0:row r="211" ht="79.19999694824219" hidden="0" customHeight="1">
      <ns0:c r="A211" s="9" t="str">
        <ns0:v>同品种跨期</ns0:v>
      </ns0:c>
      <ns0:c r="B211" s="9" t="str">
        <ns0:v>合约对成交活跃度</ns0:v>
      </ns0:c>
      <ns0:c r="C211" s="9" t="str">
        <ns0:v>固定口径（不随 X 改变）</ns0:v>
      </ns0:c>
      <ns0:c r="D211" s="9" t="str">
        <ns0:v>A=近月，B=远月。以V配除以自身此前20个完整交易日V配的中位数，当前日不进入基准。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11" s="9" t="str">
        <ns0:v>倍；1为自身历史典型水平，2为两倍；两腿同时放量也能反映为活跃。</ns0:v>
      </ns0:c>
      <ns0:c r="F211" s="9" t="str">
        <ns0:v>以V配除以自身此前20个完整交易日V配的中位数，当前日不进入基准。 F=真实期货价，S=对应现货指数，D=该合约剩余分红点数，T=剩余自然日，V=成交量，OI=持仓量；1bp=万分之一，年化1表示1个百分点。</ns0:v>
      </ns0:c>
      <ns0:c r="G21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1" s="9" t="str">
        <ns0:v>contract-pair-v3</ns0:v>
      </ns0:c>
      <ns0:c r="I211" s="9" t="str">
        <ns0:v>B09</ns0:v>
      </ns0:c>
      <ns0:c r="J211" s="9" t="str">
        <ns0:v>B09::fixed::v1</ns0:v>
      </ns0:c>
    </ns0:row>
    <ns0:row r="212" ht="52.79999923706055" hidden="0" customHeight="1">
      <ns0:c r="A212" s="9" t="str">
        <ns0:v>同品种跨期</ns0:v>
      </ns0:c>
      <ns0:c r="B212" s="9" t="str">
        <ns0:v>合约对路径效率</ns0:v>
      </ns0:c>
      <ns0:c r="C212" s="9" t="str">
        <ns0:v>跨期价差 close（近−远）</ns0:v>
      </ns0:c>
      <ns0:c r="D212" s="9" t="str">
        <ns0:v>A=近月，B=远月。X=F近−F远。</ns0:v>
      </ns0:c>
      <ns0:c r="E212" s="9" t="str">
        <ns0:v>−1到1；绝对值越大表示路径越单向，符号表示X变化方向；路径为0时留空。</ns0:v>
      </ns0:c>
      <ns0:c r="F212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2" s="9" t="str">
        <ns0:v>contract-pair-v3</ns0:v>
      </ns0:c>
      <ns0:c r="I212" s="9" t="str">
        <ns0:v>B10</ns0:v>
      </ns0:c>
      <ns0:c r="J212" s="9" t="str">
        <ns0:v>B10::future::v1</ns0:v>
      </ns0:c>
    </ns0:row>
    <ns0:row r="213" ht="52.79999923706055" hidden="0" customHeight="1">
      <ns0:c r="A213" s="9" t="str">
        <ns0:v>同品种跨期</ns0:v>
      </ns0:c>
      <ns0:c r="B213" s="9" t="str">
        <ns0:v>合约对路径效率</ns0:v>
      </ns0:c>
      <ns0:c r="C213" s="9" t="str">
        <ns0:v>分红调整跨期基差（bp）</ns0:v>
      </ns0:c>
      <ns0:c r="D213" s="9" t="str">
        <ns0:v>A=近月，B=远月。X=10000 × [(F近+D近)−(F远+D远)] / S。</ns0:v>
      </ns0:c>
      <ns0:c r="E213" s="9" t="str">
        <ns0:v>−1到1；绝对值越大表示路径越单向，符号表示X变化方向；路径为0时留空。</ns0:v>
      </ns0:c>
      <ns0:c r="F213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3" s="9" t="str">
        <ns0:v>contract-pair-v3</ns0:v>
      </ns0:c>
      <ns0:c r="I213" s="9" t="str">
        <ns0:v>B10</ns0:v>
      </ns0:c>
      <ns0:c r="J213" s="9" t="str">
        <ns0:v>B10::basis::v1</ns0:v>
      </ns0:c>
    </ns0:row>
    <ns0:row r="214" ht="52.79999923706055" hidden="0" customHeight="1">
      <ns0:c r="A214" s="9" t="str">
        <ns0:v>同品种跨期</ns0:v>
      </ns0:c>
      <ns0:c r="B214" s="9" t="str">
        <ns0:v>合约对路径效率</ns0:v>
      </ns0:c>
      <ns0:c r="C214" s="9" t="str">
        <ns0:v>分红调整期限持有率（年化）</ns0:v>
      </ns0:c>
      <ns0:c r="D214" s="9" t="str">
        <ns0:v>A=近月，B=远月。X=100 × [(F远+D远)/(F近+D近)−1] × 365/(T远−T近)，两腿T≥5。</ns0:v>
      </ns0:c>
      <ns0:c r="E214" s="9" t="str">
        <ns0:v>−1到1；绝对值越大表示路径越单向，符号表示X变化方向；路径为0时留空。 输入X采用远/近，正值表示远月较贵；与近−远价差的方向不同。</ns0:v>
      </ns0:c>
      <ns0:c r="F214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4" s="9" t="str">
        <ns0:v>contract-pair-v3</ns0:v>
      </ns0:c>
      <ns0:c r="I214" s="9" t="str">
        <ns0:v>B10</ns0:v>
      </ns0:c>
      <ns0:c r="J214" s="9" t="str">
        <ns0:v>B10::annual::v1</ns0:v>
      </ns0:c>
    </ns0:row>
    <ns0:row r="215" ht="52.79999923706055" hidden="0" customHeight="1">
      <ns0:c r="A215" s="9" t="str">
        <ns0:v>同品种跨期</ns0:v>
      </ns0:c>
      <ns0:c r="B215" s="9" t="str">
        <ns0:v>合约对路径效率</ns0:v>
      </ns0:c>
      <ns0:c r="C215" s="9" t="str">
        <ns0:v>未调整跨期基差（bp）</ns0:v>
      </ns0:c>
      <ns0:c r="D215" s="9" t="str">
        <ns0:v>A=近月，B=远月。X=10000 × (F近−F远) / S。</ns0:v>
      </ns0:c>
      <ns0:c r="E215" s="9" t="str">
        <ns0:v>−1到1；绝对值越大表示路径越单向，符号表示X变化方向；路径为0时留空。</ns0:v>
      </ns0:c>
      <ns0:c r="F215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5" s="9" t="str">
        <ns0:v>contract-pair-v3</ns0:v>
      </ns0:c>
      <ns0:c r="I215" s="9" t="str">
        <ns0:v>B10</ns0:v>
      </ns0:c>
      <ns0:c r="J215" s="9" t="str">
        <ns0:v>B10::raw_basis::v1</ns0:v>
      </ns0:c>
    </ns0:row>
    <ns0:row r="216" ht="52.79999923706055" hidden="0" customHeight="1">
      <ns0:c r="A216" s="9" t="str">
        <ns0:v>同品种跨期</ns0:v>
      </ns0:c>
      <ns0:c r="B216" s="9" t="str">
        <ns0:v>合约对路径效率</ns0:v>
      </ns0:c>
      <ns0:c r="C216" s="9" t="str">
        <ns0:v>未调整跨期对数价比</ns0:v>
      </ns0:c>
      <ns0:c r="D216" s="9" t="str">
        <ns0:v>A=近月，B=远月。X=10000 × ln(F近/F远)。</ns0:v>
      </ns0:c>
      <ns0:c r="E216" s="9" t="str">
        <ns0:v>−1到1；绝对值越大表示路径越单向，符号表示X变化方向；路径为0时留空。</ns0:v>
      </ns0:c>
      <ns0:c r="F216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6" s="9" t="str">
        <ns0:v>contract-pair-v3</ns0:v>
      </ns0:c>
      <ns0:c r="I216" s="9" t="str">
        <ns0:v>B10</ns0:v>
      </ns0:c>
      <ns0:c r="J216" s="9" t="str">
        <ns0:v>B10::log_basis::v1</ns0:v>
      </ns0:c>
    </ns0:row>
    <ns0:row r="217" ht="52.79999923706055" hidden="0" customHeight="1">
      <ns0:c r="A217" s="9" t="str">
        <ns0:v>同品种跨期</ns0:v>
      </ns0:c>
      <ns0:c r="B217" s="9" t="str">
        <ns0:v>合约对路径效率</ns0:v>
      </ns0:c>
      <ns0:c r="C217" s="9" t="str">
        <ns0:v>未调整简单期限持有率</ns0:v>
      </ns0:c>
      <ns0:c r="D217" s="9" t="str">
        <ns0:v>A=近月，B=远月。X=100 × (F远/F近−1) × 365/(T远−T近)，两腿T≥5。</ns0:v>
      </ns0:c>
      <ns0:c r="E217" s="9" t="str">
        <ns0:v>−1到1；绝对值越大表示路径越单向，符号表示X变化方向；路径为0时留空。 输入X采用远/近，正值表示远月较贵；与近−远价差的方向不同。</ns0:v>
      </ns0:c>
      <ns0:c r="F217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7" s="9" t="str">
        <ns0:v>contract-pair-v3</ns0:v>
      </ns0:c>
      <ns0:c r="I217" s="9" t="str">
        <ns0:v>B10</ns0:v>
      </ns0:c>
      <ns0:c r="J217" s="9" t="str">
        <ns0:v>B10::raw_annual::v1</ns0:v>
      </ns0:c>
    </ns0:row>
    <ns0:row r="218" ht="52.79999923706055" hidden="0" customHeight="1">
      <ns0:c r="A218" s="9" t="str">
        <ns0:v>同品种跨期</ns0:v>
      </ns0:c>
      <ns0:c r="B218" s="9" t="str">
        <ns0:v>合约对路径效率</ns0:v>
      </ns0:c>
      <ns0:c r="C218" s="9" t="str">
        <ns0:v>未调整对数期限持有率</ns0:v>
      </ns0:c>
      <ns0:c r="D218" s="9" t="str">
        <ns0:v>A=近月，B=远月。X=100 × ln(F远/F近) × 365/(T远−T近)，两腿T≥5。</ns0:v>
      </ns0:c>
      <ns0:c r="E218" s="9" t="str">
        <ns0:v>−1到1；绝对值越大表示路径越单向，符号表示X变化方向；路径为0时留空。 输入X采用远/近，正值表示远月较贵；与近−远价差的方向不同。</ns0:v>
      </ns0:c>
      <ns0:c r="F218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21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8" s="9" t="str">
        <ns0:v>contract-pair-v3</ns0:v>
      </ns0:c>
      <ns0:c r="I218" s="9" t="str">
        <ns0:v>B10</ns0:v>
      </ns0:c>
      <ns0:c r="J218" s="9" t="str">
        <ns0:v>B10::log_annual::v1</ns0:v>
      </ns0:c>
    </ns0:row>
    <ns0:row r="219" ht="66" hidden="0" customHeight="1">
      <ns0:c r="A219" s="9" t="str">
        <ns0:v>同品种跨期</ns0:v>
      </ns0:c>
      <ns0:c r="B219" s="9" t="str">
        <ns0:v>合约对振幅压力</ns0:v>
      </ns0:c>
      <ns0:c r="C219" s="9" t="str">
        <ns0:v>跨期价差 close（近−远）</ns0:v>
      </ns0:c>
      <ns0:c r="D219" s="9" t="str">
        <ns0:v>A=近月，B=远月。X=F近−F远。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19" s="9" t="str">
        <ns0:v>倍；1为自身历史典型振幅，越大波动压力越高；不将两腿振幅比当合约对压力。</ns0:v>
      </ns0:c>
      <ns0:c r="F219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21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19" s="9" t="str">
        <ns0:v>contract-pair-v3</ns0:v>
      </ns0:c>
      <ns0:c r="I219" s="9" t="str">
        <ns0:v>B11</ns0:v>
      </ns0:c>
      <ns0:c r="J219" s="9" t="str">
        <ns0:v>B11::future::v1</ns0:v>
      </ns0:c>
    </ns0:row>
    <ns0:row r="220" ht="79.19999694824219" hidden="0" customHeight="1">
      <ns0:c r="A220" s="9" t="str">
        <ns0:v>同品种跨期</ns0:v>
      </ns0:c>
      <ns0:c r="B220" s="9" t="str">
        <ns0:v>合约对振幅压力</ns0:v>
      </ns0:c>
      <ns0:c r="C220" s="9" t="str">
        <ns0:v>分红调整跨期基差（bp）</ns0:v>
      </ns0:c>
      <ns0:c r="D220" s="9" t="str">
        <ns0:v>A=近月，B=远月。X=10000 × [(F近+D近)−(F远+D远)]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20" s="9" t="str">
        <ns0:v>倍；1为自身历史典型振幅，越大波动压力越高；不将两腿振幅比当合约对压力。</ns0:v>
      </ns0:c>
      <ns0:c r="F220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22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0" s="9" t="str">
        <ns0:v>contract-pair-v3</ns0:v>
      </ns0:c>
      <ns0:c r="I220" s="9" t="str">
        <ns0:v>B11</ns0:v>
      </ns0:c>
      <ns0:c r="J220" s="9" t="str">
        <ns0:v>B11::basis::v1</ns0:v>
      </ns0:c>
    </ns0:row>
    <ns0:row r="221" ht="79.19999694824219" hidden="0" customHeight="1">
      <ns0:c r="A221" s="9" t="str">
        <ns0:v>同品种跨期</ns0:v>
      </ns0:c>
      <ns0:c r="B221" s="9" t="str">
        <ns0:v>合约对振幅压力</ns0:v>
      </ns0:c>
      <ns0:c r="C221" s="9" t="str">
        <ns0:v>分红调整期限持有率（年化）</ns0:v>
      </ns0:c>
      <ns0:c r="D221" s="9" t="str">
        <ns0:v>A=近月，B=远月。X=100 × [(F远+D远)/(F近+D近)−1]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21" s="9" t="str">
        <ns0:v>倍；1为自身历史典型振幅，越大波动压力越高；不将两腿振幅比当合约对压力。 输入X采用远/近，正值表示远月较贵；与近−远价差的方向不同。</ns0:v>
      </ns0:c>
      <ns0:c r="F221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22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1" s="9" t="str">
        <ns0:v>contract-pair-v3</ns0:v>
      </ns0:c>
      <ns0:c r="I221" s="9" t="str">
        <ns0:v>B11</ns0:v>
      </ns0:c>
      <ns0:c r="J221" s="9" t="str">
        <ns0:v>B11::annual::v1</ns0:v>
      </ns0:c>
    </ns0:row>
    <ns0:row r="222" ht="66" hidden="0" customHeight="1">
      <ns0:c r="A222" s="9" t="str">
        <ns0:v>同品种跨期</ns0:v>
      </ns0:c>
      <ns0:c r="B222" s="9" t="str">
        <ns0:v>合约对振幅压力</ns0:v>
      </ns0:c>
      <ns0:c r="C222" s="9" t="str">
        <ns0:v>未调整跨期基差（bp）</ns0:v>
      </ns0:c>
      <ns0:c r="D222" s="9" t="str">
        <ns0:v>A=近月，B=远月。X=10000 × (F近−F远) / S。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22" s="9" t="str">
        <ns0:v>倍；1为自身历史典型振幅，越大波动压力越高；不将两腿振幅比当合约对压力。</ns0:v>
      </ns0:c>
      <ns0:c r="F222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22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2" s="9" t="str">
        <ns0:v>contract-pair-v3</ns0:v>
      </ns0:c>
      <ns0:c r="I222" s="9" t="str">
        <ns0:v>B11</ns0:v>
      </ns0:c>
      <ns0:c r="J222" s="9" t="str">
        <ns0:v>B11::raw_basis::v1</ns0:v>
      </ns0:c>
    </ns0:row>
    <ns0:row r="223" ht="66" hidden="0" customHeight="1">
      <ns0:c r="A223" s="9" t="str">
        <ns0:v>同品种跨期</ns0:v>
      </ns0:c>
      <ns0:c r="B223" s="9" t="str">
        <ns0:v>合约对振幅压力</ns0:v>
      </ns0:c>
      <ns0:c r="C223" s="9" t="str">
        <ns0:v>未调整跨期对数价比</ns0:v>
      </ns0:c>
      <ns0:c r="D223" s="9" t="str">
        <ns0:v>A=近月，B=远月。X=10000 × ln(F近/F远)。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23" s="9" t="str">
        <ns0:v>倍；1为自身历史典型振幅，越大波动压力越高；不将两腿振幅比当合约对压力。</ns0:v>
      </ns0:c>
      <ns0:c r="F223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22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3" s="9" t="str">
        <ns0:v>contract-pair-v3</ns0:v>
      </ns0:c>
      <ns0:c r="I223" s="9" t="str">
        <ns0:v>B11</ns0:v>
      </ns0:c>
      <ns0:c r="J223" s="9" t="str">
        <ns0:v>B11::log_basis::v1</ns0:v>
      </ns0:c>
    </ns0:row>
    <ns0:row r="224" ht="79.19999694824219" hidden="0" customHeight="1">
      <ns0:c r="A224" s="9" t="str">
        <ns0:v>同品种跨期</ns0:v>
      </ns0:c>
      <ns0:c r="B224" s="9" t="str">
        <ns0:v>合约对振幅压力</ns0:v>
      </ns0:c>
      <ns0:c r="C224" s="9" t="str">
        <ns0:v>未调整简单期限持有率</ns0:v>
      </ns0:c>
      <ns0:c r="D224" s="9" t="str">
        <ns0:v>A=近月，B=远月。X=100 × (F远/F近−1)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24" s="9" t="str">
        <ns0:v>倍；1为自身历史典型振幅，越大波动压力越高；不将两腿振幅比当合约对压力。 输入X采用远/近，正值表示远月较贵；与近−远价差的方向不同。</ns0:v>
      </ns0:c>
      <ns0:c r="F224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22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4" s="9" t="str">
        <ns0:v>contract-pair-v3</ns0:v>
      </ns0:c>
      <ns0:c r="I224" s="9" t="str">
        <ns0:v>B11</ns0:v>
      </ns0:c>
      <ns0:c r="J224" s="9" t="str">
        <ns0:v>B11::raw_annual::v1</ns0:v>
      </ns0:c>
    </ns0:row>
    <ns0:row r="225" ht="79.19999694824219" hidden="0" customHeight="1">
      <ns0:c r="A225" s="9" t="str">
        <ns0:v>同品种跨期</ns0:v>
      </ns0:c>
      <ns0:c r="B225" s="9" t="str">
        <ns0:v>合约对振幅压力</ns0:v>
      </ns0:c>
      <ns0:c r="C225" s="9" t="str">
        <ns0:v>未调整对数期限持有率</ns0:v>
      </ns0:c>
      <ns0:c r="D225" s="9" t="str">
        <ns0:v>A=近月，B=远月。X=100 × ln(F远/F近) × 365/(T远−T近)，两腿T≥5。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25" s="9" t="str">
        <ns0:v>倍；1为自身历史典型振幅，越大波动压力越高；不将两腿振幅比当合约对压力。 输入X采用远/近，正值表示远月较贵；与近−远价差的方向不同。</ns0:v>
      </ns0:c>
      <ns0:c r="F225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22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5" s="9" t="str">
        <ns0:v>contract-pair-v3</ns0:v>
      </ns0:c>
      <ns0:c r="I225" s="9" t="str">
        <ns0:v>B11</ns0:v>
      </ns0:c>
      <ns0:c r="J225" s="9" t="str">
        <ns0:v>B11::log_annual::v1</ns0:v>
      </ns0:c>
    </ns0:row>
    <ns0:row r="226" ht="92.4000015258789" hidden="0" customHeight="1">
      <ns0:c r="A226" s="9" t="str">
        <ns0:v>同品种跨期</ns0:v>
      </ns0:c>
      <ns0:c r="B226" s="9" t="str">
        <ns0:v>合约对匹配容量</ns0:v>
      </ns0:c>
      <ns0:c r="C226" s="9" t="str">
        <ns0:v>固定口径（不随 X 改变）</ns0:v>
      </ns0:c>
      <ns0:c r="D226" s="9" t="str">
        <ns0:v>A=近月，B=远月。按前一完整交易日h折算两腿真实成交，A容量=min(V_A,V_B/h)，B容量=h×A容量；可另输入参与比例p。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26" s="9" t="str">
        <ns0:v>手；只是已观察成交的容量上限代理，不是可保证成交量；未填p不默认比例。</ns0:v>
      </ns0:c>
      <ns0:c r="F226" s="9" t="str">
        <ns0:v>按前一完整交易日h折算两腿真实成交，A容量=min(V_A,V_B/h)，B容量=h×A容量；可另输入参与比例p。 F=真实期货价，S=对应现货指数，D=该合约剩余分红点数，T=剩余自然日，V=成交量，OI=持仓量；1bp=万分之一，年化1表示1个百分点。</ns0:v>
      </ns0:c>
      <ns0:c r="G22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6" s="9" t="str">
        <ns0:v>contract-pair-v3</ns0:v>
      </ns0:c>
      <ns0:c r="I226" s="9" t="str">
        <ns0:v>B12</ns0:v>
      </ns0:c>
      <ns0:c r="J226" s="9" t="str">
        <ns0:v>B12::fixed::v1</ns0:v>
      </ns0:c>
    </ns0:row>
    <ns0:row r="227" ht="79.19999694824219" hidden="0" customHeight="1">
      <ns0:c r="A227" s="9" t="str">
        <ns0:v>跨品种</ns0:v>
      </ns0:c>
      <ns0:c r="B227" s="9" t="str">
        <ns0:v>合约对历史均值</ns0:v>
      </ns0:c>
      <ns0:c r="C227" s="9" t="str">
        <ns0:v>跨品种对数价比 close</ns0:v>
      </ns0:c>
      <ns0:c r="D227" s="9" t="str">
        <ns0:v>A=界面左腿，B=右腿，方向固定。X=10000 × ln(F_A/F_B)。</ns0:v>
      </ns0:c>
      <ns0:c r="E227" s="9" t="str">
        <ns0:v>与X同单位；表示这对合约自身的近期中心。</ns0:v>
      </ns0:c>
      <ns0:c r="F227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2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27" s="9" t="str">
        <ns0:v>contract-pair-v3</ns0:v>
      </ns0:c>
      <ns0:c r="I227" s="9" t="str">
        <ns0:v>A03.mean</ns0:v>
      </ns0:c>
      <ns0:c r="J227" s="9" t="str">
        <ns0:v>A03.mean::future::v1</ns0:v>
      </ns0:c>
    </ns0:row>
    <ns0:row r="228" ht="52.79999923706055" hidden="0" customHeight="1">
      <ns0:c r="A228" s="9" t="str">
        <ns0:v>跨品种</ns0:v>
      </ns0:c>
      <ns0:c r="B228" s="9" t="str">
        <ns0:v>合约对历史均值</ns0:v>
      </ns0:c>
      <ns0:c r="C228" s="9" t="str">
        <ns0:v>分红调整相对基差（bp）</ns0:v>
      </ns0:c>
      <ns0:c r="D228" s="9" t="str">
        <ns0:v>A=界面左腿，B=右腿，方向固定。X=10000 × [(F_A−S_A+D_A)/S_A−(F_B−S_B+D_B)/S_B]。</ns0:v>
      </ns0:c>
      <ns0:c r="E228" s="9" t="str">
        <ns0:v>与X同单位；表示这对合约自身的近期中心。</ns0:v>
      </ns0:c>
      <ns0:c r="F228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2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28" s="9" t="str">
        <ns0:v>contract-pair-v3</ns0:v>
      </ns0:c>
      <ns0:c r="I228" s="9" t="str">
        <ns0:v>A03.mean</ns0:v>
      </ns0:c>
      <ns0:c r="J228" s="9" t="str">
        <ns0:v>A03.mean::basis::v1</ns0:v>
      </ns0:c>
    </ns0:row>
    <ns0:row r="229" ht="79.19999694824219" hidden="0" customHeight="1">
      <ns0:c r="A229" s="9" t="str">
        <ns0:v>跨品种</ns0:v>
      </ns0:c>
      <ns0:c r="B229" s="9" t="str">
        <ns0:v>合约对历史均值</ns0:v>
      </ns0:c>
      <ns0:c r="C229" s="9" t="str">
        <ns0:v>分红调整相对基差年化</ns0:v>
      </ns0:c>
      <ns0:c r="D229" s="9" t="str">
        <ns0:v>A=界面左腿，B=右腿，方向固定。X=36500 × [(F_A−S_A+D_A)/(S_A T_A)−(F_B−S_B+D_B)/(S_B T_B)]，两腿T≥5。</ns0:v>
      </ns0:c>
      <ns0:c r="E229" s="9" t="str">
        <ns0:v>与X同单位；表示这对合约自身的近期中心。</ns0:v>
      </ns0:c>
      <ns0:c r="F229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2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29" s="9" t="str">
        <ns0:v>contract-pair-v3</ns0:v>
      </ns0:c>
      <ns0:c r="I229" s="9" t="str">
        <ns0:v>A03.mean</ns0:v>
      </ns0:c>
      <ns0:c r="J229" s="9" t="str">
        <ns0:v>A03.mean::annual::v1</ns0:v>
      </ns0:c>
    </ns0:row>
    <ns0:row r="230" ht="52.79999923706055" hidden="0" customHeight="1">
      <ns0:c r="A230" s="9" t="str">
        <ns0:v>跨品种</ns0:v>
      </ns0:c>
      <ns0:c r="B230" s="9" t="str">
        <ns0:v>合约对历史均值</ns0:v>
      </ns0:c>
      <ns0:c r="C230" s="9" t="str">
        <ns0:v>未调整相对基差（bp）</ns0:v>
      </ns0:c>
      <ns0:c r="D230" s="9" t="str">
        <ns0:v>A=界面左腿，B=右腿，方向固定。X=10000 × [(F_A−S_A)/S_A−(F_B−S_B)/S_B]。</ns0:v>
      </ns0:c>
      <ns0:c r="E230" s="9" t="str">
        <ns0:v>与X同单位；表示这对合约自身的近期中心。</ns0:v>
      </ns0:c>
      <ns0:c r="F230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3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0" s="9" t="str">
        <ns0:v>contract-pair-v3</ns0:v>
      </ns0:c>
      <ns0:c r="I230" s="9" t="str">
        <ns0:v>A03.mean</ns0:v>
      </ns0:c>
      <ns0:c r="J230" s="9" t="str">
        <ns0:v>A03.mean::raw_basis::v1</ns0:v>
      </ns0:c>
    </ns0:row>
    <ns0:row r="231" ht="52.79999923706055" hidden="0" customHeight="1">
      <ns0:c r="A231" s="9" t="str">
        <ns0:v>跨品种</ns0:v>
      </ns0:c>
      <ns0:c r="B231" s="9" t="str">
        <ns0:v>合约对历史均值</ns0:v>
      </ns0:c>
      <ns0:c r="C231" s="9" t="str">
        <ns0:v>未调整相对对数基差</ns0:v>
      </ns0:c>
      <ns0:c r="D231" s="9" t="str">
        <ns0:v>A=界面左腿，B=右腿，方向固定。X=10000 × ln[(F_A/S_A)/(F_B/S_B)]。</ns0:v>
      </ns0:c>
      <ns0:c r="E231" s="9" t="str">
        <ns0:v>与X同单位；表示这对合约自身的近期中心。</ns0:v>
      </ns0:c>
      <ns0:c r="F231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3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1" s="9" t="str">
        <ns0:v>contract-pair-v3</ns0:v>
      </ns0:c>
      <ns0:c r="I231" s="9" t="str">
        <ns0:v>A03.mean</ns0:v>
      </ns0:c>
      <ns0:c r="J231" s="9" t="str">
        <ns0:v>A03.mean::log_basis::v1</ns0:v>
      </ns0:c>
    </ns0:row>
    <ns0:row r="232" ht="79.19999694824219" hidden="0" customHeight="1">
      <ns0:c r="A232" s="9" t="str">
        <ns0:v>跨品种</ns0:v>
      </ns0:c>
      <ns0:c r="B232" s="9" t="str">
        <ns0:v>合约对历史均值</ns0:v>
      </ns0:c>
      <ns0:c r="C232" s="9" t="str">
        <ns0:v>未调整相对简单年化</ns0:v>
      </ns0:c>
      <ns0:c r="D232" s="9" t="str">
        <ns0:v>A=界面左腿，B=右腿，方向固定。X=36500 × [(F_A−S_A)/(S_A T_A)−(F_B−S_B)/(S_B T_B)]，两腿T≥5。</ns0:v>
      </ns0:c>
      <ns0:c r="E232" s="9" t="str">
        <ns0:v>与X同单位；表示这对合约自身的近期中心。</ns0:v>
      </ns0:c>
      <ns0:c r="F232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3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32" s="9" t="str">
        <ns0:v>contract-pair-v3</ns0:v>
      </ns0:c>
      <ns0:c r="I232" s="9" t="str">
        <ns0:v>A03.mean</ns0:v>
      </ns0:c>
      <ns0:c r="J232" s="9" t="str">
        <ns0:v>A03.mean::raw_annual::v1</ns0:v>
      </ns0:c>
    </ns0:row>
    <ns0:row r="233" ht="79.19999694824219" hidden="0" customHeight="1">
      <ns0:c r="A233" s="9" t="str">
        <ns0:v>跨品种</ns0:v>
      </ns0:c>
      <ns0:c r="B233" s="9" t="str">
        <ns0:v>合约对历史均值</ns0:v>
      </ns0:c>
      <ns0:c r="C233" s="9" t="str">
        <ns0:v>未调整相对对数年化</ns0:v>
      </ns0:c>
      <ns0:c r="D233" s="9" t="str">
        <ns0:v>A=界面左腿，B=右腿，方向固定。X=36500 × [ln(F_A/S_A)/T_A−ln(F_B/S_B)/T_B]，两腿T≥5。</ns0:v>
      </ns0:c>
      <ns0:c r="E233" s="9" t="str">
        <ns0:v>与X同单位；表示这对合约自身的近期中心。</ns0:v>
      </ns0:c>
      <ns0:c r="F233" s="9" t="str">
        <ns0:v>对合约对序列X取此前20个完整观察的均值，当前值不进入参考窗口。 F=真实期货价，S=对应现货指数，D=该合约剩余分红点数，T=剩余自然日，V=成交量，OI=持仓量；1bp=万分之一，年化1表示1个百分点。</ns0:v>
      </ns0:c>
      <ns0:c r="G23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33" s="9" t="str">
        <ns0:v>contract-pair-v3</ns0:v>
      </ns0:c>
      <ns0:c r="I233" s="9" t="str">
        <ns0:v>A03.mean</ns0:v>
      </ns0:c>
      <ns0:c r="J233" s="9" t="str">
        <ns0:v>A03.mean::log_annual::v1</ns0:v>
      </ns0:c>
    </ns0:row>
    <ns0:row r="234" ht="79.19999694824219" hidden="0" customHeight="1">
      <ns0:c r="A234" s="9" t="str">
        <ns0:v>跨品种</ns0:v>
      </ns0:c>
      <ns0:c r="B234" s="9" t="str">
        <ns0:v>合约对历史标准差</ns0:v>
      </ns0:c>
      <ns0:c r="C234" s="9" t="str">
        <ns0:v>跨品种对数价比 close</ns0:v>
      </ns0:c>
      <ns0:c r="D234" s="9" t="str">
        <ns0:v>A=界面左腿，B=右腿，方向固定。X=10000 × ln(F_A/F_B)。</ns0:v>
      </ns0:c>
      <ns0:c r="E234" s="9" t="str">
        <ns0:v>与X同单位；越大表示这对合约近期波动越大。</ns0:v>
      </ns0:c>
      <ns0:c r="F234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34" s="9" t="str">
        <ns0:v>contract-pair-v3</ns0:v>
      </ns0:c>
      <ns0:c r="I234" s="9" t="str">
        <ns0:v>A03.std</ns0:v>
      </ns0:c>
      <ns0:c r="J234" s="9" t="str">
        <ns0:v>A03.std::future::v1</ns0:v>
      </ns0:c>
    </ns0:row>
    <ns0:row r="235" ht="52.79999923706055" hidden="0" customHeight="1">
      <ns0:c r="A235" s="9" t="str">
        <ns0:v>跨品种</ns0:v>
      </ns0:c>
      <ns0:c r="B235" s="9" t="str">
        <ns0:v>合约对历史标准差</ns0:v>
      </ns0:c>
      <ns0:c r="C235" s="9" t="str">
        <ns0:v>分红调整相对基差（bp）</ns0:v>
      </ns0:c>
      <ns0:c r="D235" s="9" t="str">
        <ns0:v>A=界面左腿，B=右腿，方向固定。X=10000 × [(F_A−S_A+D_A)/S_A−(F_B−S_B+D_B)/S_B]。</ns0:v>
      </ns0:c>
      <ns0:c r="E235" s="9" t="str">
        <ns0:v>与X同单位；越大表示这对合约近期波动越大。</ns0:v>
      </ns0:c>
      <ns0:c r="F235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5" s="9" t="str">
        <ns0:v>contract-pair-v3</ns0:v>
      </ns0:c>
      <ns0:c r="I235" s="9" t="str">
        <ns0:v>A03.std</ns0:v>
      </ns0:c>
      <ns0:c r="J235" s="9" t="str">
        <ns0:v>A03.std::basis::v1</ns0:v>
      </ns0:c>
    </ns0:row>
    <ns0:row r="236" ht="79.19999694824219" hidden="0" customHeight="1">
      <ns0:c r="A236" s="9" t="str">
        <ns0:v>跨品种</ns0:v>
      </ns0:c>
      <ns0:c r="B236" s="9" t="str">
        <ns0:v>合约对历史标准差</ns0:v>
      </ns0:c>
      <ns0:c r="C236" s="9" t="str">
        <ns0:v>分红调整相对基差年化</ns0:v>
      </ns0:c>
      <ns0:c r="D236" s="9" t="str">
        <ns0:v>A=界面左腿，B=右腿，方向固定。X=36500 × [(F_A−S_A+D_A)/(S_A T_A)−(F_B−S_B+D_B)/(S_B T_B)]，两腿T≥5。</ns0:v>
      </ns0:c>
      <ns0:c r="E236" s="9" t="str">
        <ns0:v>与X同单位；越大表示这对合约近期波动越大。</ns0:v>
      </ns0:c>
      <ns0:c r="F236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36" s="9" t="str">
        <ns0:v>contract-pair-v3</ns0:v>
      </ns0:c>
      <ns0:c r="I236" s="9" t="str">
        <ns0:v>A03.std</ns0:v>
      </ns0:c>
      <ns0:c r="J236" s="9" t="str">
        <ns0:v>A03.std::annual::v1</ns0:v>
      </ns0:c>
    </ns0:row>
    <ns0:row r="237" ht="52.79999923706055" hidden="0" customHeight="1">
      <ns0:c r="A237" s="9" t="str">
        <ns0:v>跨品种</ns0:v>
      </ns0:c>
      <ns0:c r="B237" s="9" t="str">
        <ns0:v>合约对历史标准差</ns0:v>
      </ns0:c>
      <ns0:c r="C237" s="9" t="str">
        <ns0:v>未调整相对基差（bp）</ns0:v>
      </ns0:c>
      <ns0:c r="D237" s="9" t="str">
        <ns0:v>A=界面左腿，B=右腿，方向固定。X=10000 × [(F_A−S_A)/S_A−(F_B−S_B)/S_B]。</ns0:v>
      </ns0:c>
      <ns0:c r="E237" s="9" t="str">
        <ns0:v>与X同单位；越大表示这对合约近期波动越大。</ns0:v>
      </ns0:c>
      <ns0:c r="F237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7" s="9" t="str">
        <ns0:v>contract-pair-v3</ns0:v>
      </ns0:c>
      <ns0:c r="I237" s="9" t="str">
        <ns0:v>A03.std</ns0:v>
      </ns0:c>
      <ns0:c r="J237" s="9" t="str">
        <ns0:v>A03.std::raw_basis::v1</ns0:v>
      </ns0:c>
    </ns0:row>
    <ns0:row r="238" ht="52.79999923706055" hidden="0" customHeight="1">
      <ns0:c r="A238" s="9" t="str">
        <ns0:v>跨品种</ns0:v>
      </ns0:c>
      <ns0:c r="B238" s="9" t="str">
        <ns0:v>合约对历史标准差</ns0:v>
      </ns0:c>
      <ns0:c r="C238" s="9" t="str">
        <ns0:v>未调整相对对数基差</ns0:v>
      </ns0:c>
      <ns0:c r="D238" s="9" t="str">
        <ns0:v>A=界面左腿，B=右腿，方向固定。X=10000 × ln[(F_A/S_A)/(F_B/S_B)]。</ns0:v>
      </ns0:c>
      <ns0:c r="E238" s="9" t="str">
        <ns0:v>与X同单位；越大表示这对合约近期波动越大。</ns0:v>
      </ns0:c>
      <ns0:c r="F238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38" s="9" t="str">
        <ns0:v>contract-pair-v3</ns0:v>
      </ns0:c>
      <ns0:c r="I238" s="9" t="str">
        <ns0:v>A03.std</ns0:v>
      </ns0:c>
      <ns0:c r="J238" s="9" t="str">
        <ns0:v>A03.std::log_basis::v1</ns0:v>
      </ns0:c>
    </ns0:row>
    <ns0:row r="239" ht="79.19999694824219" hidden="0" customHeight="1">
      <ns0:c r="A239" s="9" t="str">
        <ns0:v>跨品种</ns0:v>
      </ns0:c>
      <ns0:c r="B239" s="9" t="str">
        <ns0:v>合约对历史标准差</ns0:v>
      </ns0:c>
      <ns0:c r="C239" s="9" t="str">
        <ns0:v>未调整相对简单年化</ns0:v>
      </ns0:c>
      <ns0:c r="D239" s="9" t="str">
        <ns0:v>A=界面左腿，B=右腿，方向固定。X=36500 × [(F_A−S_A)/(S_A T_A)−(F_B−S_B)/(S_B T_B)]，两腿T≥5。</ns0:v>
      </ns0:c>
      <ns0:c r="E239" s="9" t="str">
        <ns0:v>与X同单位；越大表示这对合约近期波动越大。</ns0:v>
      </ns0:c>
      <ns0:c r="F239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3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39" s="9" t="str">
        <ns0:v>contract-pair-v3</ns0:v>
      </ns0:c>
      <ns0:c r="I239" s="9" t="str">
        <ns0:v>A03.std</ns0:v>
      </ns0:c>
      <ns0:c r="J239" s="9" t="str">
        <ns0:v>A03.std::raw_annual::v1</ns0:v>
      </ns0:c>
    </ns0:row>
    <ns0:row r="240" ht="79.19999694824219" hidden="0" customHeight="1">
      <ns0:c r="A240" s="9" t="str">
        <ns0:v>跨品种</ns0:v>
      </ns0:c>
      <ns0:c r="B240" s="9" t="str">
        <ns0:v>合约对历史标准差</ns0:v>
      </ns0:c>
      <ns0:c r="C240" s="9" t="str">
        <ns0:v>未调整相对对数年化</ns0:v>
      </ns0:c>
      <ns0:c r="D240" s="9" t="str">
        <ns0:v>A=界面左腿，B=右腿，方向固定。X=36500 × [ln(F_A/S_A)/T_A−ln(F_B/S_B)/T_B]，两腿T≥5。</ns0:v>
      </ns0:c>
      <ns0:c r="E240" s="9" t="str">
        <ns0:v>与X同单位；越大表示这对合约近期波动越大。</ns0:v>
      </ns0:c>
      <ns0:c r="F240" s="9" t="str">
        <ns0:v>对X的此前20个完整观察计算样本标准差（ddof=1）。 F=真实期货价，S=对应现货指数，D=该合约剩余分红点数，T=剩余自然日，V=成交量，OI=持仓量；1bp=万分之一，年化1表示1个百分点。</ns0:v>
      </ns0:c>
      <ns0:c r="G24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40" s="9" t="str">
        <ns0:v>contract-pair-v3</ns0:v>
      </ns0:c>
      <ns0:c r="I240" s="9" t="str">
        <ns0:v>A03.std</ns0:v>
      </ns0:c>
      <ns0:c r="J240" s="9" t="str">
        <ns0:v>A03.std::log_annual::v1</ns0:v>
      </ns0:c>
    </ns0:row>
    <ns0:row r="241" ht="79.19999694824219" hidden="0" customHeight="1">
      <ns0:c r="A241" s="9" t="str">
        <ns0:v>跨品种</ns0:v>
      </ns0:c>
      <ns0:c r="B241" s="9" t="str">
        <ns0:v>合约对历史Z</ns0:v>
      </ns0:c>
      <ns0:c r="C241" s="9" t="str">
        <ns0:v>跨品种对数价比 close</ns0:v>
      </ns0:c>
      <ns0:c r="D241" s="9" t="str">
        <ns0:v>A=界面左腿，B=右腿，方向固定。X=10000 × ln(F_A/F_B)。</ns0:v>
      </ns0:c>
      <ns0:c r="E241" s="9" t="str">
        <ns0:v>倍；正值在自身中心之上，负值在中心之下；并非两腿Z相减。</ns0:v>
      </ns0:c>
      <ns0:c r="F241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41" s="9" t="str">
        <ns0:v>contract-pair-v3</ns0:v>
      </ns0:c>
      <ns0:c r="I241" s="9" t="str">
        <ns0:v>A03.z</ns0:v>
      </ns0:c>
      <ns0:c r="J241" s="9" t="str">
        <ns0:v>A03.z::future::v1</ns0:v>
      </ns0:c>
    </ns0:row>
    <ns0:row r="242" ht="52.79999923706055" hidden="0" customHeight="1">
      <ns0:c r="A242" s="9" t="str">
        <ns0:v>跨品种</ns0:v>
      </ns0:c>
      <ns0:c r="B242" s="9" t="str">
        <ns0:v>合约对历史Z</ns0:v>
      </ns0:c>
      <ns0:c r="C242" s="9" t="str">
        <ns0:v>分红调整相对基差（bp）</ns0:v>
      </ns0:c>
      <ns0:c r="D242" s="9" t="str">
        <ns0:v>A=界面左腿，B=右腿，方向固定。X=10000 × [(F_A−S_A+D_A)/S_A−(F_B−S_B+D_B)/S_B]。</ns0:v>
      </ns0:c>
      <ns0:c r="E242" s="9" t="str">
        <ns0:v>倍；正值在自身中心之上，负值在中心之下；并非两腿Z相减。</ns0:v>
      </ns0:c>
      <ns0:c r="F242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42" s="9" t="str">
        <ns0:v>contract-pair-v3</ns0:v>
      </ns0:c>
      <ns0:c r="I242" s="9" t="str">
        <ns0:v>A03.z</ns0:v>
      </ns0:c>
      <ns0:c r="J242" s="9" t="str">
        <ns0:v>A03.z::basis::v1</ns0:v>
      </ns0:c>
    </ns0:row>
    <ns0:row r="243" ht="79.19999694824219" hidden="0" customHeight="1">
      <ns0:c r="A243" s="9" t="str">
        <ns0:v>跨品种</ns0:v>
      </ns0:c>
      <ns0:c r="B243" s="9" t="str">
        <ns0:v>合约对历史Z</ns0:v>
      </ns0:c>
      <ns0:c r="C243" s="9" t="str">
        <ns0:v>分红调整相对基差年化</ns0:v>
      </ns0:c>
      <ns0:c r="D243" s="9" t="str">
        <ns0:v>A=界面左腿，B=右腿，方向固定。X=36500 × [(F_A−S_A+D_A)/(S_A T_A)−(F_B−S_B+D_B)/(S_B T_B)]，两腿T≥5。</ns0:v>
      </ns0:c>
      <ns0:c r="E243" s="9" t="str">
        <ns0:v>倍；正值在自身中心之上，负值在中心之下；并非两腿Z相减。</ns0:v>
      </ns0:c>
      <ns0:c r="F243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43" s="9" t="str">
        <ns0:v>contract-pair-v3</ns0:v>
      </ns0:c>
      <ns0:c r="I243" s="9" t="str">
        <ns0:v>A03.z</ns0:v>
      </ns0:c>
      <ns0:c r="J243" s="9" t="str">
        <ns0:v>A03.z::annual::v1</ns0:v>
      </ns0:c>
    </ns0:row>
    <ns0:row r="244" ht="52.79999923706055" hidden="0" customHeight="1">
      <ns0:c r="A244" s="9" t="str">
        <ns0:v>跨品种</ns0:v>
      </ns0:c>
      <ns0:c r="B244" s="9" t="str">
        <ns0:v>合约对历史Z</ns0:v>
      </ns0:c>
      <ns0:c r="C244" s="9" t="str">
        <ns0:v>未调整相对基差（bp）</ns0:v>
      </ns0:c>
      <ns0:c r="D244" s="9" t="str">
        <ns0:v>A=界面左腿，B=右腿，方向固定。X=10000 × [(F_A−S_A)/S_A−(F_B−S_B)/S_B]。</ns0:v>
      </ns0:c>
      <ns0:c r="E244" s="9" t="str">
        <ns0:v>倍；正值在自身中心之上，负值在中心之下；并非两腿Z相减。</ns0:v>
      </ns0:c>
      <ns0:c r="F244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44" s="9" t="str">
        <ns0:v>contract-pair-v3</ns0:v>
      </ns0:c>
      <ns0:c r="I244" s="9" t="str">
        <ns0:v>A03.z</ns0:v>
      </ns0:c>
      <ns0:c r="J244" s="9" t="str">
        <ns0:v>A03.z::raw_basis::v1</ns0:v>
      </ns0:c>
    </ns0:row>
    <ns0:row r="245" ht="52.79999923706055" hidden="0" customHeight="1">
      <ns0:c r="A245" s="9" t="str">
        <ns0:v>跨品种</ns0:v>
      </ns0:c>
      <ns0:c r="B245" s="9" t="str">
        <ns0:v>合约对历史Z</ns0:v>
      </ns0:c>
      <ns0:c r="C245" s="9" t="str">
        <ns0:v>未调整相对对数基差</ns0:v>
      </ns0:c>
      <ns0:c r="D245" s="9" t="str">
        <ns0:v>A=界面左腿，B=右腿，方向固定。X=10000 × ln[(F_A/S_A)/(F_B/S_B)]。</ns0:v>
      </ns0:c>
      <ns0:c r="E245" s="9" t="str">
        <ns0:v>倍；正值在自身中心之上，负值在中心之下；并非两腿Z相减。</ns0:v>
      </ns0:c>
      <ns0:c r="F245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45" s="9" t="str">
        <ns0:v>contract-pair-v3</ns0:v>
      </ns0:c>
      <ns0:c r="I245" s="9" t="str">
        <ns0:v>A03.z</ns0:v>
      </ns0:c>
      <ns0:c r="J245" s="9" t="str">
        <ns0:v>A03.z::log_basis::v1</ns0:v>
      </ns0:c>
    </ns0:row>
    <ns0:row r="246" ht="79.19999694824219" hidden="0" customHeight="1">
      <ns0:c r="A246" s="9" t="str">
        <ns0:v>跨品种</ns0:v>
      </ns0:c>
      <ns0:c r="B246" s="9" t="str">
        <ns0:v>合约对历史Z</ns0:v>
      </ns0:c>
      <ns0:c r="C246" s="9" t="str">
        <ns0:v>未调整相对简单年化</ns0:v>
      </ns0:c>
      <ns0:c r="D246" s="9" t="str">
        <ns0:v>A=界面左腿，B=右腿，方向固定。X=36500 × [(F_A−S_A)/(S_A T_A)−(F_B−S_B)/(S_B T_B)]，两腿T≥5。</ns0:v>
      </ns0:c>
      <ns0:c r="E246" s="9" t="str">
        <ns0:v>倍；正值在自身中心之上，负值在中心之下；并非两腿Z相减。</ns0:v>
      </ns0:c>
      <ns0:c r="F246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46" s="9" t="str">
        <ns0:v>contract-pair-v3</ns0:v>
      </ns0:c>
      <ns0:c r="I246" s="9" t="str">
        <ns0:v>A03.z</ns0:v>
      </ns0:c>
      <ns0:c r="J246" s="9" t="str">
        <ns0:v>A03.z::raw_annual::v1</ns0:v>
      </ns0:c>
    </ns0:row>
    <ns0:row r="247" ht="79.19999694824219" hidden="0" customHeight="1">
      <ns0:c r="A247" s="9" t="str">
        <ns0:v>跨品种</ns0:v>
      </ns0:c>
      <ns0:c r="B247" s="9" t="str">
        <ns0:v>合约对历史Z</ns0:v>
      </ns0:c>
      <ns0:c r="C247" s="9" t="str">
        <ns0:v>未调整相对对数年化</ns0:v>
      </ns0:c>
      <ns0:c r="D247" s="9" t="str">
        <ns0:v>A=界面左腿，B=右腿，方向固定。X=36500 × [ln(F_A/S_A)/T_A−ln(F_B/S_B)/T_B]，两腿T≥5。</ns0:v>
      </ns0:c>
      <ns0:c r="E247" s="9" t="str">
        <ns0:v>倍；正值在自身中心之上，负值在中心之下；并非两腿Z相减。</ns0:v>
      </ns0:c>
      <ns0:c r="F247" s="9" t="str">
        <ns0:v>当前X减此前20期X均值，再除以该窗口样本标准差。 F=真实期货价，S=对应现货指数，D=该合约剩余分红点数，T=剩余自然日，V=成交量，OI=持仓量；1bp=万分之一，年化1表示1个百分点。</ns0:v>
      </ns0:c>
      <ns0:c r="G24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47" s="9" t="str">
        <ns0:v>contract-pair-v3</ns0:v>
      </ns0:c>
      <ns0:c r="I247" s="9" t="str">
        <ns0:v>A03.z</ns0:v>
      </ns0:c>
      <ns0:c r="J247" s="9" t="str">
        <ns0:v>A03.z::log_annual::v1</ns0:v>
      </ns0:c>
    </ns0:row>
    <ns0:row r="248" ht="79.19999694824219" hidden="0" customHeight="1">
      <ns0:c r="A248" s="9" t="str">
        <ns0:v>跨品种</ns0:v>
      </ns0:c>
      <ns0:c r="B248" s="9" t="str">
        <ns0:v>合约对历史分位</ns0:v>
      </ns0:c>
      <ns0:c r="C248" s="9" t="str">
        <ns0:v>跨品种对数价比 close</ns0:v>
      </ns0:c>
      <ns0:c r="D248" s="9" t="str">
        <ns0:v>A=界面左腿，B=右腿，方向固定。X=10000 × ln(F_A/F_B)。</ns0:v>
      </ns0:c>
      <ns0:c r="E248" s="9" t="str">
        <ns0:v>0—100%；高分位表示当前X处于自身近期较高位置，不直接代表收益方向。</ns0:v>
      </ns0:c>
      <ns0:c r="F248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4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48" s="9" t="str">
        <ns0:v>contract-pair-v3</ns0:v>
      </ns0:c>
      <ns0:c r="I248" s="9" t="str">
        <ns0:v>A03.percentile</ns0:v>
      </ns0:c>
      <ns0:c r="J248" s="9" t="str">
        <ns0:v>A03.percentile::future::v1</ns0:v>
      </ns0:c>
    </ns0:row>
    <ns0:row r="249" ht="52.79999923706055" hidden="0" customHeight="1">
      <ns0:c r="A249" s="9" t="str">
        <ns0:v>跨品种</ns0:v>
      </ns0:c>
      <ns0:c r="B249" s="9" t="str">
        <ns0:v>合约对历史分位</ns0:v>
      </ns0:c>
      <ns0:c r="C249" s="9" t="str">
        <ns0:v>分红调整相对基差（bp）</ns0:v>
      </ns0:c>
      <ns0:c r="D249" s="9" t="str">
        <ns0:v>A=界面左腿，B=右腿，方向固定。X=10000 × [(F_A−S_A+D_A)/S_A−(F_B−S_B+D_B)/S_B]。</ns0:v>
      </ns0:c>
      <ns0:c r="E249" s="9" t="str">
        <ns0:v>0—100%；高分位表示当前X处于自身近期较高位置，不直接代表收益方向。</ns0:v>
      </ns0:c>
      <ns0:c r="F249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4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49" s="9" t="str">
        <ns0:v>contract-pair-v3</ns0:v>
      </ns0:c>
      <ns0:c r="I249" s="9" t="str">
        <ns0:v>A03.percentile</ns0:v>
      </ns0:c>
      <ns0:c r="J249" s="9" t="str">
        <ns0:v>A03.percentile::basis::v1</ns0:v>
      </ns0:c>
    </ns0:row>
    <ns0:row r="250" ht="79.19999694824219" hidden="0" customHeight="1">
      <ns0:c r="A250" s="9" t="str">
        <ns0:v>跨品种</ns0:v>
      </ns0:c>
      <ns0:c r="B250" s="9" t="str">
        <ns0:v>合约对历史分位</ns0:v>
      </ns0:c>
      <ns0:c r="C250" s="9" t="str">
        <ns0:v>分红调整相对基差年化</ns0:v>
      </ns0:c>
      <ns0:c r="D250" s="9" t="str">
        <ns0:v>A=界面左腿，B=右腿，方向固定。X=36500 × [(F_A−S_A+D_A)/(S_A T_A)−(F_B−S_B+D_B)/(S_B T_B)]，两腿T≥5。</ns0:v>
      </ns0:c>
      <ns0:c r="E250" s="9" t="str">
        <ns0:v>0—100%；高分位表示当前X处于自身近期较高位置，不直接代表收益方向。</ns0:v>
      </ns0:c>
      <ns0:c r="F250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50" s="9" t="str">
        <ns0:v>contract-pair-v3</ns0:v>
      </ns0:c>
      <ns0:c r="I250" s="9" t="str">
        <ns0:v>A03.percentile</ns0:v>
      </ns0:c>
      <ns0:c r="J250" s="9" t="str">
        <ns0:v>A03.percentile::annual::v1</ns0:v>
      </ns0:c>
    </ns0:row>
    <ns0:row r="251" ht="52.79999923706055" hidden="0" customHeight="1">
      <ns0:c r="A251" s="9" t="str">
        <ns0:v>跨品种</ns0:v>
      </ns0:c>
      <ns0:c r="B251" s="9" t="str">
        <ns0:v>合约对历史分位</ns0:v>
      </ns0:c>
      <ns0:c r="C251" s="9" t="str">
        <ns0:v>未调整相对基差（bp）</ns0:v>
      </ns0:c>
      <ns0:c r="D251" s="9" t="str">
        <ns0:v>A=界面左腿，B=右腿，方向固定。X=10000 × [(F_A−S_A)/S_A−(F_B−S_B)/S_B]。</ns0:v>
      </ns0:c>
      <ns0:c r="E251" s="9" t="str">
        <ns0:v>0—100%；高分位表示当前X处于自身近期较高位置，不直接代表收益方向。</ns0:v>
      </ns0:c>
      <ns0:c r="F251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1" s="9" t="str">
        <ns0:v>contract-pair-v3</ns0:v>
      </ns0:c>
      <ns0:c r="I251" s="9" t="str">
        <ns0:v>A03.percentile</ns0:v>
      </ns0:c>
      <ns0:c r="J251" s="9" t="str">
        <ns0:v>A03.percentile::raw_basis::v1</ns0:v>
      </ns0:c>
    </ns0:row>
    <ns0:row r="252" ht="52.79999923706055" hidden="0" customHeight="1">
      <ns0:c r="A252" s="9" t="str">
        <ns0:v>跨品种</ns0:v>
      </ns0:c>
      <ns0:c r="B252" s="9" t="str">
        <ns0:v>合约对历史分位</ns0:v>
      </ns0:c>
      <ns0:c r="C252" s="9" t="str">
        <ns0:v>未调整相对对数基差</ns0:v>
      </ns0:c>
      <ns0:c r="D252" s="9" t="str">
        <ns0:v>A=界面左腿，B=右腿，方向固定。X=10000 × ln[(F_A/S_A)/(F_B/S_B)]。</ns0:v>
      </ns0:c>
      <ns0:c r="E252" s="9" t="str">
        <ns0:v>0—100%；高分位表示当前X处于自身近期较高位置，不直接代表收益方向。</ns0:v>
      </ns0:c>
      <ns0:c r="F252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2" s="9" t="str">
        <ns0:v>contract-pair-v3</ns0:v>
      </ns0:c>
      <ns0:c r="I252" s="9" t="str">
        <ns0:v>A03.percentile</ns0:v>
      </ns0:c>
      <ns0:c r="J252" s="9" t="str">
        <ns0:v>A03.percentile::log_basis::v1</ns0:v>
      </ns0:c>
    </ns0:row>
    <ns0:row r="253" ht="79.19999694824219" hidden="0" customHeight="1">
      <ns0:c r="A253" s="9" t="str">
        <ns0:v>跨品种</ns0:v>
      </ns0:c>
      <ns0:c r="B253" s="9" t="str">
        <ns0:v>合约对历史分位</ns0:v>
      </ns0:c>
      <ns0:c r="C253" s="9" t="str">
        <ns0:v>未调整相对简单年化</ns0:v>
      </ns0:c>
      <ns0:c r="D253" s="9" t="str">
        <ns0:v>A=界面左腿，B=右腿，方向固定。X=36500 × [(F_A−S_A)/(S_A T_A)−(F_B−S_B)/(S_B T_B)]，两腿T≥5。</ns0:v>
      </ns0:c>
      <ns0:c r="E253" s="9" t="str">
        <ns0:v>0—100%；高分位表示当前X处于自身近期较高位置，不直接代表收益方向。</ns0:v>
      </ns0:c>
      <ns0:c r="F253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53" s="9" t="str">
        <ns0:v>contract-pair-v3</ns0:v>
      </ns0:c>
      <ns0:c r="I253" s="9" t="str">
        <ns0:v>A03.percentile</ns0:v>
      </ns0:c>
      <ns0:c r="J253" s="9" t="str">
        <ns0:v>A03.percentile::raw_annual::v1</ns0:v>
      </ns0:c>
    </ns0:row>
    <ns0:row r="254" ht="79.19999694824219" hidden="0" customHeight="1">
      <ns0:c r="A254" s="9" t="str">
        <ns0:v>跨品种</ns0:v>
      </ns0:c>
      <ns0:c r="B254" s="9" t="str">
        <ns0:v>合约对历史分位</ns0:v>
      </ns0:c>
      <ns0:c r="C254" s="9" t="str">
        <ns0:v>未调整相对对数年化</ns0:v>
      </ns0:c>
      <ns0:c r="D254" s="9" t="str">
        <ns0:v>A=界面左腿，B=右腿，方向固定。X=36500 × [ln(F_A/S_A)/T_A−ln(F_B/S_B)/T_B]，两腿T≥5。</ns0:v>
      </ns0:c>
      <ns0:c r="E254" s="9" t="str">
        <ns0:v>0—100%；高分位表示当前X处于自身近期较高位置，不直接代表收益方向。</ns0:v>
      </ns0:c>
      <ns0:c r="F254" s="9" t="str">
        <ns0:v>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G25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54" s="9" t="str">
        <ns0:v>contract-pair-v3</ns0:v>
      </ns0:c>
      <ns0:c r="I254" s="9" t="str">
        <ns0:v>A03.percentile</ns0:v>
      </ns0:c>
      <ns0:c r="J254" s="9" t="str">
        <ns0:v>A03.percentile::log_annual::v1</ns0:v>
      </ns0:c>
    </ns0:row>
    <ns0:row r="255" ht="79.19999694824219" hidden="0" customHeight="1">
      <ns0:c r="A255" s="9" t="str">
        <ns0:v>跨品种</ns0:v>
      </ns0:c>
      <ns0:c r="B255" s="9" t="str">
        <ns0:v>合约对五期变化</ns0:v>
      </ns0:c>
      <ns0:c r="C255" s="9" t="str">
        <ns0:v>跨品种对数价比 close</ns0:v>
      </ns0:c>
      <ns0:c r="D255" s="9" t="str">
        <ns0:v>A=界面左腿，B=右腿，方向固定。X=10000 × ln(F_A/F_B)。</ns0:v>
      </ns0:c>
      <ns0:c r="E255" s="9" t="str">
        <ns0:v>与X同单位；正值表示X扩大，负值表示X缩小。</ns0:v>
      </ns0:c>
      <ns0:c r="F255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55" s="9" t="str">
        <ns0:v>contract-pair-v3</ns0:v>
      </ns0:c>
      <ns0:c r="I255" s="9" t="str">
        <ns0:v>A03.change5</ns0:v>
      </ns0:c>
      <ns0:c r="J255" s="9" t="str">
        <ns0:v>A03.change5::future::v1</ns0:v>
      </ns0:c>
    </ns0:row>
    <ns0:row r="256" ht="52.79999923706055" hidden="0" customHeight="1">
      <ns0:c r="A256" s="9" t="str">
        <ns0:v>跨品种</ns0:v>
      </ns0:c>
      <ns0:c r="B256" s="9" t="str">
        <ns0:v>合约对五期变化</ns0:v>
      </ns0:c>
      <ns0:c r="C256" s="9" t="str">
        <ns0:v>分红调整相对基差（bp）</ns0:v>
      </ns0:c>
      <ns0:c r="D256" s="9" t="str">
        <ns0:v>A=界面左腿，B=右腿，方向固定。X=10000 × [(F_A−S_A+D_A)/S_A−(F_B−S_B+D_B)/S_B]。</ns0:v>
      </ns0:c>
      <ns0:c r="E256" s="9" t="str">
        <ns0:v>与X同单位；正值表示X扩大，负值表示X缩小。</ns0:v>
      </ns0:c>
      <ns0:c r="F256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6" s="9" t="str">
        <ns0:v>contract-pair-v3</ns0:v>
      </ns0:c>
      <ns0:c r="I256" s="9" t="str">
        <ns0:v>A03.change5</ns0:v>
      </ns0:c>
      <ns0:c r="J256" s="9" t="str">
        <ns0:v>A03.change5::basis::v1</ns0:v>
      </ns0:c>
    </ns0:row>
    <ns0:row r="257" ht="79.19999694824219" hidden="0" customHeight="1">
      <ns0:c r="A257" s="9" t="str">
        <ns0:v>跨品种</ns0:v>
      </ns0:c>
      <ns0:c r="B257" s="9" t="str">
        <ns0:v>合约对五期变化</ns0:v>
      </ns0:c>
      <ns0:c r="C257" s="9" t="str">
        <ns0:v>分红调整相对基差年化</ns0:v>
      </ns0:c>
      <ns0:c r="D257" s="9" t="str">
        <ns0:v>A=界面左腿，B=右腿，方向固定。X=36500 × [(F_A−S_A+D_A)/(S_A T_A)−(F_B−S_B+D_B)/(S_B T_B)]，两腿T≥5。</ns0:v>
      </ns0:c>
      <ns0:c r="E257" s="9" t="str">
        <ns0:v>与X同单位；正值表示X扩大，负值表示X缩小。</ns0:v>
      </ns0:c>
      <ns0:c r="F257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57" s="9" t="str">
        <ns0:v>contract-pair-v3</ns0:v>
      </ns0:c>
      <ns0:c r="I257" s="9" t="str">
        <ns0:v>A03.change5</ns0:v>
      </ns0:c>
      <ns0:c r="J257" s="9" t="str">
        <ns0:v>A03.change5::annual::v1</ns0:v>
      </ns0:c>
    </ns0:row>
    <ns0:row r="258" ht="52.79999923706055" hidden="0" customHeight="1">
      <ns0:c r="A258" s="9" t="str">
        <ns0:v>跨品种</ns0:v>
      </ns0:c>
      <ns0:c r="B258" s="9" t="str">
        <ns0:v>合约对五期变化</ns0:v>
      </ns0:c>
      <ns0:c r="C258" s="9" t="str">
        <ns0:v>未调整相对基差（bp）</ns0:v>
      </ns0:c>
      <ns0:c r="D258" s="9" t="str">
        <ns0:v>A=界面左腿，B=右腿，方向固定。X=10000 × [(F_A−S_A)/S_A−(F_B−S_B)/S_B]。</ns0:v>
      </ns0:c>
      <ns0:c r="E258" s="9" t="str">
        <ns0:v>与X同单位；正值表示X扩大，负值表示X缩小。</ns0:v>
      </ns0:c>
      <ns0:c r="F258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8" s="9" t="str">
        <ns0:v>contract-pair-v3</ns0:v>
      </ns0:c>
      <ns0:c r="I258" s="9" t="str">
        <ns0:v>A03.change5</ns0:v>
      </ns0:c>
      <ns0:c r="J258" s="9" t="str">
        <ns0:v>A03.change5::raw_basis::v1</ns0:v>
      </ns0:c>
    </ns0:row>
    <ns0:row r="259" ht="52.79999923706055" hidden="0" customHeight="1">
      <ns0:c r="A259" s="9" t="str">
        <ns0:v>跨品种</ns0:v>
      </ns0:c>
      <ns0:c r="B259" s="9" t="str">
        <ns0:v>合约对五期变化</ns0:v>
      </ns0:c>
      <ns0:c r="C259" s="9" t="str">
        <ns0:v>未调整相对对数基差</ns0:v>
      </ns0:c>
      <ns0:c r="D259" s="9" t="str">
        <ns0:v>A=界面左腿，B=右腿，方向固定。X=10000 × ln[(F_A/S_A)/(F_B/S_B)]。</ns0:v>
      </ns0:c>
      <ns0:c r="E259" s="9" t="str">
        <ns0:v>与X同单位；正值表示X扩大，负值表示X缩小。</ns0:v>
      </ns0:c>
      <ns0:c r="F259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5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59" s="9" t="str">
        <ns0:v>contract-pair-v3</ns0:v>
      </ns0:c>
      <ns0:c r="I259" s="9" t="str">
        <ns0:v>A03.change5</ns0:v>
      </ns0:c>
      <ns0:c r="J259" s="9" t="str">
        <ns0:v>A03.change5::log_basis::v1</ns0:v>
      </ns0:c>
    </ns0:row>
    <ns0:row r="260" ht="79.19999694824219" hidden="0" customHeight="1">
      <ns0:c r="A260" s="9" t="str">
        <ns0:v>跨品种</ns0:v>
      </ns0:c>
      <ns0:c r="B260" s="9" t="str">
        <ns0:v>合约对五期变化</ns0:v>
      </ns0:c>
      <ns0:c r="C260" s="9" t="str">
        <ns0:v>未调整相对简单年化</ns0:v>
      </ns0:c>
      <ns0:c r="D260" s="9" t="str">
        <ns0:v>A=界面左腿，B=右腿，方向固定。X=36500 × [(F_A−S_A)/(S_A T_A)−(F_B−S_B)/(S_B T_B)]，两腿T≥5。</ns0:v>
      </ns0:c>
      <ns0:c r="E260" s="9" t="str">
        <ns0:v>与X同单位；正值表示X扩大，负值表示X缩小。</ns0:v>
      </ns0:c>
      <ns0:c r="F260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6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0" s="9" t="str">
        <ns0:v>contract-pair-v3</ns0:v>
      </ns0:c>
      <ns0:c r="I260" s="9" t="str">
        <ns0:v>A03.change5</ns0:v>
      </ns0:c>
      <ns0:c r="J260" s="9" t="str">
        <ns0:v>A03.change5::raw_annual::v1</ns0:v>
      </ns0:c>
    </ns0:row>
    <ns0:row r="261" ht="79.19999694824219" hidden="0" customHeight="1">
      <ns0:c r="A261" s="9" t="str">
        <ns0:v>跨品种</ns0:v>
      </ns0:c>
      <ns0:c r="B261" s="9" t="str">
        <ns0:v>合约对五期变化</ns0:v>
      </ns0:c>
      <ns0:c r="C261" s="9" t="str">
        <ns0:v>未调整相对对数年化</ns0:v>
      </ns0:c>
      <ns0:c r="D261" s="9" t="str">
        <ns0:v>A=界面左腿，B=右腿，方向固定。X=36500 × [ln(F_A/S_A)/T_A−ln(F_B/S_B)/T_B]，两腿T≥5。</ns0:v>
      </ns0:c>
      <ns0:c r="E261" s="9" t="str">
        <ns0:v>与X同单位；正值表示X扩大，负值表示X缩小。</ns0:v>
      </ns0:c>
      <ns0:c r="F261" s="9" t="str">
        <ns0:v>当前X减五期前的X，要求连续6个有效观察。 F=真实期货价，S=对应现货指数，D=该合约剩余分红点数，T=剩余自然日，V=成交量，OI=持仓量；1bp=万分之一，年化1表示1个百分点。</ns0:v>
      </ns0:c>
      <ns0:c r="G26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1" s="9" t="str">
        <ns0:v>contract-pair-v3</ns0:v>
      </ns0:c>
      <ns0:c r="I261" s="9" t="str">
        <ns0:v>A03.change5</ns0:v>
      </ns0:c>
      <ns0:c r="J261" s="9" t="str">
        <ns0:v>A03.change5::log_annual::v1</ns0:v>
      </ns0:c>
    </ns0:row>
    <ns0:row r="262" ht="79.19999694824219" hidden="0" customHeight="1">
      <ns0:c r="A262" s="9" t="str">
        <ns0:v>跨品种</ns0:v>
      </ns0:c>
      <ns0:c r="B262" s="9" t="str">
        <ns0:v>合约对30期分位</ns0:v>
      </ns0:c>
      <ns0:c r="C262" s="9" t="str">
        <ns0:v>跨品种对数价比 close</ns0:v>
      </ns0:c>
      <ns0:c r="D262" s="9" t="str">
        <ns0:v>A=界面左腿，B=右腿，方向固定。X=10000 × ln(F_A/F_B)。</ns0:v>
      </ns0:c>
      <ns0:c r="E262" s="9" t="str">
        <ns0:v>0—100%；是独立的30期规则，不能与20期半权分位混用。</ns0:v>
      </ns0:c>
      <ns0:c r="F262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62" s="9" t="str">
        <ns0:v>contract-pair-v3</ns0:v>
      </ns0:c>
      <ns0:c r="I262" s="9" t="str">
        <ns0:v>A03.legacy_percentile30</ns0:v>
      </ns0:c>
      <ns0:c r="J262" s="9" t="str">
        <ns0:v>A03.legacy_percentile30::future::v1</ns0:v>
      </ns0:c>
    </ns0:row>
    <ns0:row r="263" ht="52.79999923706055" hidden="0" customHeight="1">
      <ns0:c r="A263" s="9" t="str">
        <ns0:v>跨品种</ns0:v>
      </ns0:c>
      <ns0:c r="B263" s="9" t="str">
        <ns0:v>合约对30期分位</ns0:v>
      </ns0:c>
      <ns0:c r="C263" s="9" t="str">
        <ns0:v>分红调整相对基差（bp）</ns0:v>
      </ns0:c>
      <ns0:c r="D263" s="9" t="str">
        <ns0:v>A=界面左腿，B=右腿，方向固定。X=10000 × [(F_A−S_A+D_A)/S_A−(F_B−S_B+D_B)/S_B]。</ns0:v>
      </ns0:c>
      <ns0:c r="E263" s="9" t="str">
        <ns0:v>0—100%；是独立的30期规则，不能与20期半权分位混用。</ns0:v>
      </ns0:c>
      <ns0:c r="F263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63" s="9" t="str">
        <ns0:v>contract-pair-v3</ns0:v>
      </ns0:c>
      <ns0:c r="I263" s="9" t="str">
        <ns0:v>A03.legacy_percentile30</ns0:v>
      </ns0:c>
      <ns0:c r="J263" s="9" t="str">
        <ns0:v>A03.legacy_percentile30::basis::v1</ns0:v>
      </ns0:c>
    </ns0:row>
    <ns0:row r="264" ht="79.19999694824219" hidden="0" customHeight="1">
      <ns0:c r="A264" s="9" t="str">
        <ns0:v>跨品种</ns0:v>
      </ns0:c>
      <ns0:c r="B264" s="9" t="str">
        <ns0:v>合约对30期分位</ns0:v>
      </ns0:c>
      <ns0:c r="C264" s="9" t="str">
        <ns0:v>分红调整相对基差年化</ns0:v>
      </ns0:c>
      <ns0:c r="D264" s="9" t="str">
        <ns0:v>A=界面左腿，B=右腿，方向固定。X=36500 × [(F_A−S_A+D_A)/(S_A T_A)−(F_B−S_B+D_B)/(S_B T_B)]，两腿T≥5。</ns0:v>
      </ns0:c>
      <ns0:c r="E264" s="9" t="str">
        <ns0:v>0—100%；是独立的30期规则，不能与20期半权分位混用。</ns0:v>
      </ns0:c>
      <ns0:c r="F264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4" s="9" t="str">
        <ns0:v>contract-pair-v3</ns0:v>
      </ns0:c>
      <ns0:c r="I264" s="9" t="str">
        <ns0:v>A03.legacy_percentile30</ns0:v>
      </ns0:c>
      <ns0:c r="J264" s="9" t="str">
        <ns0:v>A03.legacy_percentile30::annual::v1</ns0:v>
      </ns0:c>
    </ns0:row>
    <ns0:row r="265" ht="52.79999923706055" hidden="0" customHeight="1">
      <ns0:c r="A265" s="9" t="str">
        <ns0:v>跨品种</ns0:v>
      </ns0:c>
      <ns0:c r="B265" s="9" t="str">
        <ns0:v>合约对30期分位</ns0:v>
      </ns0:c>
      <ns0:c r="C265" s="9" t="str">
        <ns0:v>未调整相对基差（bp）</ns0:v>
      </ns0:c>
      <ns0:c r="D265" s="9" t="str">
        <ns0:v>A=界面左腿，B=右腿，方向固定。X=10000 × [(F_A−S_A)/S_A−(F_B−S_B)/S_B]。</ns0:v>
      </ns0:c>
      <ns0:c r="E265" s="9" t="str">
        <ns0:v>0—100%；是独立的30期规则，不能与20期半权分位混用。</ns0:v>
      </ns0:c>
      <ns0:c r="F265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65" s="9" t="str">
        <ns0:v>contract-pair-v3</ns0:v>
      </ns0:c>
      <ns0:c r="I265" s="9" t="str">
        <ns0:v>A03.legacy_percentile30</ns0:v>
      </ns0:c>
      <ns0:c r="J265" s="9" t="str">
        <ns0:v>A03.legacy_percentile30::raw_basis::v1</ns0:v>
      </ns0:c>
    </ns0:row>
    <ns0:row r="266" ht="52.79999923706055" hidden="0" customHeight="1">
      <ns0:c r="A266" s="9" t="str">
        <ns0:v>跨品种</ns0:v>
      </ns0:c>
      <ns0:c r="B266" s="9" t="str">
        <ns0:v>合约对30期分位</ns0:v>
      </ns0:c>
      <ns0:c r="C266" s="9" t="str">
        <ns0:v>未调整相对对数基差</ns0:v>
      </ns0:c>
      <ns0:c r="D266" s="9" t="str">
        <ns0:v>A=界面左腿，B=右腿，方向固定。X=10000 × ln[(F_A/S_A)/(F_B/S_B)]。</ns0:v>
      </ns0:c>
      <ns0:c r="E266" s="9" t="str">
        <ns0:v>0—100%；是独立的30期规则，不能与20期半权分位混用。</ns0:v>
      </ns0:c>
      <ns0:c r="F266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66" s="9" t="str">
        <ns0:v>contract-pair-v3</ns0:v>
      </ns0:c>
      <ns0:c r="I266" s="9" t="str">
        <ns0:v>A03.legacy_percentile30</ns0:v>
      </ns0:c>
      <ns0:c r="J266" s="9" t="str">
        <ns0:v>A03.legacy_percentile30::log_basis::v1</ns0:v>
      </ns0:c>
    </ns0:row>
    <ns0:row r="267" ht="79.19999694824219" hidden="0" customHeight="1">
      <ns0:c r="A267" s="9" t="str">
        <ns0:v>跨品种</ns0:v>
      </ns0:c>
      <ns0:c r="B267" s="9" t="str">
        <ns0:v>合约对30期分位</ns0:v>
      </ns0:c>
      <ns0:c r="C267" s="9" t="str">
        <ns0:v>未调整相对简单年化</ns0:v>
      </ns0:c>
      <ns0:c r="D267" s="9" t="str">
        <ns0:v>A=界面左腿，B=右腿，方向固定。X=36500 × [(F_A−S_A)/(S_A T_A)−(F_B−S_B)/(S_B T_B)]，两腿T≥5。</ns0:v>
      </ns0:c>
      <ns0:c r="E267" s="9" t="str">
        <ns0:v>0—100%；是独立的30期规则，不能与20期半权分位混用。</ns0:v>
      </ns0:c>
      <ns0:c r="F267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7" s="9" t="str">
        <ns0:v>contract-pair-v3</ns0:v>
      </ns0:c>
      <ns0:c r="I267" s="9" t="str">
        <ns0:v>A03.legacy_percentile30</ns0:v>
      </ns0:c>
      <ns0:c r="J267" s="9" t="str">
        <ns0:v>A03.legacy_percentile30::raw_annual::v1</ns0:v>
      </ns0:c>
    </ns0:row>
    <ns0:row r="268" ht="79.19999694824219" hidden="0" customHeight="1">
      <ns0:c r="A268" s="9" t="str">
        <ns0:v>跨品种</ns0:v>
      </ns0:c>
      <ns0:c r="B268" s="9" t="str">
        <ns0:v>合约对30期分位</ns0:v>
      </ns0:c>
      <ns0:c r="C268" s="9" t="str">
        <ns0:v>未调整相对对数年化</ns0:v>
      </ns0:c>
      <ns0:c r="D268" s="9" t="str">
        <ns0:v>A=界面左腿，B=右腿，方向固定。X=36500 × [ln(F_A/S_A)/T_A−ln(F_B/S_B)/T_B]，两腿T≥5。</ns0:v>
      </ns0:c>
      <ns0:c r="E268" s="9" t="str">
        <ns0:v>0—100%；是独立的30期规则，不能与20期半权分位混用。</ns0:v>
      </ns0:c>
      <ns0:c r="F268" s="9" t="str">
        <ns0:v>保留原30期≤分位规则，但统计对象使用明确构造的合约对X。 F=真实期货价，S=对应现货指数，D=该合约剩余分红点数，T=剩余自然日，V=成交量，OI=持仓量；1bp=万分之一，年化1表示1个百分点。</ns0:v>
      </ns0:c>
      <ns0:c r="G26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68" s="9" t="str">
        <ns0:v>contract-pair-v3</ns0:v>
      </ns0:c>
      <ns0:c r="I268" s="9" t="str">
        <ns0:v>A03.legacy_percentile30</ns0:v>
      </ns0:c>
      <ns0:c r="J268" s="9" t="str">
        <ns0:v>A03.legacy_percentile30::log_annual::v1</ns0:v>
      </ns0:c>
    </ns0:row>
    <ns0:row r="269" ht="52.79999923706055" hidden="0" customHeight="1">
      <ns0:c r="A269" s="9" t="str">
        <ns0:v>跨品种</ns0:v>
      </ns0:c>
      <ns0:c r="B269" s="9" t="str">
        <ns0:v>同到期分红调整相对基差</ns0:v>
      </ns0:c>
      <ns0:c r="C269" s="9" t="str">
        <ns0:v>固定口径（不随 X 改变）</ns0:v>
      </ns0:c>
      <ns0:c r="D269" s="9" t="str">
        <ns0:v>A=界面左腿，B=右腿，方向固定。两腿分别用自己的现货和分红标准化，在同一到期日比较A−B。</ns0:v>
      </ns0:c>
      <ns0:c r="E269" s="9" t="str">
        <ns0:v>bp；正值表示A相对自身现货的调整基差高于B。</ns0:v>
      </ns0:c>
      <ns0:c r="F269" s="9" t="str">
        <ns0:v>两腿分别用自己的现货和分红标准化，在同一到期日比较A−B。 F=真实期货价，S=对应现货指数，D=该合约剩余分红点数，T=剩余自然日，V=成交量，OI=持仓量；1bp=万分之一，年化1表示1个百分点。</ns0:v>
      </ns0:c>
      <ns0:c r="G26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69" s="9" t="str">
        <ns0:v>contract-pair-v3</ns0:v>
      </ns0:c>
      <ns0:c r="I269" s="9" t="str">
        <ns0:v>A06</ns0:v>
      </ns0:c>
      <ns0:c r="J269" s="9" t="str">
        <ns0:v>A06::fixed::v1</ns0:v>
      </ns0:c>
    </ns0:row>
    <ns0:row r="270" ht="66" hidden="0" customHeight="1">
      <ns0:c r="A270" s="9" t="str">
        <ns0:v>跨品种</ns0:v>
      </ns0:c>
      <ns0:c r="B270" s="9" t="str">
        <ns0:v>同到期未调整相对基差</ns0:v>
      </ns0:c>
      <ns0:c r="C270" s="9" t="str">
        <ns0:v>固定口径（不随 X 改变）</ns0:v>
      </ns0:c>
      <ns0:c r="D270" s="9" t="str">
        <ns0:v>A=界面左腿，B=右腿，方向固定。比较两腿各自期货/现货的未调整普通基差，统计对象为该相对基差序列。</ns0:v>
      </ns0:c>
      <ns0:c r="E270" s="9" t="str">
        <ns0:v>bp；A−B方向；要求两腿实际到期日相同。</ns0:v>
      </ns0:c>
      <ns0:c r="F270" s="9" t="str">
        <ns0:v>比较两腿各自期货/现货的未调整普通基差，统计对象为该相对基差序列。 F=真实期货价，S=对应现货指数，D=该合约剩余分红点数，T=剩余自然日，V=成交量，OI=持仓量；1bp=万分之一，年化1表示1个百分点。</ns0:v>
      </ns0:c>
      <ns0:c r="G27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0" s="9" t="str">
        <ns0:v>contract-pair-v3</ns0:v>
      </ns0:c>
      <ns0:c r="I270" s="9" t="str">
        <ns0:v>A06.raw</ns0:v>
      </ns0:c>
      <ns0:c r="J270" s="9" t="str">
        <ns0:v>A06.raw::fixed::v1</ns0:v>
      </ns0:c>
    </ns0:row>
    <ns0:row r="271" ht="52.79999923706055" hidden="0" customHeight="1">
      <ns0:c r="A271" s="9" t="str">
        <ns0:v>跨品种</ns0:v>
      </ns0:c>
      <ns0:c r="B271" s="9" t="str">
        <ns0:v>同到期相对对数基差</ns0:v>
      </ns0:c>
      <ns0:c r="C271" s="9" t="str">
        <ns0:v>固定口径（不随 X 改变）</ns0:v>
      </ns0:c>
      <ns0:c r="D271" s="9" t="str">
        <ns0:v>A=界面左腿，B=右腿，方向固定。计算10000ln[(F_A/S_A)/(F_B/S_B)]及其自身历史统计。</ns0:v>
      </ns0:c>
      <ns0:c r="E271" s="9" t="str">
        <ns0:v>bp；正值表示A的期现价格比例更高；要求实际到期日相同。</ns0:v>
      </ns0:c>
      <ns0:c r="F271" s="9" t="str">
        <ns0:v>计算10000ln[(F_A/S_A)/(F_B/S_B)]及其自身历史统计。 F=真实期货价，S=对应现货指数，D=该合约剩余分红点数，T=剩余自然日，V=成交量，OI=持仓量；1bp=万分之一，年化1表示1个百分点。</ns0:v>
      </ns0:c>
      <ns0:c r="G27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1" s="9" t="str">
        <ns0:v>contract-pair-v3</ns0:v>
      </ns0:c>
      <ns0:c r="I271" s="9" t="str">
        <ns0:v>A06.log</ns0:v>
      </ns0:c>
      <ns0:c r="J271" s="9" t="str">
        <ns0:v>A06.log::fixed::v1</ns0:v>
      </ns0:c>
    </ns0:row>
    <ns0:row r="272" ht="66" hidden="0" customHeight="1">
      <ns0:c r="A272" s="9" t="str">
        <ns0:v>跨品种</ns0:v>
      </ns0:c>
      <ns0:c r="B272" s="9" t="str">
        <ns0:v>合约对五期收益归因</ns0:v>
      </ns0:c>
      <ns0:c r="C272" s="9" t="str">
        <ns0:v>固定口径（不随 X 改变）</ns0:v>
      </ns0:c>
      <ns0:c r="D272" s="9" t="str">
        <ns0:v>A=界面左腿，B=右腿，方向固定。对同一合约对五期对数价比变化，分别展示期货、现货、基差及分红情景分量。</ns0:v>
      </ns0:c>
      <ns0:c r="E272" s="9" t="str">
        <ns0:v>收益bp；主项为10000Δ5ln(F_A/F_B)，未扣成本，也不是实际调仓策略收益。</ns0:v>
      </ns0:c>
      <ns0:c r="F272" s="9" t="str">
        <ns0:v>对同一合约对五期对数价比变化，分别展示期货、现货、基差及分红情景分量。 F=真实期货价，S=对应现货指数，D=该合约剩余分红点数，T=剩余自然日，V=成交量，OI=持仓量；1bp=万分之一，年化1表示1个百分点。</ns0:v>
      </ns0:c>
      <ns0:c r="G27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2" s="9" t="str">
        <ns0:v>contract-pair-v3</ns0:v>
      </ns0:c>
      <ns0:c r="I272" s="9" t="str">
        <ns0:v>A07</ns0:v>
      </ns0:c>
      <ns0:c r="J272" s="9" t="str">
        <ns0:v>A07::fixed::v1</ns0:v>
      </ns0:c>
    </ns0:row>
    <ns0:row r="273" ht="52.79999923706055" hidden="0" customHeight="1">
      <ns0:c r="A273" s="9" t="str">
        <ns0:v>跨品种</ns0:v>
      </ns0:c>
      <ns0:c r="B273" s="9" t="str">
        <ns0:v>合约对当前名义金额</ns0:v>
      </ns0:c>
      <ns0:c r="C273" s="9" t="str">
        <ns0:v>固定口径（不随 X 改变）</ns0:v>
      </ns0:c>
      <ns0:c r="D273" s="9" t="str">
        <ns0:v>A=界面左腿，B=右腿，方向固定。用当前两腿价格及合约乘数给出名义金额、等名义手数比和取整误差。</ns0:v>
      </ns0:c>
      <ns0:c r="E273" s="9" t="str">
        <ns0:v>h的单位为B手/A手；这里是当前金额说明，量仓指标使用前一完整交易日h。</ns0:v>
      </ns0:c>
      <ns0:c r="F273" s="9" t="str">
        <ns0:v>用当前两腿价格及合约乘数给出名义金额、等名义手数比和取整误差。 F=真实期货价，S=对应现货指数，D=该合约剩余分红点数，T=剩余自然日，V=成交量，OI=持仓量；1bp=万分之一，年化1表示1个百分点。</ns0:v>
      </ns0:c>
      <ns0:c r="G27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3" s="9" t="str">
        <ns0:v>contract-pair-v3</ns0:v>
      </ns0:c>
      <ns0:c r="I273" s="9" t="str">
        <ns0:v>A09</ns0:v>
      </ns0:c>
      <ns0:c r="J273" s="9" t="str">
        <ns0:v>A09::fixed::v1</ns0:v>
      </ns0:c>
    </ns0:row>
    <ns0:row r="274" ht="79.19999694824219" hidden="0" customHeight="1">
      <ns0:c r="A274" s="9" t="str">
        <ns0:v>跨品种</ns0:v>
      </ns0:c>
      <ns0:c r="B274" s="9" t="str">
        <ns0:v>合约对30分钟实现波动</ns0:v>
      </ns0:c>
      <ns0:c r="C274" s="9" t="str">
        <ns0:v>跨品种对数价比 close</ns0:v>
      </ns0:c>
      <ns0:c r="D274" s="9" t="str">
        <ns0:v>A=界面左腿，B=右腿，方向固定。X=10000 × ln(F_A/F_B)。</ns0:v>
      </ns0:c>
      <ns0:c r="E274" s="9" t="str">
        <ns0:v>与X同单位；衡量合约对自身波动，不是两腿波动率相减。</ns0:v>
      </ns0:c>
      <ns0:c r="F274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74" s="9" t="str">
        <ns0:v>contract-pair-v3</ns0:v>
      </ns0:c>
      <ns0:c r="I274" s="9" t="str">
        <ns0:v>A11</ns0:v>
      </ns0:c>
      <ns0:c r="J274" s="9" t="str">
        <ns0:v>A11::future::v1</ns0:v>
      </ns0:c>
    </ns0:row>
    <ns0:row r="275" ht="52.79999923706055" hidden="0" customHeight="1">
      <ns0:c r="A275" s="9" t="str">
        <ns0:v>跨品种</ns0:v>
      </ns0:c>
      <ns0:c r="B275" s="9" t="str">
        <ns0:v>合约对30分钟实现波动</ns0:v>
      </ns0:c>
      <ns0:c r="C275" s="9" t="str">
        <ns0:v>分红调整相对基差（bp）</ns0:v>
      </ns0:c>
      <ns0:c r="D275" s="9" t="str">
        <ns0:v>A=界面左腿，B=右腿，方向固定。X=10000 × [(F_A−S_A+D_A)/S_A−(F_B−S_B+D_B)/S_B]。</ns0:v>
      </ns0:c>
      <ns0:c r="E275" s="9" t="str">
        <ns0:v>与X同单位；衡量合约对自身波动，不是两腿波动率相减。</ns0:v>
      </ns0:c>
      <ns0:c r="F275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5" s="9" t="str">
        <ns0:v>contract-pair-v3</ns0:v>
      </ns0:c>
      <ns0:c r="I275" s="9" t="str">
        <ns0:v>A11</ns0:v>
      </ns0:c>
      <ns0:c r="J275" s="9" t="str">
        <ns0:v>A11::basis::v1</ns0:v>
      </ns0:c>
    </ns0:row>
    <ns0:row r="276" ht="79.19999694824219" hidden="0" customHeight="1">
      <ns0:c r="A276" s="9" t="str">
        <ns0:v>跨品种</ns0:v>
      </ns0:c>
      <ns0:c r="B276" s="9" t="str">
        <ns0:v>合约对30分钟实现波动</ns0:v>
      </ns0:c>
      <ns0:c r="C276" s="9" t="str">
        <ns0:v>分红调整相对基差年化</ns0:v>
      </ns0:c>
      <ns0:c r="D276" s="9" t="str">
        <ns0:v>A=界面左腿，B=右腿，方向固定。X=36500 × [(F_A−S_A+D_A)/(S_A T_A)−(F_B−S_B+D_B)/(S_B T_B)]，两腿T≥5。</ns0:v>
      </ns0:c>
      <ns0:c r="E276" s="9" t="str">
        <ns0:v>与X同单位；衡量合约对自身波动，不是两腿波动率相减。</ns0:v>
      </ns0:c>
      <ns0:c r="F276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76" s="9" t="str">
        <ns0:v>contract-pair-v3</ns0:v>
      </ns0:c>
      <ns0:c r="I276" s="9" t="str">
        <ns0:v>A11</ns0:v>
      </ns0:c>
      <ns0:c r="J276" s="9" t="str">
        <ns0:v>A11::annual::v1</ns0:v>
      </ns0:c>
    </ns0:row>
    <ns0:row r="277" ht="52.79999923706055" hidden="0" customHeight="1">
      <ns0:c r="A277" s="9" t="str">
        <ns0:v>跨品种</ns0:v>
      </ns0:c>
      <ns0:c r="B277" s="9" t="str">
        <ns0:v>合约对30分钟实现波动</ns0:v>
      </ns0:c>
      <ns0:c r="C277" s="9" t="str">
        <ns0:v>未调整相对基差（bp）</ns0:v>
      </ns0:c>
      <ns0:c r="D277" s="9" t="str">
        <ns0:v>A=界面左腿，B=右腿，方向固定。X=10000 × [(F_A−S_A)/S_A−(F_B−S_B)/S_B]。</ns0:v>
      </ns0:c>
      <ns0:c r="E277" s="9" t="str">
        <ns0:v>与X同单位；衡量合约对自身波动，不是两腿波动率相减。</ns0:v>
      </ns0:c>
      <ns0:c r="F277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7" s="9" t="str">
        <ns0:v>contract-pair-v3</ns0:v>
      </ns0:c>
      <ns0:c r="I277" s="9" t="str">
        <ns0:v>A11</ns0:v>
      </ns0:c>
      <ns0:c r="J277" s="9" t="str">
        <ns0:v>A11::raw_basis::v1</ns0:v>
      </ns0:c>
    </ns0:row>
    <ns0:row r="278" ht="52.79999923706055" hidden="0" customHeight="1">
      <ns0:c r="A278" s="9" t="str">
        <ns0:v>跨品种</ns0:v>
      </ns0:c>
      <ns0:c r="B278" s="9" t="str">
        <ns0:v>合约对30分钟实现波动</ns0:v>
      </ns0:c>
      <ns0:c r="C278" s="9" t="str">
        <ns0:v>未调整相对对数基差</ns0:v>
      </ns0:c>
      <ns0:c r="D278" s="9" t="str">
        <ns0:v>A=界面左腿，B=右腿，方向固定。X=10000 × ln[(F_A/S_A)/(F_B/S_B)]。</ns0:v>
      </ns0:c>
      <ns0:c r="E278" s="9" t="str">
        <ns0:v>与X同单位；衡量合约对自身波动，不是两腿波动率相减。</ns0:v>
      </ns0:c>
      <ns0:c r="F278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78" s="9" t="str">
        <ns0:v>contract-pair-v3</ns0:v>
      </ns0:c>
      <ns0:c r="I278" s="9" t="str">
        <ns0:v>A11</ns0:v>
      </ns0:c>
      <ns0:c r="J278" s="9" t="str">
        <ns0:v>A11::log_basis::v1</ns0:v>
      </ns0:c>
    </ns0:row>
    <ns0:row r="279" ht="79.19999694824219" hidden="0" customHeight="1">
      <ns0:c r="A279" s="9" t="str">
        <ns0:v>跨品种</ns0:v>
      </ns0:c>
      <ns0:c r="B279" s="9" t="str">
        <ns0:v>合约对30分钟实现波动</ns0:v>
      </ns0:c>
      <ns0:c r="C279" s="9" t="str">
        <ns0:v>未调整相对简单年化</ns0:v>
      </ns0:c>
      <ns0:c r="D279" s="9" t="str">
        <ns0:v>A=界面左腿，B=右腿，方向固定。X=36500 × [(F_A−S_A)/(S_A T_A)−(F_B−S_B)/(S_B T_B)]，两腿T≥5。</ns0:v>
      </ns0:c>
      <ns0:c r="E279" s="9" t="str">
        <ns0:v>与X同单位；衡量合约对自身波动，不是两腿波动率相减。</ns0:v>
      </ns0:c>
      <ns0:c r="F279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7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79" s="9" t="str">
        <ns0:v>contract-pair-v3</ns0:v>
      </ns0:c>
      <ns0:c r="I279" s="9" t="str">
        <ns0:v>A11</ns0:v>
      </ns0:c>
      <ns0:c r="J279" s="9" t="str">
        <ns0:v>A11::raw_annual::v1</ns0:v>
      </ns0:c>
    </ns0:row>
    <ns0:row r="280" ht="79.19999694824219" hidden="0" customHeight="1">
      <ns0:c r="A280" s="9" t="str">
        <ns0:v>跨品种</ns0:v>
      </ns0:c>
      <ns0:c r="B280" s="9" t="str">
        <ns0:v>合约对30分钟实现波动</ns0:v>
      </ns0:c>
      <ns0:c r="C280" s="9" t="str">
        <ns0:v>未调整相对对数年化</ns0:v>
      </ns0:c>
      <ns0:c r="D280" s="9" t="str">
        <ns0:v>A=界面左腿，B=右腿，方向固定。X=36500 × [ln(F_A/S_A)/T_A−ln(F_B/S_B)/T_B]，两腿T≥5。</ns0:v>
      </ns0:c>
      <ns0:c r="E280" s="9" t="str">
        <ns0:v>与X同单位；衡量合约对自身波动，不是两腿波动率相减。</ns0:v>
      </ns0:c>
      <ns0:c r="F280" s="9" t="str">
        <ns0:v>先构造同刻X，再对同一会话连续30个一分钟变化平方求和开方。 F=真实期货价，S=对应现货指数，D=该合约剩余分红点数，T=剩余自然日，V=成交量，OI=持仓量；1bp=万分之一，年化1表示1个百分点。</ns0:v>
      </ns0:c>
      <ns0:c r="G28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80" s="9" t="str">
        <ns0:v>contract-pair-v3</ns0:v>
      </ns0:c>
      <ns0:c r="I280" s="9" t="str">
        <ns0:v>A11</ns0:v>
      </ns0:c>
      <ns0:c r="J280" s="9" t="str">
        <ns0:v>A11::log_annual::v1</ns0:v>
      </ns0:c>
    </ns0:row>
    <ns0:row r="281" ht="79.19999694824219" hidden="0" customHeight="1">
      <ns0:c r="A281" s="9" t="str">
        <ns0:v>跨品种</ns0:v>
      </ns0:c>
      <ns0:c r="B281" s="9" t="str">
        <ns0:v>合约对连续偏离事件</ns0:v>
      </ns0:c>
      <ns0:c r="C281" s="9" t="str">
        <ns0:v>跨品种对数价比 close</ns0:v>
      </ns0:c>
      <ns0:c r="D281" s="9" t="str">
        <ns0:v>A=界面左腿，B=右腿，方向固定。X=10000 × ln(F_A/F_B)。</ns0:v>
      </ns0:c>
      <ns0:c r="E281" s="9" t="str">
        <ns0:v>次、倍、根及时间；只描述该对合约的连续偏离，不自动生成交易指令。</ns0:v>
      </ns0:c>
      <ns0:c r="F281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81" s="9" t="str">
        <ns0:v>contract-pair-v3</ns0:v>
      </ns0:c>
      <ns0:c r="I281" s="9" t="str">
        <ns0:v>A12</ns0:v>
      </ns0:c>
      <ns0:c r="J281" s="9" t="str">
        <ns0:v>A12::future::v1</ns0:v>
      </ns0:c>
    </ns0:row>
    <ns0:row r="282" ht="66" hidden="0" customHeight="1">
      <ns0:c r="A282" s="9" t="str">
        <ns0:v>跨品种</ns0:v>
      </ns0:c>
      <ns0:c r="B282" s="9" t="str">
        <ns0:v>合约对连续偏离事件</ns0:v>
      </ns0:c>
      <ns0:c r="C282" s="9" t="str">
        <ns0:v>分红调整相对基差（bp）</ns0:v>
      </ns0:c>
      <ns0:c r="D282" s="9" t="str">
        <ns0:v>A=界面左腿，B=右腿，方向固定。X=10000 × [(F_A−S_A+D_A)/S_A−(F_B−S_B+D_B)/S_B]。</ns0:v>
      </ns0:c>
      <ns0:c r="E282" s="9" t="str">
        <ns0:v>次、倍、根及时间；只描述该对合约的连续偏离，不自动生成交易指令。</ns0:v>
      </ns0:c>
      <ns0:c r="F282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82" s="9" t="str">
        <ns0:v>contract-pair-v3</ns0:v>
      </ns0:c>
      <ns0:c r="I282" s="9" t="str">
        <ns0:v>A12</ns0:v>
      </ns0:c>
      <ns0:c r="J282" s="9" t="str">
        <ns0:v>A12::basis::v1</ns0:v>
      </ns0:c>
    </ns0:row>
    <ns0:row r="283" ht="79.19999694824219" hidden="0" customHeight="1">
      <ns0:c r="A283" s="9" t="str">
        <ns0:v>跨品种</ns0:v>
      </ns0:c>
      <ns0:c r="B283" s="9" t="str">
        <ns0:v>合约对连续偏离事件</ns0:v>
      </ns0:c>
      <ns0:c r="C283" s="9" t="str">
        <ns0:v>分红调整相对基差年化</ns0:v>
      </ns0:c>
      <ns0:c r="D283" s="9" t="str">
        <ns0:v>A=界面左腿，B=右腿，方向固定。X=36500 × [(F_A−S_A+D_A)/(S_A T_A)−(F_B−S_B+D_B)/(S_B T_B)]，两腿T≥5。</ns0:v>
      </ns0:c>
      <ns0:c r="E283" s="9" t="str">
        <ns0:v>次、倍、根及时间；只描述该对合约的连续偏离，不自动生成交易指令。</ns0:v>
      </ns0:c>
      <ns0:c r="F283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83" s="9" t="str">
        <ns0:v>contract-pair-v3</ns0:v>
      </ns0:c>
      <ns0:c r="I283" s="9" t="str">
        <ns0:v>A12</ns0:v>
      </ns0:c>
      <ns0:c r="J283" s="9" t="str">
        <ns0:v>A12::annual::v1</ns0:v>
      </ns0:c>
    </ns0:row>
    <ns0:row r="284" ht="66" hidden="0" customHeight="1">
      <ns0:c r="A284" s="9" t="str">
        <ns0:v>跨品种</ns0:v>
      </ns0:c>
      <ns0:c r="B284" s="9" t="str">
        <ns0:v>合约对连续偏离事件</ns0:v>
      </ns0:c>
      <ns0:c r="C284" s="9" t="str">
        <ns0:v>未调整相对基差（bp）</ns0:v>
      </ns0:c>
      <ns0:c r="D284" s="9" t="str">
        <ns0:v>A=界面左腿，B=右腿，方向固定。X=10000 × [(F_A−S_A)/S_A−(F_B−S_B)/S_B]。</ns0:v>
      </ns0:c>
      <ns0:c r="E284" s="9" t="str">
        <ns0:v>次、倍、根及时间；只描述该对合约的连续偏离，不自动生成交易指令。</ns0:v>
      </ns0:c>
      <ns0:c r="F284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84" s="9" t="str">
        <ns0:v>contract-pair-v3</ns0:v>
      </ns0:c>
      <ns0:c r="I284" s="9" t="str">
        <ns0:v>A12</ns0:v>
      </ns0:c>
      <ns0:c r="J284" s="9" t="str">
        <ns0:v>A12::raw_basis::v1</ns0:v>
      </ns0:c>
    </ns0:row>
    <ns0:row r="285" ht="66" hidden="0" customHeight="1">
      <ns0:c r="A285" s="9" t="str">
        <ns0:v>跨品种</ns0:v>
      </ns0:c>
      <ns0:c r="B285" s="9" t="str">
        <ns0:v>合约对连续偏离事件</ns0:v>
      </ns0:c>
      <ns0:c r="C285" s="9" t="str">
        <ns0:v>未调整相对对数基差</ns0:v>
      </ns0:c>
      <ns0:c r="D285" s="9" t="str">
        <ns0:v>A=界面左腿，B=右腿，方向固定。X=10000 × ln[(F_A/S_A)/(F_B/S_B)]。</ns0:v>
      </ns0:c>
      <ns0:c r="E285" s="9" t="str">
        <ns0:v>次、倍、根及时间；只描述该对合约的连续偏离，不自动生成交易指令。</ns0:v>
      </ns0:c>
      <ns0:c r="F285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85" s="9" t="str">
        <ns0:v>contract-pair-v3</ns0:v>
      </ns0:c>
      <ns0:c r="I285" s="9" t="str">
        <ns0:v>A12</ns0:v>
      </ns0:c>
      <ns0:c r="J285" s="9" t="str">
        <ns0:v>A12::log_basis::v1</ns0:v>
      </ns0:c>
    </ns0:row>
    <ns0:row r="286" ht="79.19999694824219" hidden="0" customHeight="1">
      <ns0:c r="A286" s="9" t="str">
        <ns0:v>跨品种</ns0:v>
      </ns0:c>
      <ns0:c r="B286" s="9" t="str">
        <ns0:v>合约对连续偏离事件</ns0:v>
      </ns0:c>
      <ns0:c r="C286" s="9" t="str">
        <ns0:v>未调整相对简单年化</ns0:v>
      </ns0:c>
      <ns0:c r="D286" s="9" t="str">
        <ns0:v>A=界面左腿，B=右腿，方向固定。X=36500 × [(F_A−S_A)/(S_A T_A)−(F_B−S_B)/(S_B T_B)]，两腿T≥5。</ns0:v>
      </ns0:c>
      <ns0:c r="E286" s="9" t="str">
        <ns0:v>次、倍、根及时间；只描述该对合约的连续偏离，不自动生成交易指令。</ns0:v>
      </ns0:c>
      <ns0:c r="F286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86" s="9" t="str">
        <ns0:v>contract-pair-v3</ns0:v>
      </ns0:c>
      <ns0:c r="I286" s="9" t="str">
        <ns0:v>A12</ns0:v>
      </ns0:c>
      <ns0:c r="J286" s="9" t="str">
        <ns0:v>A12::raw_annual::v1</ns0:v>
      </ns0:c>
    </ns0:row>
    <ns0:row r="287" ht="79.19999694824219" hidden="0" customHeight="1">
      <ns0:c r="A287" s="9" t="str">
        <ns0:v>跨品种</ns0:v>
      </ns0:c>
      <ns0:c r="B287" s="9" t="str">
        <ns0:v>合约对连续偏离事件</ns0:v>
      </ns0:c>
      <ns0:c r="C287" s="9" t="str">
        <ns0:v>未调整相对对数年化</ns0:v>
      </ns0:c>
      <ns0:c r="D287" s="9" t="str">
        <ns0:v>A=界面左腿，B=右腿，方向固定。X=36500 × [ln(F_A/S_A)/T_A−ln(F_B/S_B)/T_B]，两腿T≥5。</ns0:v>
      </ns0:c>
      <ns0:c r="E287" s="9" t="str">
        <ns0:v>次、倍、根及时间；只描述该对合约的连续偏离，不自动生成交易指令。</ns0:v>
      </ns0:c>
      <ns0:c r="F287" s="9" t="str">
        <ns0:v>以X自身此前30分钟均值和标准差形成Z；同方向|Z|≥2连续3根确认，按恢复规则记录事件。 F=真实期货价，S=对应现货指数，D=该合约剩余分红点数，T=剩余自然日，V=成交量，OI=持仓量；1bp=万分之一，年化1表示1个百分点。</ns0:v>
      </ns0:c>
      <ns0:c r="G28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87" s="9" t="str">
        <ns0:v>contract-pair-v3</ns0:v>
      </ns0:c>
      <ns0:c r="I287" s="9" t="str">
        <ns0:v>A12</ns0:v>
      </ns0:c>
      <ns0:c r="J287" s="9" t="str">
        <ns0:v>A12::log_annual::v1</ns0:v>
      </ns0:c>
    </ns0:row>
    <ns0:row r="288" ht="79.19999694824219" hidden="0" customHeight="1">
      <ns0:c r="A288" s="9" t="str">
        <ns0:v>跨品种</ns0:v>
      </ns0:c>
      <ns0:c r="B288" s="9" t="str">
        <ns0:v>合约对开盘偏离与修复</ns0:v>
      </ns0:c>
      <ns0:c r="C288" s="9" t="str">
        <ns0:v>跨品种对数价比 close</ns0:v>
      </ns0:c>
      <ns0:c r="D288" s="9" t="str">
        <ns0:v>A=界面左腿，B=右腿，方向固定。X=10000 × ln(F_A/F_B)。</ns0:v>
      </ns0:c>
      <ns0:c r="E288" s="9" t="str">
        <ns0:v>gap与X同单位；repair为倍，正值表示回归，1表示恰好修复，负值表示继续偏离。</ns0:v>
      </ns0:c>
      <ns0:c r="F288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8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88" s="9" t="str">
        <ns0:v>contract-pair-v3</ns0:v>
      </ns0:c>
      <ns0:c r="I288" s="9" t="str">
        <ns0:v>B01</ns0:v>
      </ns0:c>
      <ns0:c r="J288" s="9" t="str">
        <ns0:v>B01::future::v1</ns0:v>
      </ns0:c>
    </ns0:row>
    <ns0:row r="289" ht="52.79999923706055" hidden="0" customHeight="1">
      <ns0:c r="A289" s="9" t="str">
        <ns0:v>跨品种</ns0:v>
      </ns0:c>
      <ns0:c r="B289" s="9" t="str">
        <ns0:v>合约对开盘偏离与修复</ns0:v>
      </ns0:c>
      <ns0:c r="C289" s="9" t="str">
        <ns0:v>分红调整相对基差（bp）</ns0:v>
      </ns0:c>
      <ns0:c r="D289" s="9" t="str">
        <ns0:v>A=界面左腿，B=右腿，方向固定。X=10000 × [(F_A−S_A+D_A)/S_A−(F_B−S_B+D_B)/S_B]。</ns0:v>
      </ns0:c>
      <ns0:c r="E289" s="9" t="str">
        <ns0:v>gap与X同单位；repair为倍，正值表示回归，1表示恰好修复，负值表示继续偏离。</ns0:v>
      </ns0:c>
      <ns0:c r="F289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8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89" s="9" t="str">
        <ns0:v>contract-pair-v3</ns0:v>
      </ns0:c>
      <ns0:c r="I289" s="9" t="str">
        <ns0:v>B01</ns0:v>
      </ns0:c>
      <ns0:c r="J289" s="9" t="str">
        <ns0:v>B01::basis::v1</ns0:v>
      </ns0:c>
    </ns0:row>
    <ns0:row r="290" ht="79.19999694824219" hidden="0" customHeight="1">
      <ns0:c r="A290" s="9" t="str">
        <ns0:v>跨品种</ns0:v>
      </ns0:c>
      <ns0:c r="B290" s="9" t="str">
        <ns0:v>合约对开盘偏离与修复</ns0:v>
      </ns0:c>
      <ns0:c r="C290" s="9" t="str">
        <ns0:v>分红调整相对基差年化</ns0:v>
      </ns0:c>
      <ns0:c r="D290" s="9" t="str">
        <ns0:v>A=界面左腿，B=右腿，方向固定。X=36500 × [(F_A−S_A+D_A)/(S_A T_A)−(F_B−S_B+D_B)/(S_B T_B)]，两腿T≥5。</ns0:v>
      </ns0:c>
      <ns0:c r="E290" s="9" t="str">
        <ns0:v>gap与X同单位；repair为倍，正值表示回归，1表示恰好修复，负值表示继续偏离。</ns0:v>
      </ns0:c>
      <ns0:c r="F290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90" s="9" t="str">
        <ns0:v>contract-pair-v3</ns0:v>
      </ns0:c>
      <ns0:c r="I290" s="9" t="str">
        <ns0:v>B01</ns0:v>
      </ns0:c>
      <ns0:c r="J290" s="9" t="str">
        <ns0:v>B01::annual::v1</ns0:v>
      </ns0:c>
    </ns0:row>
    <ns0:row r="291" ht="52.79999923706055" hidden="0" customHeight="1">
      <ns0:c r="A291" s="9" t="str">
        <ns0:v>跨品种</ns0:v>
      </ns0:c>
      <ns0:c r="B291" s="9" t="str">
        <ns0:v>合约对开盘偏离与修复</ns0:v>
      </ns0:c>
      <ns0:c r="C291" s="9" t="str">
        <ns0:v>未调整相对基差（bp）</ns0:v>
      </ns0:c>
      <ns0:c r="D291" s="9" t="str">
        <ns0:v>A=界面左腿，B=右腿，方向固定。X=10000 × [(F_A−S_A)/S_A−(F_B−S_B)/S_B]。</ns0:v>
      </ns0:c>
      <ns0:c r="E291" s="9" t="str">
        <ns0:v>gap与X同单位；repair为倍，正值表示回归，1表示恰好修复，负值表示继续偏离。</ns0:v>
      </ns0:c>
      <ns0:c r="F291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1" s="9" t="str">
        <ns0:v>contract-pair-v3</ns0:v>
      </ns0:c>
      <ns0:c r="I291" s="9" t="str">
        <ns0:v>B01</ns0:v>
      </ns0:c>
      <ns0:c r="J291" s="9" t="str">
        <ns0:v>B01::raw_basis::v1</ns0:v>
      </ns0:c>
    </ns0:row>
    <ns0:row r="292" ht="52.79999923706055" hidden="0" customHeight="1">
      <ns0:c r="A292" s="9" t="str">
        <ns0:v>跨品种</ns0:v>
      </ns0:c>
      <ns0:c r="B292" s="9" t="str">
        <ns0:v>合约对开盘偏离与修复</ns0:v>
      </ns0:c>
      <ns0:c r="C292" s="9" t="str">
        <ns0:v>未调整相对对数基差</ns0:v>
      </ns0:c>
      <ns0:c r="D292" s="9" t="str">
        <ns0:v>A=界面左腿，B=右腿，方向固定。X=10000 × ln[(F_A/S_A)/(F_B/S_B)]。</ns0:v>
      </ns0:c>
      <ns0:c r="E292" s="9" t="str">
        <ns0:v>gap与X同单位；repair为倍，正值表示回归，1表示恰好修复，负值表示继续偏离。</ns0:v>
      </ns0:c>
      <ns0:c r="F292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2" s="9" t="str">
        <ns0:v>contract-pair-v3</ns0:v>
      </ns0:c>
      <ns0:c r="I292" s="9" t="str">
        <ns0:v>B01</ns0:v>
      </ns0:c>
      <ns0:c r="J292" s="9" t="str">
        <ns0:v>B01::log_basis::v1</ns0:v>
      </ns0:c>
    </ns0:row>
    <ns0:row r="293" ht="79.19999694824219" hidden="0" customHeight="1">
      <ns0:c r="A293" s="9" t="str">
        <ns0:v>跨品种</ns0:v>
      </ns0:c>
      <ns0:c r="B293" s="9" t="str">
        <ns0:v>合约对开盘偏离与修复</ns0:v>
      </ns0:c>
      <ns0:c r="C293" s="9" t="str">
        <ns0:v>未调整相对简单年化</ns0:v>
      </ns0:c>
      <ns0:c r="D293" s="9" t="str">
        <ns0:v>A=界面左腿，B=右腿，方向固定。X=36500 × [(F_A−S_A)/(S_A T_A)−(F_B−S_B)/(S_B T_B)]，两腿T≥5。</ns0:v>
      </ns0:c>
      <ns0:c r="E293" s="9" t="str">
        <ns0:v>gap与X同单位；repair为倍，正值表示回归，1表示恰好修复，负值表示继续偏离。</ns0:v>
      </ns0:c>
      <ns0:c r="F293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93" s="9" t="str">
        <ns0:v>contract-pair-v3</ns0:v>
      </ns0:c>
      <ns0:c r="I293" s="9" t="str">
        <ns0:v>B01</ns0:v>
      </ns0:c>
      <ns0:c r="J293" s="9" t="str">
        <ns0:v>B01::raw_annual::v1</ns0:v>
      </ns0:c>
    </ns0:row>
    <ns0:row r="294" ht="79.19999694824219" hidden="0" customHeight="1">
      <ns0:c r="A294" s="9" t="str">
        <ns0:v>跨品种</ns0:v>
      </ns0:c>
      <ns0:c r="B294" s="9" t="str">
        <ns0:v>合约对开盘偏离与修复</ns0:v>
      </ns0:c>
      <ns0:c r="C294" s="9" t="str">
        <ns0:v>未调整相对对数年化</ns0:v>
      </ns0:c>
      <ns0:c r="D294" s="9" t="str">
        <ns0:v>A=界面左腿，B=右腿，方向固定。X=36500 × [ln(F_A/S_A)/T_A−ln(F_B/S_B)/T_B]，两腿T≥5。</ns0:v>
      </ns0:c>
      <ns0:c r="E294" s="9" t="str">
        <ns0:v>gap与X同单位；repair为倍，正值表示回归，1表示恰好修复，负值表示继续偏离。</ns0:v>
      </ns0:c>
      <ns0:c r="F294" s="9" t="str">
        <ns0:v>先形成X；比较开盘X与前收X，再衡量日内向前收方向回归的比例。 F=真实期货价，S=对应现货指数，D=该合约剩余分红点数，T=剩余自然日，V=成交量，OI=持仓量；1bp=万分之一，年化1表示1个百分点。</ns0:v>
      </ns0:c>
      <ns0:c r="G29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94" s="9" t="str">
        <ns0:v>contract-pair-v3</ns0:v>
      </ns0:c>
      <ns0:c r="I294" s="9" t="str">
        <ns0:v>B01</ns0:v>
      </ns0:c>
      <ns0:c r="J294" s="9" t="str">
        <ns0:v>B01::log_annual::v1</ns0:v>
      </ns0:c>
    </ns0:row>
    <ns0:row r="295" ht="79.19999694824219" hidden="0" customHeight="1">
      <ns0:c r="A295" s="9" t="str">
        <ns0:v>跨品种</ns0:v>
      </ns0:c>
      <ns0:c r="B295" s="9" t="str">
        <ns0:v>合约对匹配量加权中枢</ns0:v>
      </ns0:c>
      <ns0:c r="C295" s="9" t="str">
        <ns0:v>跨品种对数价比 close</ns0:v>
      </ns0:c>
      <ns0:c r="D295" s="9" t="str">
        <ns0:v>A=界面左腿，B=右腿，方向固定。X=10000 × ln(F_A/F_B)。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5" s="9" t="str">
        <ns0:v>center/gap与X同单位；gap=日终X−中枢，权重为折算A腿的匹配容量代理。</ns0:v>
      </ns0:c>
      <ns0:c r="F295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295" s="9" t="str">
        <ns0:v>contract-pair-v3</ns0:v>
      </ns0:c>
      <ns0:c r="I295" s="9" t="str">
        <ns0:v>B02</ns0:v>
      </ns0:c>
      <ns0:c r="J295" s="9" t="str">
        <ns0:v>B02::future::v1</ns0:v>
      </ns0:c>
    </ns0:row>
    <ns0:row r="296" ht="79.19999694824219" hidden="0" customHeight="1">
      <ns0:c r="A296" s="9" t="str">
        <ns0:v>跨品种</ns0:v>
      </ns0:c>
      <ns0:c r="B296" s="9" t="str">
        <ns0:v>合约对匹配量加权中枢</ns0:v>
      </ns0:c>
      <ns0:c r="C296" s="9" t="str">
        <ns0:v>分红调整相对基差（bp）</ns0:v>
      </ns0:c>
      <ns0:c r="D296" s="9" t="str">
        <ns0:v>A=界面左腿，B=右腿，方向固定。X=10000 × [(F_A−S_A+D_A)/S_A−(F_B−S_B+D_B)/S_B]。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6" s="9" t="str">
        <ns0:v>center/gap与X同单位；gap=日终X−中枢，权重为折算A腿的匹配容量代理。</ns0:v>
      </ns0:c>
      <ns0:c r="F296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6" s="9" t="str">
        <ns0:v>contract-pair-v3</ns0:v>
      </ns0:c>
      <ns0:c r="I296" s="9" t="str">
        <ns0:v>B02</ns0:v>
      </ns0:c>
      <ns0:c r="J296" s="9" t="str">
        <ns0:v>B02::basis::v1</ns0:v>
      </ns0:c>
    </ns0:row>
    <ns0:row r="297" ht="92.4000015258789" hidden="0" customHeight="1">
      <ns0:c r="A297" s="9" t="str">
        <ns0:v>跨品种</ns0:v>
      </ns0:c>
      <ns0:c r="B297" s="9" t="str">
        <ns0:v>合约对匹配量加权中枢</ns0:v>
      </ns0:c>
      <ns0:c r="C297" s="9" t="str">
        <ns0:v>分红调整相对基差年化</ns0:v>
      </ns0:c>
      <ns0:c r="D297" s="9" t="str">
        <ns0:v>A=界面左腿，B=右腿，方向固定。X=36500 × [(F_A−S_A+D_A)/(S_A T_A)−(F_B−S_B+D_B)/(S_B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7" s="9" t="str">
        <ns0:v>center/gap与X同单位；gap=日终X−中枢，权重为折算A腿的匹配容量代理。</ns0:v>
      </ns0:c>
      <ns0:c r="F297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297" s="9" t="str">
        <ns0:v>contract-pair-v3</ns0:v>
      </ns0:c>
      <ns0:c r="I297" s="9" t="str">
        <ns0:v>B02</ns0:v>
      </ns0:c>
      <ns0:c r="J297" s="9" t="str">
        <ns0:v>B02::annual::v1</ns0:v>
      </ns0:c>
    </ns0:row>
    <ns0:row r="298" ht="79.19999694824219" hidden="0" customHeight="1">
      <ns0:c r="A298" s="9" t="str">
        <ns0:v>跨品种</ns0:v>
      </ns0:c>
      <ns0:c r="B298" s="9" t="str">
        <ns0:v>合约对匹配量加权中枢</ns0:v>
      </ns0:c>
      <ns0:c r="C298" s="9" t="str">
        <ns0:v>未调整相对基差（bp）</ns0:v>
      </ns0:c>
      <ns0:c r="D298" s="9" t="str">
        <ns0:v>A=界面左腿，B=右腿，方向固定。X=10000 × [(F_A−S_A)/S_A−(F_B−S_B)/S_B]。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8" s="9" t="str">
        <ns0:v>center/gap与X同单位；gap=日终X−中枢，权重为折算A腿的匹配容量代理。</ns0:v>
      </ns0:c>
      <ns0:c r="F298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8" s="9" t="str">
        <ns0:v>contract-pair-v3</ns0:v>
      </ns0:c>
      <ns0:c r="I298" s="9" t="str">
        <ns0:v>B02</ns0:v>
      </ns0:c>
      <ns0:c r="J298" s="9" t="str">
        <ns0:v>B02::raw_basis::v1</ns0:v>
      </ns0:c>
    </ns0:row>
    <ns0:row r="299" ht="79.19999694824219" hidden="0" customHeight="1">
      <ns0:c r="A299" s="9" t="str">
        <ns0:v>跨品种</ns0:v>
      </ns0:c>
      <ns0:c r="B299" s="9" t="str">
        <ns0:v>合约对匹配量加权中枢</ns0:v>
      </ns0:c>
      <ns0:c r="C299" s="9" t="str">
        <ns0:v>未调整相对对数基差</ns0:v>
      </ns0:c>
      <ns0:c r="D299" s="9" t="str">
        <ns0:v>A=界面左腿，B=右腿，方向固定。X=10000 × ln[(F_A/S_A)/(F_B/S_B)]。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299" s="9" t="str">
        <ns0:v>center/gap与X同单位；gap=日终X−中枢，权重为折算A腿的匹配容量代理。</ns0:v>
      </ns0:c>
      <ns0:c r="F299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29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299" s="9" t="str">
        <ns0:v>contract-pair-v3</ns0:v>
      </ns0:c>
      <ns0:c r="I299" s="9" t="str">
        <ns0:v>B02</ns0:v>
      </ns0:c>
      <ns0:c r="J299" s="9" t="str">
        <ns0:v>B02::log_basis::v1</ns0:v>
      </ns0:c>
    </ns0:row>
    <ns0:row r="300" ht="79.19999694824219" hidden="0" customHeight="1">
      <ns0:c r="A300" s="9" t="str">
        <ns0:v>跨品种</ns0:v>
      </ns0:c>
      <ns0:c r="B300" s="9" t="str">
        <ns0:v>合约对匹配量加权中枢</ns0:v>
      </ns0:c>
      <ns0:c r="C300" s="9" t="str">
        <ns0:v>未调整相对简单年化</ns0:v>
      </ns0:c>
      <ns0:c r="D300" s="9" t="str">
        <ns0:v>A=界面左腿，B=右腿，方向固定。X=36500 × [(F_A−S_A)/(S_A T_A)−(F_B−S_B)/(S_B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0" s="9" t="str">
        <ns0:v>center/gap与X同单位；gap=日终X−中枢，权重为折算A腿的匹配容量代理。</ns0:v>
      </ns0:c>
      <ns0:c r="F300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30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0" s="9" t="str">
        <ns0:v>contract-pair-v3</ns0:v>
      </ns0:c>
      <ns0:c r="I300" s="9" t="str">
        <ns0:v>B02</ns0:v>
      </ns0:c>
      <ns0:c r="J300" s="9" t="str">
        <ns0:v>B02::raw_annual::v1</ns0:v>
      </ns0:c>
    </ns0:row>
    <ns0:row r="301" ht="79.19999694824219" hidden="0" customHeight="1">
      <ns0:c r="A301" s="9" t="str">
        <ns0:v>跨品种</ns0:v>
      </ns0:c>
      <ns0:c r="B301" s="9" t="str">
        <ns0:v>合约对匹配量加权中枢</ns0:v>
      </ns0:c>
      <ns0:c r="C301" s="9" t="str">
        <ns0:v>未调整相对对数年化</ns0:v>
      </ns0:c>
      <ns0:c r="D301" s="9" t="str">
        <ns0:v>A=界面左腿，B=右腿，方向固定。X=36500 × [ln(F_A/S_A)/T_A−ln(F_B/S_B)/T_B]，两腿T≥5。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1" s="9" t="str">
        <ns0:v>center/gap与X同单位；gap=日终X−中枢，权重为折算A腿的匹配容量代理。</ns0:v>
      </ns0:c>
      <ns0:c r="F301" s="9" t="str">
        <ns0:v>逐分钟先形成同刻X，再以min(V_A,m,V_B,m/h)加权；日终需完整240个同步分钟。 F=真实期货价，S=对应现货指数，D=该合约剩余分红点数，T=剩余自然日，V=成交量，OI=持仓量；1bp=万分之一，年化1表示1个百分点。</ns0:v>
      </ns0:c>
      <ns0:c r="G30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1" s="9" t="str">
        <ns0:v>contract-pair-v3</ns0:v>
      </ns0:c>
      <ns0:c r="I301" s="9" t="str">
        <ns0:v>B02</ns0:v>
      </ns0:c>
      <ns0:c r="J301" s="9" t="str">
        <ns0:v>B02::log_annual::v1</ns0:v>
      </ns0:c>
    </ns0:row>
    <ns0:row r="302" ht="79.19999694824219" hidden="0" customHeight="1">
      <ns0:c r="A302" s="9" t="str">
        <ns0:v>跨品种</ns0:v>
      </ns0:c>
      <ns0:c r="B302" s="9" t="str">
        <ns0:v>合约对共同增仓加权漂移</ns0:v>
      </ns0:c>
      <ns0:c r="C302" s="9" t="str">
        <ns0:v>跨品种对数价比 close</ns0:v>
      </ns0:c>
      <ns0:c r="D302" s="9" t="str">
        <ns0:v>A=界面左腿，B=右腿，方向固定。X=10000 × ln(F_A/F_B)。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2" s="9" t="str">
        <ns0:v>与X同单位；正值表示双腿共同增仓时X倾向扩大；一腿独增仓不产生共同权重。</ns0:v>
      </ns0:c>
      <ns0:c r="F302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302" s="9" t="str">
        <ns0:v>contract-pair-v3</ns0:v>
      </ns0:c>
      <ns0:c r="I302" s="9" t="str">
        <ns0:v>B03</ns0:v>
      </ns0:c>
      <ns0:c r="J302" s="9" t="str">
        <ns0:v>B03::future::v1</ns0:v>
      </ns0:c>
    </ns0:row>
    <ns0:row r="303" ht="79.19999694824219" hidden="0" customHeight="1">
      <ns0:c r="A303" s="9" t="str">
        <ns0:v>跨品种</ns0:v>
      </ns0:c>
      <ns0:c r="B303" s="9" t="str">
        <ns0:v>合约对共同增仓加权漂移</ns0:v>
      </ns0:c>
      <ns0:c r="C303" s="9" t="str">
        <ns0:v>分红调整相对基差（bp）</ns0:v>
      </ns0:c>
      <ns0:c r="D303" s="9" t="str">
        <ns0:v>A=界面左腿，B=右腿，方向固定。X=10000 × [(F_A−S_A+D_A)/S_A−(F_B−S_B+D_B)/S_B]。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3" s="9" t="str">
        <ns0:v>与X同单位；正值表示双腿共同增仓时X倾向扩大；一腿独增仓不产生共同权重。</ns0:v>
      </ns0:c>
      <ns0:c r="F303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03" s="9" t="str">
        <ns0:v>contract-pair-v3</ns0:v>
      </ns0:c>
      <ns0:c r="I303" s="9" t="str">
        <ns0:v>B03</ns0:v>
      </ns0:c>
      <ns0:c r="J303" s="9" t="str">
        <ns0:v>B03::basis::v1</ns0:v>
      </ns0:c>
    </ns0:row>
    <ns0:row r="304" ht="92.4000015258789" hidden="0" customHeight="1">
      <ns0:c r="A304" s="9" t="str">
        <ns0:v>跨品种</ns0:v>
      </ns0:c>
      <ns0:c r="B304" s="9" t="str">
        <ns0:v>合约对共同增仓加权漂移</ns0:v>
      </ns0:c>
      <ns0:c r="C304" s="9" t="str">
        <ns0:v>分红调整相对基差年化</ns0:v>
      </ns0:c>
      <ns0:c r="D304" s="9" t="str">
        <ns0:v>A=界面左腿，B=右腿，方向固定。X=36500 × [(F_A−S_A+D_A)/(S_A T_A)−(F_B−S_B+D_B)/(S_B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4" s="9" t="str">
        <ns0:v>与X同单位；正值表示双腿共同增仓时X倾向扩大；一腿独增仓不产生共同权重。</ns0:v>
      </ns0:c>
      <ns0:c r="F304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4" s="9" t="str">
        <ns0:v>contract-pair-v3</ns0:v>
      </ns0:c>
      <ns0:c r="I304" s="9" t="str">
        <ns0:v>B03</ns0:v>
      </ns0:c>
      <ns0:c r="J304" s="9" t="str">
        <ns0:v>B03::annual::v1</ns0:v>
      </ns0:c>
    </ns0:row>
    <ns0:row r="305" ht="79.19999694824219" hidden="0" customHeight="1">
      <ns0:c r="A305" s="9" t="str">
        <ns0:v>跨品种</ns0:v>
      </ns0:c>
      <ns0:c r="B305" s="9" t="str">
        <ns0:v>合约对共同增仓加权漂移</ns0:v>
      </ns0:c>
      <ns0:c r="C305" s="9" t="str">
        <ns0:v>未调整相对基差（bp）</ns0:v>
      </ns0:c>
      <ns0:c r="D305" s="9" t="str">
        <ns0:v>A=界面左腿，B=右腿，方向固定。X=10000 × [(F_A−S_A)/S_A−(F_B−S_B)/S_B]。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5" s="9" t="str">
        <ns0:v>与X同单位；正值表示双腿共同增仓时X倾向扩大；一腿独增仓不产生共同权重。</ns0:v>
      </ns0:c>
      <ns0:c r="F305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05" s="9" t="str">
        <ns0:v>contract-pair-v3</ns0:v>
      </ns0:c>
      <ns0:c r="I305" s="9" t="str">
        <ns0:v>B03</ns0:v>
      </ns0:c>
      <ns0:c r="J305" s="9" t="str">
        <ns0:v>B03::raw_basis::v1</ns0:v>
      </ns0:c>
    </ns0:row>
    <ns0:row r="306" ht="79.19999694824219" hidden="0" customHeight="1">
      <ns0:c r="A306" s="9" t="str">
        <ns0:v>跨品种</ns0:v>
      </ns0:c>
      <ns0:c r="B306" s="9" t="str">
        <ns0:v>合约对共同增仓加权漂移</ns0:v>
      </ns0:c>
      <ns0:c r="C306" s="9" t="str">
        <ns0:v>未调整相对对数基差</ns0:v>
      </ns0:c>
      <ns0:c r="D306" s="9" t="str">
        <ns0:v>A=界面左腿，B=右腿，方向固定。X=10000 × ln[(F_A/S_A)/(F_B/S_B)]。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6" s="9" t="str">
        <ns0:v>与X同单位；正值表示双腿共同增仓时X倾向扩大；一腿独增仓不产生共同权重。</ns0:v>
      </ns0:c>
      <ns0:c r="F306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06" s="9" t="str">
        <ns0:v>contract-pair-v3</ns0:v>
      </ns0:c>
      <ns0:c r="I306" s="9" t="str">
        <ns0:v>B03</ns0:v>
      </ns0:c>
      <ns0:c r="J306" s="9" t="str">
        <ns0:v>B03::log_basis::v1</ns0:v>
      </ns0:c>
    </ns0:row>
    <ns0:row r="307" ht="79.19999694824219" hidden="0" customHeight="1">
      <ns0:c r="A307" s="9" t="str">
        <ns0:v>跨品种</ns0:v>
      </ns0:c>
      <ns0:c r="B307" s="9" t="str">
        <ns0:v>合约对共同增仓加权漂移</ns0:v>
      </ns0:c>
      <ns0:c r="C307" s="9" t="str">
        <ns0:v>未调整相对简单年化</ns0:v>
      </ns0:c>
      <ns0:c r="D307" s="9" t="str">
        <ns0:v>A=界面左腿，B=右腿，方向固定。X=36500 × [(F_A−S_A)/(S_A T_A)−(F_B−S_B)/(S_B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7" s="9" t="str">
        <ns0:v>与X同单位；正值表示双腿共同增仓时X倾向扩大；一腿独增仓不产生共同权重。</ns0:v>
      </ns0:c>
      <ns0:c r="F307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7" s="9" t="str">
        <ns0:v>contract-pair-v3</ns0:v>
      </ns0:c>
      <ns0:c r="I307" s="9" t="str">
        <ns0:v>B03</ns0:v>
      </ns0:c>
      <ns0:c r="J307" s="9" t="str">
        <ns0:v>B03::raw_annual::v1</ns0:v>
      </ns0:c>
    </ns0:row>
    <ns0:row r="308" ht="79.19999694824219" hidden="0" customHeight="1">
      <ns0:c r="A308" s="9" t="str">
        <ns0:v>跨品种</ns0:v>
      </ns0:c>
      <ns0:c r="B308" s="9" t="str">
        <ns0:v>合约对共同增仓加权漂移</ns0:v>
      </ns0:c>
      <ns0:c r="C308" s="9" t="str">
        <ns0:v>未调整相对对数年化</ns0:v>
      </ns0:c>
      <ns0:c r="D308" s="9" t="str">
        <ns0:v>A=界面左腿，B=右腿，方向固定。X=36500 × [ln(F_A/S_A)/T_A−ln(F_B/S_B)/T_B]，两腿T≥5。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8" s="9" t="str">
        <ns0:v>与X同单位；正值表示双腿共同增仓时X倾向扩大；一腿独增仓不产生共同权重。</ns0:v>
      </ns0:c>
      <ns0:c r="F308" s="9" t="str">
        <ns0:v>每期先计算ΔX，再以W+=min(max(ΔOI_A,0),max(ΔOI_B,0)/h)加权，汇总连续5期。 F=真实期货价，S=对应现货指数，D=该合约剩余分红点数，T=剩余自然日，V=成交量，OI=持仓量；1bp=万分之一，年化1表示1个百分点。</ns0:v>
      </ns0:c>
      <ns0:c r="G30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08" s="9" t="str">
        <ns0:v>contract-pair-v3</ns0:v>
      </ns0:c>
      <ns0:c r="I308" s="9" t="str">
        <ns0:v>B03</ns0:v>
      </ns0:c>
      <ns0:c r="J308" s="9" t="str">
        <ns0:v>B03::log_annual::v1</ns0:v>
      </ns0:c>
    </ns0:row>
    <ns0:row r="309" ht="79.19999694824219" hidden="0" customHeight="1">
      <ns0:c r="A309" s="9" t="str">
        <ns0:v>跨品种</ns0:v>
      </ns0:c>
      <ns0:c r="B309" s="9" t="str">
        <ns0:v>合约对匹配换手与增仓</ns0:v>
      </ns0:c>
      <ns0:c r="C309" s="9" t="str">
        <ns0:v>固定口径（不随 X 改变）</ns0:v>
      </ns0:c>
      <ns0:c r="D309" s="9" t="str">
        <ns0:v>A=界面左腿，B=右腿，方向固定。Q=V配/OI配前；ΔOI配使用同一个h比较今日与昨日；K=100ΔOI配/V配。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09" s="9" t="str">
        <ns0:v>Q为倍，K为%，ΔOI配为A腿折算手数；不是只显示A腿换手。</ns0:v>
      </ns0:c>
      <ns0:c r="F309" s="9" t="str">
        <ns0:v>Q=V配/OI配前；ΔOI配使用同一个h比较今日与昨日；K=100ΔOI配/V配。 F=真实期货价，S=对应现货指数，D=该合约剩余分红点数，T=剩余自然日，V=成交量，OI=持仓量；1bp=万分之一，年化1表示1个百分点。</ns0:v>
      </ns0:c>
      <ns0:c r="G30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09" s="9" t="str">
        <ns0:v>contract-pair-v3</ns0:v>
      </ns0:c>
      <ns0:c r="I309" s="9" t="str">
        <ns0:v>B04</ns0:v>
      </ns0:c>
      <ns0:c r="J309" s="9" t="str">
        <ns0:v>B04::fixed::v1</ns0:v>
      </ns0:c>
    </ns0:row>
    <ns0:row r="310" ht="79.19999694824219" hidden="0" customHeight="1">
      <ns0:c r="A310" s="9" t="str">
        <ns0:v>跨品种</ns0:v>
      </ns0:c>
      <ns0:c r="B310" s="9" t="str">
        <ns0:v>合约对收盘位置</ns0:v>
      </ns0:c>
      <ns0:c r="C310" s="9" t="str">
        <ns0:v>跨品种对数价比 close</ns0:v>
      </ns0:c>
      <ns0:c r="D310" s="9" t="str">
        <ns0:v>A=界面左腿，B=右腿，方向固定。X=10000 × ln(F_A/F_B)。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0" s="9" t="str">
        <ns0:v>−1到1；1在合约对当日最高点，−1在最低点；高低相等时留空。</ns0:v>
      </ns0:c>
      <ns0:c r="F310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310" s="9" t="str">
        <ns0:v>contract-pair-v3</ns0:v>
      </ns0:c>
      <ns0:c r="I310" s="9" t="str">
        <ns0:v>B07</ns0:v>
      </ns0:c>
      <ns0:c r="J310" s="9" t="str">
        <ns0:v>B07::future::v1</ns0:v>
      </ns0:c>
    </ns0:row>
    <ns0:row r="311" ht="79.19999694824219" hidden="0" customHeight="1">
      <ns0:c r="A311" s="9" t="str">
        <ns0:v>跨品种</ns0:v>
      </ns0:c>
      <ns0:c r="B311" s="9" t="str">
        <ns0:v>合约对收盘位置</ns0:v>
      </ns0:c>
      <ns0:c r="C311" s="9" t="str">
        <ns0:v>分红调整相对基差（bp）</ns0:v>
      </ns0:c>
      <ns0:c r="D311" s="9" t="str">
        <ns0:v>A=界面左腿，B=右腿，方向固定。X=10000 × [(F_A−S_A+D_A)/S_A−(F_B−S_B+D_B)/S_B]。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1" s="9" t="str">
        <ns0:v>−1到1；1在合约对当日最高点，−1在最低点；高低相等时留空。</ns0:v>
      </ns0:c>
      <ns0:c r="F311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11" s="9" t="str">
        <ns0:v>contract-pair-v3</ns0:v>
      </ns0:c>
      <ns0:c r="I311" s="9" t="str">
        <ns0:v>B07</ns0:v>
      </ns0:c>
      <ns0:c r="J311" s="9" t="str">
        <ns0:v>B07::basis::v1</ns0:v>
      </ns0:c>
    </ns0:row>
    <ns0:row r="312" ht="92.4000015258789" hidden="0" customHeight="1">
      <ns0:c r="A312" s="9" t="str">
        <ns0:v>跨品种</ns0:v>
      </ns0:c>
      <ns0:c r="B312" s="9" t="str">
        <ns0:v>合约对收盘位置</ns0:v>
      </ns0:c>
      <ns0:c r="C312" s="9" t="str">
        <ns0:v>分红调整相对基差年化</ns0:v>
      </ns0:c>
      <ns0:c r="D312" s="9" t="str">
        <ns0:v>A=界面左腿，B=右腿，方向固定。X=36500 × [(F_A−S_A+D_A)/(S_A T_A)−(F_B−S_B+D_B)/(S_B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2" s="9" t="str">
        <ns0:v>−1到1；1在合约对当日最高点，−1在最低点；高低相等时留空。</ns0:v>
      </ns0:c>
      <ns0:c r="F312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12" s="9" t="str">
        <ns0:v>contract-pair-v3</ns0:v>
      </ns0:c>
      <ns0:c r="I312" s="9" t="str">
        <ns0:v>B07</ns0:v>
      </ns0:c>
      <ns0:c r="J312" s="9" t="str">
        <ns0:v>B07::annual::v1</ns0:v>
      </ns0:c>
    </ns0:row>
    <ns0:row r="313" ht="79.19999694824219" hidden="0" customHeight="1">
      <ns0:c r="A313" s="9" t="str">
        <ns0:v>跨品种</ns0:v>
      </ns0:c>
      <ns0:c r="B313" s="9" t="str">
        <ns0:v>合约对收盘位置</ns0:v>
      </ns0:c>
      <ns0:c r="C313" s="9" t="str">
        <ns0:v>未调整相对基差（bp）</ns0:v>
      </ns0:c>
      <ns0:c r="D313" s="9" t="str">
        <ns0:v>A=界面左腿，B=右腿，方向固定。X=10000 × [(F_A−S_A)/S_A−(F_B−S_B)/S_B]。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3" s="9" t="str">
        <ns0:v>−1到1；1在合约对当日最高点，−1在最低点；高低相等时留空。</ns0:v>
      </ns0:c>
      <ns0:c r="F313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13" s="9" t="str">
        <ns0:v>contract-pair-v3</ns0:v>
      </ns0:c>
      <ns0:c r="I313" s="9" t="str">
        <ns0:v>B07</ns0:v>
      </ns0:c>
      <ns0:c r="J313" s="9" t="str">
        <ns0:v>B07::raw_basis::v1</ns0:v>
      </ns0:c>
    </ns0:row>
    <ns0:row r="314" ht="79.19999694824219" hidden="0" customHeight="1">
      <ns0:c r="A314" s="9" t="str">
        <ns0:v>跨品种</ns0:v>
      </ns0:c>
      <ns0:c r="B314" s="9" t="str">
        <ns0:v>合约对收盘位置</ns0:v>
      </ns0:c>
      <ns0:c r="C314" s="9" t="str">
        <ns0:v>未调整相对对数基差</ns0:v>
      </ns0:c>
      <ns0:c r="D314" s="9" t="str">
        <ns0:v>A=界面左腿，B=右腿，方向固定。X=10000 × ln[(F_A/S_A)/(F_B/S_B)]。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4" s="9" t="str">
        <ns0:v>−1到1；1在合约对当日最高点，−1在最低点；高低相等时留空。</ns0:v>
      </ns0:c>
      <ns0:c r="F314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14" s="9" t="str">
        <ns0:v>contract-pair-v3</ns0:v>
      </ns0:c>
      <ns0:c r="I314" s="9" t="str">
        <ns0:v>B07</ns0:v>
      </ns0:c>
      <ns0:c r="J314" s="9" t="str">
        <ns0:v>B07::log_basis::v1</ns0:v>
      </ns0:c>
    </ns0:row>
    <ns0:row r="315" ht="79.19999694824219" hidden="0" customHeight="1">
      <ns0:c r="A315" s="9" t="str">
        <ns0:v>跨品种</ns0:v>
      </ns0:c>
      <ns0:c r="B315" s="9" t="str">
        <ns0:v>合约对收盘位置</ns0:v>
      </ns0:c>
      <ns0:c r="C315" s="9" t="str">
        <ns0:v>未调整相对简单年化</ns0:v>
      </ns0:c>
      <ns0:c r="D315" s="9" t="str">
        <ns0:v>A=界面左腿，B=右腿，方向固定。X=36500 × [(F_A−S_A)/(S_A T_A)−(F_B−S_B)/(S_B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5" s="9" t="str">
        <ns0:v>−1到1；1在合约对当日最高点，−1在最低点；高低相等时留空。</ns0:v>
      </ns0:c>
      <ns0:c r="F315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15" s="9" t="str">
        <ns0:v>contract-pair-v3</ns0:v>
      </ns0:c>
      <ns0:c r="I315" s="9" t="str">
        <ns0:v>B07</ns0:v>
      </ns0:c>
      <ns0:c r="J315" s="9" t="str">
        <ns0:v>B07::raw_annual::v1</ns0:v>
      </ns0:c>
    </ns0:row>
    <ns0:row r="316" ht="79.19999694824219" hidden="0" customHeight="1">
      <ns0:c r="A316" s="9" t="str">
        <ns0:v>跨品种</ns0:v>
      </ns0:c>
      <ns0:c r="B316" s="9" t="str">
        <ns0:v>合约对收盘位置</ns0:v>
      </ns0:c>
      <ns0:c r="C316" s="9" t="str">
        <ns0:v>未调整相对对数年化</ns0:v>
      </ns0:c>
      <ns0:c r="D316" s="9" t="str">
        <ns0:v>A=界面左腿，B=右腿，方向固定。X=36500 × [ln(F_A/S_A)/T_A−ln(F_B/S_B)/T_B]，两腿T≥5。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6" s="9" t="str">
        <ns0:v>−1到1；1在合约对当日最高点，−1在最低点；高低相等时留空。</ns0:v>
      </ns0:c>
      <ns0:c r="F316" s="9" t="str">
        <ns0:v>先从完整同刻分钟X形成合约对自己的开高低收，再算(2C−H−L)/(H−L)。 F=真实期货价，S=对应现货指数，D=该合约剩余分红点数，T=剩余自然日，V=成交量，OI=持仓量；1bp=万分之一，年化1表示1个百分点。</ns0:v>
      </ns0:c>
      <ns0:c r="G31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16" s="9" t="str">
        <ns0:v>contract-pair-v3</ns0:v>
      </ns0:c>
      <ns0:c r="I316" s="9" t="str">
        <ns0:v>B07</ns0:v>
      </ns0:c>
      <ns0:c r="J316" s="9" t="str">
        <ns0:v>B07::log_annual::v1</ns0:v>
      </ns0:c>
    </ns0:row>
    <ns0:row r="317" ht="79.19999694824219" hidden="0" customHeight="1">
      <ns0:c r="A317" s="9" t="str">
        <ns0:v>跨品种</ns0:v>
      </ns0:c>
      <ns0:c r="B317" s="9" t="str">
        <ns0:v>合约对匹配持仓扩张</ns0:v>
      </ns0:c>
      <ns0:c r="C317" s="9" t="str">
        <ns0:v>固定口径（不随 X 改变）</ns0:v>
      </ns0:c>
      <ns0:c r="D317" s="9" t="str">
        <ns0:v>A=界面左腿，B=右腿，方向固定。用当期前一完整交易日h固定两端，比较当前与五期前min(OI_A,OI_B/h)的对数增长。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7" s="9" t="str">
        <ns0:v>对数增长百分点；正值表示这对具体合约的匹配持仓容量扩大。原固定品种集合增长仅作辅助。</ns0:v>
      </ns0:c>
      <ns0:c r="F317" s="9" t="str">
        <ns0:v>用当期前一完整交易日h固定两端，比较当前与五期前min(OI_A,OI_B/h)的对数增长。 F=真实期货价，S=对应现货指数，D=该合约剩余分红点数，T=剩余自然日，V=成交量，OI=持仓量；1bp=万分之一，年化1表示1个百分点。</ns0:v>
      </ns0:c>
      <ns0:c r="G31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17" s="9" t="str">
        <ns0:v>contract-pair-v3</ns0:v>
      </ns0:c>
      <ns0:c r="I317" s="9" t="str">
        <ns0:v>B08</ns0:v>
      </ns0:c>
      <ns0:c r="J317" s="9" t="str">
        <ns0:v>B08::fixed::v1</ns0:v>
      </ns0:c>
    </ns0:row>
    <ns0:row r="318" ht="79.19999694824219" hidden="0" customHeight="1">
      <ns0:c r="A318" s="9" t="str">
        <ns0:v>跨品种</ns0:v>
      </ns0:c>
      <ns0:c r="B318" s="9" t="str">
        <ns0:v>合约对成交活跃度</ns0:v>
      </ns0:c>
      <ns0:c r="C318" s="9" t="str">
        <ns0:v>固定口径（不随 X 改变）</ns0:v>
      </ns0:c>
      <ns0:c r="D318" s="9" t="str">
        <ns0:v>A=界面左腿，B=右腿，方向固定。以V配除以自身此前20个完整交易日V配的中位数，当前日不进入基准。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18" s="9" t="str">
        <ns0:v>倍；1为自身历史典型水平，2为两倍；两腿同时放量也能反映为活跃。</ns0:v>
      </ns0:c>
      <ns0:c r="F318" s="9" t="str">
        <ns0:v>以V配除以自身此前20个完整交易日V配的中位数，当前日不进入基准。 F=真实期货价，S=对应现货指数，D=该合约剩余分红点数，T=剩余自然日，V=成交量，OI=持仓量；1bp=万分之一，年化1表示1个百分点。</ns0:v>
      </ns0:c>
      <ns0:c r="G31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18" s="9" t="str">
        <ns0:v>contract-pair-v3</ns0:v>
      </ns0:c>
      <ns0:c r="I318" s="9" t="str">
        <ns0:v>B09</ns0:v>
      </ns0:c>
      <ns0:c r="J318" s="9" t="str">
        <ns0:v>B09::fixed::v1</ns0:v>
      </ns0:c>
    </ns0:row>
    <ns0:row r="319" ht="79.19999694824219" hidden="0" customHeight="1">
      <ns0:c r="A319" s="9" t="str">
        <ns0:v>跨品种</ns0:v>
      </ns0:c>
      <ns0:c r="B319" s="9" t="str">
        <ns0:v>合约对路径效率</ns0:v>
      </ns0:c>
      <ns0:c r="C319" s="9" t="str">
        <ns0:v>跨品种对数价比 close</ns0:v>
      </ns0:c>
      <ns0:c r="D319" s="9" t="str">
        <ns0:v>A=界面左腿，B=右腿，方向固定。X=10000 × ln(F_A/F_B)。</ns0:v>
      </ns0:c>
      <ns0:c r="E319" s="9" t="str">
        <ns0:v>−1到1；绝对值越大表示路径越单向，符号表示X变化方向；路径为0时留空。</ns0:v>
      </ns0:c>
      <ns0:c r="F319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1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319" s="9" t="str">
        <ns0:v>contract-pair-v3</ns0:v>
      </ns0:c>
      <ns0:c r="I319" s="9" t="str">
        <ns0:v>B10</ns0:v>
      </ns0:c>
      <ns0:c r="J319" s="9" t="str">
        <ns0:v>B10::future::v1</ns0:v>
      </ns0:c>
    </ns0:row>
    <ns0:row r="320" ht="52.79999923706055" hidden="0" customHeight="1">
      <ns0:c r="A320" s="9" t="str">
        <ns0:v>跨品种</ns0:v>
      </ns0:c>
      <ns0:c r="B320" s="9" t="str">
        <ns0:v>合约对路径效率</ns0:v>
      </ns0:c>
      <ns0:c r="C320" s="9" t="str">
        <ns0:v>分红调整相对基差（bp）</ns0:v>
      </ns0:c>
      <ns0:c r="D320" s="9" t="str">
        <ns0:v>A=界面左腿，B=右腿，方向固定。X=10000 × [(F_A−S_A+D_A)/S_A−(F_B−S_B+D_B)/S_B]。</ns0:v>
      </ns0:c>
      <ns0:c r="E320" s="9" t="str">
        <ns0:v>−1到1；绝对值越大表示路径越单向，符号表示X变化方向；路径为0时留空。</ns0:v>
      </ns0:c>
      <ns0:c r="F320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20" s="9" t="str">
        <ns0:v>contract-pair-v3</ns0:v>
      </ns0:c>
      <ns0:c r="I320" s="9" t="str">
        <ns0:v>B10</ns0:v>
      </ns0:c>
      <ns0:c r="J320" s="9" t="str">
        <ns0:v>B10::basis::v1</ns0:v>
      </ns0:c>
    </ns0:row>
    <ns0:row r="321" ht="79.19999694824219" hidden="0" customHeight="1">
      <ns0:c r="A321" s="9" t="str">
        <ns0:v>跨品种</ns0:v>
      </ns0:c>
      <ns0:c r="B321" s="9" t="str">
        <ns0:v>合约对路径效率</ns0:v>
      </ns0:c>
      <ns0:c r="C321" s="9" t="str">
        <ns0:v>分红调整相对基差年化</ns0:v>
      </ns0:c>
      <ns0:c r="D321" s="9" t="str">
        <ns0:v>A=界面左腿，B=右腿，方向固定。X=36500 × [(F_A−S_A+D_A)/(S_A T_A)−(F_B−S_B+D_B)/(S_B T_B)]，两腿T≥5。</ns0:v>
      </ns0:c>
      <ns0:c r="E321" s="9" t="str">
        <ns0:v>−1到1；绝对值越大表示路径越单向，符号表示X变化方向；路径为0时留空。</ns0:v>
      </ns0:c>
      <ns0:c r="F321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21" s="9" t="str">
        <ns0:v>contract-pair-v3</ns0:v>
      </ns0:c>
      <ns0:c r="I321" s="9" t="str">
        <ns0:v>B10</ns0:v>
      </ns0:c>
      <ns0:c r="J321" s="9" t="str">
        <ns0:v>B10::annual::v1</ns0:v>
      </ns0:c>
    </ns0:row>
    <ns0:row r="322" ht="52.79999923706055" hidden="0" customHeight="1">
      <ns0:c r="A322" s="9" t="str">
        <ns0:v>跨品种</ns0:v>
      </ns0:c>
      <ns0:c r="B322" s="9" t="str">
        <ns0:v>合约对路径效率</ns0:v>
      </ns0:c>
      <ns0:c r="C322" s="9" t="str">
        <ns0:v>未调整相对基差（bp）</ns0:v>
      </ns0:c>
      <ns0:c r="D322" s="9" t="str">
        <ns0:v>A=界面左腿，B=右腿，方向固定。X=10000 × [(F_A−S_A)/S_A−(F_B−S_B)/S_B]。</ns0:v>
      </ns0:c>
      <ns0:c r="E322" s="9" t="str">
        <ns0:v>−1到1；绝对值越大表示路径越单向，符号表示X变化方向；路径为0时留空。</ns0:v>
      </ns0:c>
      <ns0:c r="F322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22" s="9" t="str">
        <ns0:v>contract-pair-v3</ns0:v>
      </ns0:c>
      <ns0:c r="I322" s="9" t="str">
        <ns0:v>B10</ns0:v>
      </ns0:c>
      <ns0:c r="J322" s="9" t="str">
        <ns0:v>B10::raw_basis::v1</ns0:v>
      </ns0:c>
    </ns0:row>
    <ns0:row r="323" ht="52.79999923706055" hidden="0" customHeight="1">
      <ns0:c r="A323" s="9" t="str">
        <ns0:v>跨品种</ns0:v>
      </ns0:c>
      <ns0:c r="B323" s="9" t="str">
        <ns0:v>合约对路径效率</ns0:v>
      </ns0:c>
      <ns0:c r="C323" s="9" t="str">
        <ns0:v>未调整相对对数基差</ns0:v>
      </ns0:c>
      <ns0:c r="D323" s="9" t="str">
        <ns0:v>A=界面左腿，B=右腿，方向固定。X=10000 × ln[(F_A/S_A)/(F_B/S_B)]。</ns0:v>
      </ns0:c>
      <ns0:c r="E323" s="9" t="str">
        <ns0:v>−1到1；绝对值越大表示路径越单向，符号表示X变化方向；路径为0时留空。</ns0:v>
      </ns0:c>
      <ns0:c r="F323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23" s="9" t="str">
        <ns0:v>contract-pair-v3</ns0:v>
      </ns0:c>
      <ns0:c r="I323" s="9" t="str">
        <ns0:v>B10</ns0:v>
      </ns0:c>
      <ns0:c r="J323" s="9" t="str">
        <ns0:v>B10::log_basis::v1</ns0:v>
      </ns0:c>
    </ns0:row>
    <ns0:row r="324" ht="79.19999694824219" hidden="0" customHeight="1">
      <ns0:c r="A324" s="9" t="str">
        <ns0:v>跨品种</ns0:v>
      </ns0:c>
      <ns0:c r="B324" s="9" t="str">
        <ns0:v>合约对路径效率</ns0:v>
      </ns0:c>
      <ns0:c r="C324" s="9" t="str">
        <ns0:v>未调整相对简单年化</ns0:v>
      </ns0:c>
      <ns0:c r="D324" s="9" t="str">
        <ns0:v>A=界面左腿，B=右腿，方向固定。X=36500 × [(F_A−S_A)/(S_A T_A)−(F_B−S_B)/(S_B T_B)]，两腿T≥5。</ns0:v>
      </ns0:c>
      <ns0:c r="E324" s="9" t="str">
        <ns0:v>−1到1；绝对值越大表示路径越单向，符号表示X变化方向；路径为0时留空。</ns0:v>
      </ns0:c>
      <ns0:c r="F324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4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24" s="9" t="str">
        <ns0:v>contract-pair-v3</ns0:v>
      </ns0:c>
      <ns0:c r="I324" s="9" t="str">
        <ns0:v>B10</ns0:v>
      </ns0:c>
      <ns0:c r="J324" s="9" t="str">
        <ns0:v>B10::raw_annual::v1</ns0:v>
      </ns0:c>
    </ns0:row>
    <ns0:row r="325" ht="79.19999694824219" hidden="0" customHeight="1">
      <ns0:c r="A325" s="9" t="str">
        <ns0:v>跨品种</ns0:v>
      </ns0:c>
      <ns0:c r="B325" s="9" t="str">
        <ns0:v>合约对路径效率</ns0:v>
      </ns0:c>
      <ns0:c r="C325" s="9" t="str">
        <ns0:v>未调整相对对数年化</ns0:v>
      </ns0:c>
      <ns0:c r="D325" s="9" t="str">
        <ns0:v>A=界面左腿，B=右腿，方向固定。X=36500 × [ln(F_A/S_A)/T_A−ln(F_B/S_B)/T_B]，两腿T≥5。</ns0:v>
      </ns0:c>
      <ns0:c r="E325" s="9" t="str">
        <ns0:v>−1到1；绝对值越大表示路径越单向，符号表示X变化方向；路径为0时留空。</ns0:v>
      </ns0:c>
      <ns0:c r="F325" s="9" t="str">
        <ns0:v>使用同一X的五期净变化除以五期绝对变化之和。 F=真实期货价，S=对应现货指数，D=该合约剩余分红点数，T=剩余自然日，V=成交量，OI=持仓量；1bp=万分之一，年化1表示1个百分点。</ns0:v>
      </ns0:c>
      <ns0:c r="G325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25" s="9" t="str">
        <ns0:v>contract-pair-v3</ns0:v>
      </ns0:c>
      <ns0:c r="I325" s="9" t="str">
        <ns0:v>B10</ns0:v>
      </ns0:c>
      <ns0:c r="J325" s="9" t="str">
        <ns0:v>B10::log_annual::v1</ns0:v>
      </ns0:c>
    </ns0:row>
    <ns0:row r="326" ht="79.19999694824219" hidden="0" customHeight="1">
      <ns0:c r="A326" s="9" t="str">
        <ns0:v>跨品种</ns0:v>
      </ns0:c>
      <ns0:c r="B326" s="9" t="str">
        <ns0:v>合约对振幅压力</ns0:v>
      </ns0:c>
      <ns0:c r="C326" s="9" t="str">
        <ns0:v>跨品种对数价比 close</ns0:v>
      </ns0:c>
      <ns0:c r="D326" s="9" t="str">
        <ns0:v>A=界面左腿，B=右腿，方向固定。X=10000 × ln(F_A/F_B)。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26" s="9" t="str">
        <ns0:v>倍；1为自身历史典型振幅，越大波动压力越高；不将两腿振幅比当合约对压力。</ns0:v>
      </ns0:c>
      <ns0:c r="F326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326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对数价比绝对水平依赖各指数基准，只与这对合约自身历史比较；不是回归残差或可交易组合盈亏。</ns0:v>
      </ns0:c>
      <ns0:c r="H326" s="9" t="str">
        <ns0:v>contract-pair-v3</ns0:v>
      </ns0:c>
      <ns0:c r="I326" s="9" t="str">
        <ns0:v>B11</ns0:v>
      </ns0:c>
      <ns0:c r="J326" s="9" t="str">
        <ns0:v>B11::future::v1</ns0:v>
      </ns0:c>
    </ns0:row>
    <ns0:row r="327" ht="79.19999694824219" hidden="0" customHeight="1">
      <ns0:c r="A327" s="9" t="str">
        <ns0:v>跨品种</ns0:v>
      </ns0:c>
      <ns0:c r="B327" s="9" t="str">
        <ns0:v>合约对振幅压力</ns0:v>
      </ns0:c>
      <ns0:c r="C327" s="9" t="str">
        <ns0:v>分红调整相对基差（bp）</ns0:v>
      </ns0:c>
      <ns0:c r="D327" s="9" t="str">
        <ns0:v>A=界面左腿，B=右腿，方向固定。X=10000 × [(F_A−S_A+D_A)/S_A−(F_B−S_B+D_B)/S_B]。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27" s="9" t="str">
        <ns0:v>倍；1为自身历史典型振幅，越大波动压力越高；不将两腿振幅比当合约对压力。</ns0:v>
      </ns0:c>
      <ns0:c r="F327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327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27" s="9" t="str">
        <ns0:v>contract-pair-v3</ns0:v>
      </ns0:c>
      <ns0:c r="I327" s="9" t="str">
        <ns0:v>B11</ns0:v>
      </ns0:c>
      <ns0:c r="J327" s="9" t="str">
        <ns0:v>B11::basis::v1</ns0:v>
      </ns0:c>
    </ns0:row>
    <ns0:row r="328" ht="92.4000015258789" hidden="0" customHeight="1">
      <ns0:c r="A328" s="9" t="str">
        <ns0:v>跨品种</ns0:v>
      </ns0:c>
      <ns0:c r="B328" s="9" t="str">
        <ns0:v>合约对振幅压力</ns0:v>
      </ns0:c>
      <ns0:c r="C328" s="9" t="str">
        <ns0:v>分红调整相对基差年化</ns0:v>
      </ns0:c>
      <ns0:c r="D328" s="9" t="str">
        <ns0:v>A=界面左腿，B=右腿，方向固定。X=36500 × [(F_A−S_A+D_A)/(S_A T_A)−(F_B−S_B+D_B)/(S_B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28" s="9" t="str">
        <ns0:v>倍；1为自身历史典型振幅，越大波动压力越高；不将两腿振幅比当合约对压力。</ns0:v>
      </ns0:c>
      <ns0:c r="F328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328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28" s="9" t="str">
        <ns0:v>contract-pair-v3</ns0:v>
      </ns0:c>
      <ns0:c r="I328" s="9" t="str">
        <ns0:v>B11</ns0:v>
      </ns0:c>
      <ns0:c r="J328" s="9" t="str">
        <ns0:v>B11::annual::v1</ns0:v>
      </ns0:c>
    </ns0:row>
    <ns0:row r="329" ht="79.19999694824219" hidden="0" customHeight="1">
      <ns0:c r="A329" s="9" t="str">
        <ns0:v>跨品种</ns0:v>
      </ns0:c>
      <ns0:c r="B329" s="9" t="str">
        <ns0:v>合约对振幅压力</ns0:v>
      </ns0:c>
      <ns0:c r="C329" s="9" t="str">
        <ns0:v>未调整相对基差（bp）</ns0:v>
      </ns0:c>
      <ns0:c r="D329" s="9" t="str">
        <ns0:v>A=界面左腿，B=右腿，方向固定。X=10000 × [(F_A−S_A)/S_A−(F_B−S_B)/S_B]。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29" s="9" t="str">
        <ns0:v>倍；1为自身历史典型振幅，越大波动压力越高；不将两腿振幅比当合约对压力。</ns0:v>
      </ns0:c>
      <ns0:c r="F329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329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29" s="9" t="str">
        <ns0:v>contract-pair-v3</ns0:v>
      </ns0:c>
      <ns0:c r="I329" s="9" t="str">
        <ns0:v>B11</ns0:v>
      </ns0:c>
      <ns0:c r="J329" s="9" t="str">
        <ns0:v>B11::raw_basis::v1</ns0:v>
      </ns0:c>
    </ns0:row>
    <ns0:row r="330" ht="79.19999694824219" hidden="0" customHeight="1">
      <ns0:c r="A330" s="9" t="str">
        <ns0:v>跨品种</ns0:v>
      </ns0:c>
      <ns0:c r="B330" s="9" t="str">
        <ns0:v>合约对振幅压力</ns0:v>
      </ns0:c>
      <ns0:c r="C330" s="9" t="str">
        <ns0:v>未调整相对对数基差</ns0:v>
      </ns0:c>
      <ns0:c r="D330" s="9" t="str">
        <ns0:v>A=界面左腿，B=右腿，方向固定。X=10000 × ln[(F_A/S_A)/(F_B/S_B)]。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30" s="9" t="str">
        <ns0:v>倍；1为自身历史典型振幅，越大波动压力越高；不将两腿振幅比当合约对压力。</ns0:v>
      </ns0:c>
      <ns0:c r="F330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330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30" s="9" t="str">
        <ns0:v>contract-pair-v3</ns0:v>
      </ns0:c>
      <ns0:c r="I330" s="9" t="str">
        <ns0:v>B11</ns0:v>
      </ns0:c>
      <ns0:c r="J330" s="9" t="str">
        <ns0:v>B11::log_basis::v1</ns0:v>
      </ns0:c>
    </ns0:row>
    <ns0:row r="331" ht="79.19999694824219" hidden="0" customHeight="1">
      <ns0:c r="A331" s="9" t="str">
        <ns0:v>跨品种</ns0:v>
      </ns0:c>
      <ns0:c r="B331" s="9" t="str">
        <ns0:v>合约对振幅压力</ns0:v>
      </ns0:c>
      <ns0:c r="C331" s="9" t="str">
        <ns0:v>未调整相对简单年化</ns0:v>
      </ns0:c>
      <ns0:c r="D331" s="9" t="str">
        <ns0:v>A=界面左腿，B=右腿，方向固定。X=36500 × [(F_A−S_A)/(S_A T_A)−(F_B−S_B)/(S_B T_B)]，两腿T≥5。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31" s="9" t="str">
        <ns0:v>倍；1为自身历史典型振幅，越大波动压力越高；不将两腿振幅比当合约对压力。</ns0:v>
      </ns0:c>
      <ns0:c r="F331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331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31" s="9" t="str">
        <ns0:v>contract-pair-v3</ns0:v>
      </ns0:c>
      <ns0:c r="I331" s="9" t="str">
        <ns0:v>B11</ns0:v>
      </ns0:c>
      <ns0:c r="J331" s="9" t="str">
        <ns0:v>B11::raw_annual::v1</ns0:v>
      </ns0:c>
    </ns0:row>
    <ns0:row r="332" ht="79.19999694824219" hidden="0" customHeight="1">
      <ns0:c r="A332" s="9" t="str">
        <ns0:v>跨品种</ns0:v>
      </ns0:c>
      <ns0:c r="B332" s="9" t="str">
        <ns0:v>合约对振幅压力</ns0:v>
      </ns0:c>
      <ns0:c r="C332" s="9" t="str">
        <ns0:v>未调整相对对数年化</ns0:v>
      </ns0:c>
      <ns0:c r="D332" s="9" t="str">
        <ns0:v>A=界面左腿，B=右腿，方向固定。X=36500 × [ln(F_A/S_A)/T_A−ln(F_B/S_B)/T_B]，两腿T≥5。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32" s="9" t="str">
        <ns0:v>倍；1为自身历史典型振幅，越大波动压力越高；不将两腿振幅比当合约对压力。</ns0:v>
      </ns0:c>
      <ns0:c r="F332" s="9" t="str">
        <ns0:v>以完整同步分钟X形成高低收，TR=max(H−L,|H−前收|,|L−前收|)，再除自身此前20期TR中位数。 F=真实期货价，S=对应现货指数，D=该合约剩余分红点数，T=剩余自然日，V=成交量，OI=持仓量；1bp=万分之一，年化1表示1个百分点。</ns0:v>
      </ns0:c>
      <ns0:c r="G332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 异到期组合按各腿自己的T年化，同时含期限差异；仅同到期组合才是同期比较。</ns0:v>
      </ns0:c>
      <ns0:c r="H332" s="9" t="str">
        <ns0:v>contract-pair-v3</ns0:v>
      </ns0:c>
      <ns0:c r="I332" s="9" t="str">
        <ns0:v>B11</ns0:v>
      </ns0:c>
      <ns0:c r="J332" s="9" t="str">
        <ns0:v>B11::log_annual::v1</ns0:v>
      </ns0:c>
    </ns0:row>
    <ns0:row r="333" ht="92.4000015258789" hidden="0" customHeight="1">
      <ns0:c r="A333" s="9" t="str">
        <ns0:v>跨品种</ns0:v>
      </ns0:c>
      <ns0:c r="B333" s="9" t="str">
        <ns0:v>合约对匹配容量</ns0:v>
      </ns0:c>
      <ns0:c r="C333" s="9" t="str">
        <ns0:v>固定口径（不随 X 改变）</ns0:v>
      </ns0:c>
      <ns0:c r="D333" s="9" t="str">
        <ns0:v>A=界面左腿，B=右腿，方向固定。按前一完整交易日h折算两腿真实成交，A容量=min(V_A,V_B/h)，B容量=h×A容量；可另输入参与比例p。 h 为每1手A配多少手B：跨期 h=1；跨品种 h=前一完整交易日的 F_A×合约乘数_A/(F_B×合约乘数_B)。V配=min(V_A,V_B/h)，OI配=min(OI_A,OI_B/h)，均折算成A腿手数；同次持仓变化的两端使用同一个h。</ns0:v>
      </ns0:c>
      <ns0:c r="E333" s="9" t="str">
        <ns0:v>手；只是已观察成交的容量上限代理，不是可保证成交量；未填p不默认比例。</ns0:v>
      </ns0:c>
      <ns0:c r="F333" s="9" t="str">
        <ns0:v>按前一完整交易日h折算两腿真实成交，A容量=min(V_A,V_B/h)，B容量=h×A容量；可另输入参与比例p。 F=真实期货价，S=对应现货指数，D=该合约剩余分红点数，T=剩余自然日，V=成交量，OI=持仓量；1bp=万分之一，年化1表示1个百分点。</ns0:v>
      </ns0:c>
      <ns0:c r="G333" s="9" t="str">
        <ns0:v>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H333" s="9" t="str">
        <ns0:v>contract-pair-v3</ns0:v>
      </ns0:c>
      <ns0:c r="I333" s="9" t="str">
        <ns0:v>B12</ns0:v>
      </ns0:c>
      <ns0:c r="J333" s="9" t="str">
        <ns0:v>B12::fixed::v1</ns0:v>
      </ns0:c>
    </ns0:row>
    <ns0:row r="334" ht="22" customHeight="1">
      <ns0:c r="A334" s="2"/>
      <ns0:c r="B334" s="2"/>
      <ns0:c r="C334" s="2"/>
      <ns0:c r="D334" s="2"/>
      <ns0:c r="E334" s="2"/>
      <ns0:c r="F334" s="2"/>
      <ns0:c r="G334" s="2"/>
      <ns0:c r="H334" s="2"/>
      <ns0:c r="I334" s="2"/>
      <ns0:c r="J334" s="2"/>
    </ns0:row>
    <ns0:row r="335" ht="22" customHeight="1">
      <ns0:c r="A335" s="2"/>
      <ns0:c r="B335" s="2"/>
      <ns0:c r="C335" s="2"/>
      <ns0:c r="D335" s="2"/>
      <ns0:c r="E335" s="2"/>
      <ns0:c r="F335" s="2"/>
      <ns0:c r="G335" s="2"/>
      <ns0:c r="H335" s="2"/>
      <ns0:c r="I335" s="2"/>
      <ns0:c r="J335" s="2"/>
    </ns0:row>
    <ns0:row r="336" ht="22" customHeight="1">
      <ns0:c r="A336" s="2"/>
      <ns0:c r="B336" s="2"/>
      <ns0:c r="C336" s="2"/>
      <ns0:c r="D336" s="2"/>
      <ns0:c r="E336" s="2"/>
      <ns0:c r="F336" s="2"/>
      <ns0:c r="G336" s="2"/>
      <ns0:c r="H336" s="2"/>
      <ns0:c r="I336" s="2"/>
      <ns0:c r="J336" s="2"/>
    </ns0:row>
    <ns0:row r="337" ht="22" customHeight="1">
      <ns0:c r="A337" s="2"/>
      <ns0:c r="B337" s="2"/>
      <ns0:c r="C337" s="2"/>
      <ns0:c r="D337" s="2"/>
      <ns0:c r="E337" s="2"/>
      <ns0:c r="F337" s="2"/>
      <ns0:c r="G337" s="2"/>
      <ns0:c r="H337" s="2"/>
      <ns0:c r="I337" s="2"/>
      <ns0:c r="J337" s="2"/>
    </ns0:row>
    <ns0:row r="338" ht="22" customHeight="1">
      <ns0:c r="A338" s="2"/>
      <ns0:c r="B338" s="2"/>
      <ns0:c r="C338" s="2"/>
      <ns0:c r="D338" s="2"/>
      <ns0:c r="E338" s="2"/>
      <ns0:c r="F338" s="2"/>
      <ns0:c r="G338" s="2"/>
      <ns0:c r="H338" s="2"/>
      <ns0:c r="I338" s="2"/>
      <ns0:c r="J338" s="2"/>
    </ns0:row>
    <ns0:row r="339" ht="22" customHeight="1">
      <ns0:c r="A339" s="2"/>
      <ns0:c r="B339" s="2"/>
      <ns0:c r="C339" s="2"/>
      <ns0:c r="D339" s="2"/>
      <ns0:c r="E339" s="2"/>
      <ns0:c r="F339" s="2"/>
      <ns0:c r="G339" s="2"/>
      <ns0:c r="H339" s="2"/>
      <ns0:c r="I339" s="2"/>
      <ns0:c r="J339" s="2"/>
    </ns0:row>
    <ns0:row r="340" ht="22" customHeight="1">
      <ns0:c r="A340" s="2"/>
      <ns0:c r="B340" s="2"/>
      <ns0:c r="C340" s="2"/>
      <ns0:c r="D340" s="2"/>
      <ns0:c r="E340" s="2"/>
      <ns0:c r="F340" s="2"/>
      <ns0:c r="G340" s="2"/>
      <ns0:c r="H340" s="2"/>
      <ns0:c r="I340" s="2"/>
      <ns0:c r="J340" s="2"/>
    </ns0:row>
    <ns0:row r="341" ht="22" customHeight="1">
      <ns0:c r="A341" s="2"/>
      <ns0:c r="B341" s="2"/>
      <ns0:c r="C341" s="2"/>
      <ns0:c r="D341" s="2"/>
      <ns0:c r="E341" s="2"/>
      <ns0:c r="F341" s="2"/>
      <ns0:c r="G341" s="2"/>
      <ns0:c r="H341" s="2"/>
      <ns0:c r="I341" s="2"/>
      <ns0:c r="J341" s="2"/>
    </ns0:row>
    <ns0:row r="342" ht="22" customHeight="1">
      <ns0:c r="A342" s="2"/>
      <ns0:c r="B342" s="2"/>
      <ns0:c r="C342" s="2"/>
      <ns0:c r="D342" s="2"/>
      <ns0:c r="E342" s="2"/>
      <ns0:c r="F342" s="2"/>
      <ns0:c r="G342" s="2"/>
      <ns0:c r="H342" s="2"/>
      <ns0:c r="I342" s="2"/>
      <ns0:c r="J342" s="2"/>
    </ns0:row>
    <ns0:row r="343" ht="22" customHeight="1">
      <ns0:c r="A343" s="2"/>
      <ns0:c r="B343" s="2"/>
      <ns0:c r="C343" s="2"/>
      <ns0:c r="D343" s="2"/>
      <ns0:c r="E343" s="2"/>
      <ns0:c r="F343" s="2"/>
      <ns0:c r="G343" s="2"/>
      <ns0:c r="H343" s="2"/>
      <ns0:c r="I343" s="2"/>
      <ns0:c r="J343" s="2"/>
    </ns0:row>
    <ns0:row r="344" ht="22" customHeight="1">
      <ns0:c r="A344" s="2"/>
      <ns0:c r="B344" s="2"/>
      <ns0:c r="C344" s="2"/>
      <ns0:c r="D344" s="2"/>
      <ns0:c r="E344" s="2"/>
      <ns0:c r="F344" s="2"/>
      <ns0:c r="G344" s="2"/>
      <ns0:c r="H344" s="2"/>
      <ns0:c r="I344" s="2"/>
      <ns0:c r="J344" s="2"/>
    </ns0:row>
    <ns0:row r="345" ht="22" customHeight="1">
      <ns0:c r="A345" s="2"/>
      <ns0:c r="B345" s="2"/>
      <ns0:c r="C345" s="2"/>
      <ns0:c r="D345" s="2"/>
      <ns0:c r="E345" s="2"/>
      <ns0:c r="F345" s="2"/>
      <ns0:c r="G345" s="2"/>
      <ns0:c r="H345" s="2"/>
      <ns0:c r="I345" s="2"/>
      <ns0:c r="J345" s="2"/>
    </ns0:row>
    <ns0:row r="346" ht="22" customHeight="1">
      <ns0:c r="A346" s="2"/>
      <ns0:c r="B346" s="2"/>
      <ns0:c r="C346" s="2"/>
      <ns0:c r="D346" s="2"/>
      <ns0:c r="E346" s="2"/>
      <ns0:c r="F346" s="2"/>
      <ns0:c r="G346" s="2"/>
      <ns0:c r="H346" s="2"/>
      <ns0:c r="I346" s="2"/>
      <ns0:c r="J346" s="2"/>
    </ns0:row>
    <ns0:row r="347" ht="22" customHeight="1">
      <ns0:c r="A347" s="2"/>
      <ns0:c r="B347" s="2"/>
      <ns0:c r="C347" s="2"/>
      <ns0:c r="D347" s="2"/>
      <ns0:c r="E347" s="2"/>
      <ns0:c r="F347" s="2"/>
      <ns0:c r="G347" s="2"/>
      <ns0:c r="H347" s="2"/>
      <ns0:c r="I347" s="2"/>
      <ns0:c r="J347" s="2"/>
    </ns0:row>
    <ns0:row r="348" ht="22" customHeight="1">
      <ns0:c r="A348" s="2"/>
      <ns0:c r="B348" s="2"/>
      <ns0:c r="C348" s="2"/>
      <ns0:c r="D348" s="2"/>
      <ns0:c r="E348" s="2"/>
      <ns0:c r="F348" s="2"/>
      <ns0:c r="G348" s="2"/>
      <ns0:c r="H348" s="2"/>
      <ns0:c r="I348" s="2"/>
      <ns0:c r="J348" s="2"/>
    </ns0:row>
    <ns0:row r="349" ht="22" customHeight="1">
      <ns0:c r="A349" s="2"/>
      <ns0:c r="B349" s="2"/>
      <ns0:c r="C349" s="2"/>
      <ns0:c r="D349" s="2"/>
      <ns0:c r="E349" s="2"/>
      <ns0:c r="F349" s="2"/>
      <ns0:c r="G349" s="2"/>
      <ns0:c r="H349" s="2"/>
      <ns0:c r="I349" s="2"/>
      <ns0:c r="J349" s="2"/>
    </ns0:row>
    <ns0:row r="350" ht="22" customHeight="1">
      <ns0:c r="A350" s="2"/>
      <ns0:c r="B350" s="2"/>
      <ns0:c r="C350" s="2"/>
      <ns0:c r="D350" s="2"/>
      <ns0:c r="E350" s="2"/>
      <ns0:c r="F350" s="2"/>
      <ns0:c r="G350" s="2"/>
      <ns0:c r="H350" s="2"/>
      <ns0:c r="I350" s="2"/>
      <ns0:c r="J350" s="2"/>
    </ns0:row>
    <ns0:row r="351" ht="22" customHeight="1">
      <ns0:c r="A351" s="2"/>
      <ns0:c r="B351" s="2"/>
      <ns0:c r="C351" s="2"/>
      <ns0:c r="D351" s="2"/>
      <ns0:c r="E351" s="2"/>
      <ns0:c r="F351" s="2"/>
      <ns0:c r="G351" s="2"/>
      <ns0:c r="H351" s="2"/>
      <ns0:c r="I351" s="2"/>
      <ns0:c r="J351" s="2"/>
    </ns0:row>
    <ns0:row r="352" ht="22" customHeight="1">
      <ns0:c r="A352" s="2"/>
      <ns0:c r="B352" s="2"/>
      <ns0:c r="C352" s="2"/>
      <ns0:c r="D352" s="2"/>
      <ns0:c r="E352" s="2"/>
      <ns0:c r="F352" s="2"/>
      <ns0:c r="G352" s="2"/>
      <ns0:c r="H352" s="2"/>
      <ns0:c r="I352" s="2"/>
      <ns0:c r="J352" s="2"/>
    </ns0:row>
    <ns0:row r="353" ht="22" customHeight="1">
      <ns0:c r="A353" s="2"/>
      <ns0:c r="B353" s="2"/>
      <ns0:c r="C353" s="2"/>
      <ns0:c r="D353" s="2"/>
      <ns0:c r="E353" s="2"/>
      <ns0:c r="F353" s="2"/>
      <ns0:c r="G353" s="2"/>
      <ns0:c r="H353" s="2"/>
      <ns0:c r="I353" s="2"/>
      <ns0:c r="J353" s="2"/>
    </ns0:row>
    <ns0:row r="354" ht="22" customHeight="1">
      <ns0:c r="A354" s="2"/>
      <ns0:c r="B354" s="2"/>
      <ns0:c r="C354" s="2"/>
      <ns0:c r="D354" s="2"/>
      <ns0:c r="E354" s="2"/>
      <ns0:c r="F354" s="2"/>
      <ns0:c r="G354" s="2"/>
      <ns0:c r="H354" s="2"/>
      <ns0:c r="I354" s="2"/>
      <ns0:c r="J354" s="2"/>
    </ns0:row>
    <ns0:row r="355" ht="22" customHeight="1">
      <ns0:c r="A355" s="2"/>
      <ns0:c r="B355" s="2"/>
      <ns0:c r="C355" s="2"/>
      <ns0:c r="D355" s="2"/>
      <ns0:c r="E355" s="2"/>
      <ns0:c r="F355" s="2"/>
      <ns0:c r="G355" s="2"/>
      <ns0:c r="H355" s="2"/>
      <ns0:c r="I355" s="2"/>
      <ns0:c r="J355" s="2"/>
    </ns0:row>
    <ns0:row r="356" ht="22" customHeight="1">
      <ns0:c r="A356" s="2"/>
      <ns0:c r="B356" s="2"/>
      <ns0:c r="C356" s="2"/>
      <ns0:c r="D356" s="2"/>
      <ns0:c r="E356" s="2"/>
      <ns0:c r="F356" s="2"/>
      <ns0:c r="G356" s="2"/>
      <ns0:c r="H356" s="2"/>
      <ns0:c r="I356" s="2"/>
      <ns0:c r="J356" s="2"/>
    </ns0:row>
    <ns0:row r="357" ht="22" customHeight="1">
      <ns0:c r="A357" s="2"/>
      <ns0:c r="B357" s="2"/>
      <ns0:c r="C357" s="2"/>
      <ns0:c r="D357" s="2"/>
      <ns0:c r="E357" s="2"/>
      <ns0:c r="F357" s="2"/>
      <ns0:c r="G357" s="2"/>
      <ns0:c r="H357" s="2"/>
      <ns0:c r="I357" s="2"/>
      <ns0:c r="J357" s="2"/>
    </ns0:row>
    <ns0:row r="358" ht="22" customHeight="1">
      <ns0:c r="A358" s="2"/>
      <ns0:c r="B358" s="2"/>
      <ns0:c r="C358" s="2"/>
      <ns0:c r="D358" s="2"/>
      <ns0:c r="E358" s="2"/>
      <ns0:c r="F358" s="2"/>
      <ns0:c r="G358" s="2"/>
      <ns0:c r="H358" s="2"/>
      <ns0:c r="I358" s="2"/>
      <ns0:c r="J358" s="2"/>
    </ns0:row>
    <ns0:row r="359" ht="22" customHeight="1">
      <ns0:c r="A359" s="2"/>
      <ns0:c r="B359" s="2"/>
      <ns0:c r="C359" s="2"/>
      <ns0:c r="D359" s="2"/>
      <ns0:c r="E359" s="2"/>
      <ns0:c r="F359" s="2"/>
      <ns0:c r="G359" s="2"/>
      <ns0:c r="H359" s="2"/>
      <ns0:c r="I359" s="2"/>
      <ns0:c r="J359" s="2"/>
    </ns0:row>
    <ns0:row r="360" ht="22" customHeight="1">
      <ns0:c r="A360" s="2"/>
      <ns0:c r="B360" s="2"/>
      <ns0:c r="C360" s="2"/>
      <ns0:c r="D360" s="2"/>
      <ns0:c r="E360" s="2"/>
      <ns0:c r="F360" s="2"/>
      <ns0:c r="G360" s="2"/>
      <ns0:c r="H360" s="2"/>
      <ns0:c r="I360" s="2"/>
      <ns0:c r="J360" s="2"/>
    </ns0:row>
    <ns0:row r="361" ht="22" customHeight="1">
      <ns0:c r="A361" s="2"/>
      <ns0:c r="B361" s="2"/>
      <ns0:c r="C361" s="2"/>
      <ns0:c r="D361" s="2"/>
      <ns0:c r="E361" s="2"/>
      <ns0:c r="F361" s="2"/>
      <ns0:c r="G361" s="2"/>
      <ns0:c r="H361" s="2"/>
      <ns0:c r="I361" s="2"/>
      <ns0:c r="J361" s="2"/>
    </ns0:row>
    <ns0:row r="362" ht="22" customHeight="1">
      <ns0:c r="A362" s="2"/>
      <ns0:c r="B362" s="2"/>
      <ns0:c r="C362" s="2"/>
      <ns0:c r="D362" s="2"/>
      <ns0:c r="E362" s="2"/>
      <ns0:c r="F362" s="2"/>
      <ns0:c r="G362" s="2"/>
      <ns0:c r="H362" s="2"/>
      <ns0:c r="I362" s="2"/>
      <ns0:c r="J362" s="2"/>
    </ns0:row>
    <ns0:row r="363" ht="22" customHeight="1">
      <ns0:c r="A363" s="2"/>
      <ns0:c r="B363" s="2"/>
      <ns0:c r="C363" s="2"/>
      <ns0:c r="D363" s="2"/>
      <ns0:c r="E363" s="2"/>
      <ns0:c r="F363" s="2"/>
      <ns0:c r="G363" s="2"/>
      <ns0:c r="H363" s="2"/>
      <ns0:c r="I363" s="2"/>
      <ns0:c r="J363" s="2"/>
    </ns0:row>
    <ns0:row r="364" ht="22" customHeight="1">
      <ns0:c r="A364" s="2"/>
      <ns0:c r="B364" s="2"/>
      <ns0:c r="C364" s="2"/>
      <ns0:c r="D364" s="2"/>
      <ns0:c r="E364" s="2"/>
      <ns0:c r="F364" s="2"/>
      <ns0:c r="G364" s="2"/>
      <ns0:c r="H364" s="2"/>
      <ns0:c r="I364" s="2"/>
      <ns0:c r="J364" s="2"/>
    </ns0:row>
    <ns0:row r="365" ht="22" customHeight="1">
      <ns0:c r="A365" s="2"/>
      <ns0:c r="B365" s="2"/>
      <ns0:c r="C365" s="2"/>
      <ns0:c r="D365" s="2"/>
      <ns0:c r="E365" s="2"/>
      <ns0:c r="F365" s="2"/>
      <ns0:c r="G365" s="2"/>
      <ns0:c r="H365" s="2"/>
      <ns0:c r="I365" s="2"/>
      <ns0:c r="J365" s="2"/>
    </ns0:row>
    <ns0:row r="366" ht="22" customHeight="1">
      <ns0:c r="A366" s="2"/>
      <ns0:c r="B366" s="2"/>
      <ns0:c r="C366" s="2"/>
      <ns0:c r="D366" s="2"/>
      <ns0:c r="E366" s="2"/>
      <ns0:c r="F366" s="2"/>
      <ns0:c r="G366" s="2"/>
      <ns0:c r="H366" s="2"/>
      <ns0:c r="I366" s="2"/>
      <ns0:c r="J366" s="2"/>
    </ns0:row>
    <ns0:row r="367" ht="22" customHeight="1">
      <ns0:c r="A367" s="2"/>
      <ns0:c r="B367" s="2"/>
      <ns0:c r="C367" s="2"/>
      <ns0:c r="D367" s="2"/>
      <ns0:c r="E367" s="2"/>
      <ns0:c r="F367" s="2"/>
      <ns0:c r="G367" s="2"/>
      <ns0:c r="H367" s="2"/>
      <ns0:c r="I367" s="2"/>
      <ns0:c r="J367" s="2"/>
    </ns0:row>
    <ns0:row r="368" ht="22" customHeight="1">
      <ns0:c r="A368" s="2"/>
      <ns0:c r="B368" s="2"/>
      <ns0:c r="C368" s="2"/>
      <ns0:c r="D368" s="2"/>
      <ns0:c r="E368" s="2"/>
      <ns0:c r="F368" s="2"/>
      <ns0:c r="G368" s="2"/>
      <ns0:c r="H368" s="2"/>
      <ns0:c r="I368" s="2"/>
      <ns0:c r="J368" s="2"/>
    </ns0:row>
    <ns0:row r="369" ht="22" customHeight="1">
      <ns0:c r="A369" s="2"/>
      <ns0:c r="B369" s="2"/>
      <ns0:c r="C369" s="2"/>
      <ns0:c r="D369" s="2"/>
      <ns0:c r="E369" s="2"/>
      <ns0:c r="F369" s="2"/>
      <ns0:c r="G369" s="2"/>
      <ns0:c r="H369" s="2"/>
      <ns0:c r="I369" s="2"/>
      <ns0:c r="J369" s="2"/>
    </ns0:row>
    <ns0:row r="370" ht="22" customHeight="1">
      <ns0:c r="A370" s="2"/>
      <ns0:c r="B370" s="2"/>
      <ns0:c r="C370" s="2"/>
      <ns0:c r="D370" s="2"/>
      <ns0:c r="E370" s="2"/>
      <ns0:c r="F370" s="2"/>
      <ns0:c r="G370" s="2"/>
      <ns0:c r="H370" s="2"/>
      <ns0:c r="I370" s="2"/>
      <ns0:c r="J370" s="2"/>
    </ns0:row>
    <ns0:row r="371" ht="22" customHeight="1">
      <ns0:c r="A371" s="2"/>
      <ns0:c r="B371" s="2"/>
      <ns0:c r="C371" s="2"/>
      <ns0:c r="D371" s="2"/>
      <ns0:c r="E371" s="2"/>
      <ns0:c r="F371" s="2"/>
      <ns0:c r="G371" s="2"/>
      <ns0:c r="H371" s="2"/>
      <ns0:c r="I371" s="2"/>
      <ns0:c r="J371" s="2"/>
    </ns0:row>
    <ns0:row r="372" ht="22" customHeight="1">
      <ns0:c r="A372" s="2"/>
      <ns0:c r="B372" s="2"/>
      <ns0:c r="C372" s="2"/>
      <ns0:c r="D372" s="2"/>
      <ns0:c r="E372" s="2"/>
      <ns0:c r="F372" s="2"/>
      <ns0:c r="G372" s="2"/>
      <ns0:c r="H372" s="2"/>
      <ns0:c r="I372" s="2"/>
      <ns0:c r="J372" s="2"/>
    </ns0:row>
    <ns0:row r="373" ht="22" customHeight="1">
      <ns0:c r="A373" s="2"/>
      <ns0:c r="B373" s="2"/>
      <ns0:c r="C373" s="2"/>
      <ns0:c r="D373" s="2"/>
      <ns0:c r="E373" s="2"/>
      <ns0:c r="F373" s="2"/>
      <ns0:c r="G373" s="2"/>
      <ns0:c r="H373" s="2"/>
      <ns0:c r="I373" s="2"/>
      <ns0:c r="J373" s="2"/>
    </ns0:row>
    <ns0:row r="374" ht="22" customHeight="1">
      <ns0:c r="A374" s="2"/>
      <ns0:c r="B374" s="2"/>
      <ns0:c r="C374" s="2"/>
      <ns0:c r="D374" s="2"/>
      <ns0:c r="E374" s="2"/>
      <ns0:c r="F374" s="2"/>
      <ns0:c r="G374" s="2"/>
      <ns0:c r="H374" s="2"/>
      <ns0:c r="I374" s="2"/>
      <ns0:c r="J374" s="2"/>
    </ns0:row>
    <ns0:row r="375" ht="22" customHeight="1">
      <ns0:c r="A375" s="2"/>
      <ns0:c r="B375" s="2"/>
      <ns0:c r="C375" s="2"/>
      <ns0:c r="D375" s="2"/>
      <ns0:c r="E375" s="2"/>
      <ns0:c r="F375" s="2"/>
      <ns0:c r="G375" s="2"/>
      <ns0:c r="H375" s="2"/>
      <ns0:c r="I375" s="2"/>
      <ns0:c r="J375" s="2"/>
    </ns0:row>
    <ns0:row r="376" ht="22" customHeight="1">
      <ns0:c r="A376" s="2"/>
      <ns0:c r="B376" s="2"/>
      <ns0:c r="C376" s="2"/>
      <ns0:c r="D376" s="2"/>
      <ns0:c r="E376" s="2"/>
      <ns0:c r="F376" s="2"/>
      <ns0:c r="G376" s="2"/>
      <ns0:c r="H376" s="2"/>
      <ns0:c r="I376" s="2"/>
      <ns0:c r="J376" s="2"/>
    </ns0:row>
    <ns0:row r="377" ht="22" customHeight="1">
      <ns0:c r="A377" s="2"/>
      <ns0:c r="B377" s="2"/>
      <ns0:c r="C377" s="2"/>
      <ns0:c r="D377" s="2"/>
      <ns0:c r="E377" s="2"/>
      <ns0:c r="F377" s="2"/>
      <ns0:c r="G377" s="2"/>
      <ns0:c r="H377" s="2"/>
      <ns0:c r="I377" s="2"/>
      <ns0:c r="J377" s="2"/>
    </ns0:row>
    <ns0:row r="378" ht="22" customHeight="1">
      <ns0:c r="A378" s="2"/>
      <ns0:c r="B378" s="2"/>
      <ns0:c r="C378" s="2"/>
      <ns0:c r="D378" s="2"/>
      <ns0:c r="E378" s="2"/>
      <ns0:c r="F378" s="2"/>
      <ns0:c r="G378" s="2"/>
      <ns0:c r="H378" s="2"/>
      <ns0:c r="I378" s="2"/>
      <ns0:c r="J378" s="2"/>
    </ns0:row>
    <ns0:row r="379" ht="22" customHeight="1">
      <ns0:c r="A379" s="2"/>
      <ns0:c r="B379" s="2"/>
      <ns0:c r="C379" s="2"/>
      <ns0:c r="D379" s="2"/>
      <ns0:c r="E379" s="2"/>
      <ns0:c r="F379" s="2"/>
      <ns0:c r="G379" s="2"/>
      <ns0:c r="H379" s="2"/>
      <ns0:c r="I379" s="2"/>
      <ns0:c r="J379" s="2"/>
    </ns0:row>
    <ns0:row r="380" ht="22" customHeight="1">
      <ns0:c r="A380" s="2"/>
      <ns0:c r="B380" s="2"/>
      <ns0:c r="C380" s="2"/>
      <ns0:c r="D380" s="2"/>
      <ns0:c r="E380" s="2"/>
      <ns0:c r="F380" s="2"/>
      <ns0:c r="G380" s="2"/>
      <ns0:c r="H380" s="2"/>
      <ns0:c r="I380" s="2"/>
      <ns0:c r="J380" s="2"/>
    </ns0:row>
    <ns0:row r="381" ht="22" customHeight="1">
      <ns0:c r="A381" s="2"/>
      <ns0:c r="B381" s="2"/>
      <ns0:c r="C381" s="2"/>
      <ns0:c r="D381" s="2"/>
      <ns0:c r="E381" s="2"/>
      <ns0:c r="F381" s="2"/>
      <ns0:c r="G381" s="2"/>
      <ns0:c r="H381" s="2"/>
      <ns0:c r="I381" s="2"/>
      <ns0:c r="J381" s="2"/>
    </ns0:row>
    <ns0:row r="382" ht="22" customHeight="1">
      <ns0:c r="A382" s="2"/>
      <ns0:c r="B382" s="2"/>
      <ns0:c r="C382" s="2"/>
      <ns0:c r="D382" s="2"/>
      <ns0:c r="E382" s="2"/>
      <ns0:c r="F382" s="2"/>
      <ns0:c r="G382" s="2"/>
      <ns0:c r="H382" s="2"/>
      <ns0:c r="I382" s="2"/>
      <ns0:c r="J382" s="2"/>
    </ns0:row>
    <ns0:row r="383" ht="22" customHeight="1">
      <ns0:c r="A383" s="2"/>
      <ns0:c r="B383" s="2"/>
      <ns0:c r="C383" s="2"/>
      <ns0:c r="D383" s="2"/>
      <ns0:c r="E383" s="2"/>
      <ns0:c r="F383" s="2"/>
      <ns0:c r="G383" s="2"/>
      <ns0:c r="H383" s="2"/>
      <ns0:c r="I383" s="2"/>
      <ns0:c r="J383" s="2"/>
    </ns0:row>
    <ns0:row r="384" ht="22" customHeight="1">
      <ns0:c r="A384" s="2"/>
      <ns0:c r="B384" s="2"/>
      <ns0:c r="C384" s="2"/>
      <ns0:c r="D384" s="2"/>
      <ns0:c r="E384" s="2"/>
      <ns0:c r="F384" s="2"/>
      <ns0:c r="G384" s="2"/>
      <ns0:c r="H384" s="2"/>
      <ns0:c r="I384" s="2"/>
      <ns0:c r="J384" s="2"/>
    </ns0:row>
    <ns0:row r="385" ht="22" customHeight="1">
      <ns0:c r="A385" s="2"/>
      <ns0:c r="B385" s="2"/>
      <ns0:c r="C385" s="2"/>
      <ns0:c r="D385" s="2"/>
      <ns0:c r="E385" s="2"/>
      <ns0:c r="F385" s="2"/>
      <ns0:c r="G385" s="2"/>
      <ns0:c r="H385" s="2"/>
      <ns0:c r="I385" s="2"/>
      <ns0:c r="J385" s="2"/>
    </ns0:row>
    <ns0:row r="386" ht="22" customHeight="1">
      <ns0:c r="A386" s="2"/>
      <ns0:c r="B386" s="2"/>
      <ns0:c r="C386" s="2"/>
      <ns0:c r="D386" s="2"/>
      <ns0:c r="E386" s="2"/>
      <ns0:c r="F386" s="2"/>
      <ns0:c r="G386" s="2"/>
      <ns0:c r="H386" s="2"/>
      <ns0:c r="I386" s="2"/>
      <ns0:c r="J386" s="2"/>
    </ns0:row>
    <ns0:row r="387" ht="22" customHeight="1">
      <ns0:c r="A387" s="2"/>
      <ns0:c r="B387" s="2"/>
      <ns0:c r="C387" s="2"/>
      <ns0:c r="D387" s="2"/>
      <ns0:c r="E387" s="2"/>
      <ns0:c r="F387" s="2"/>
      <ns0:c r="G387" s="2"/>
      <ns0:c r="H387" s="2"/>
      <ns0:c r="I387" s="2"/>
      <ns0:c r="J387" s="2"/>
    </ns0:row>
    <ns0:row r="388" ht="22" customHeight="1">
      <ns0:c r="A388" s="2"/>
      <ns0:c r="B388" s="2"/>
      <ns0:c r="C388" s="2"/>
      <ns0:c r="D388" s="2"/>
      <ns0:c r="E388" s="2"/>
      <ns0:c r="F388" s="2"/>
      <ns0:c r="G388" s="2"/>
      <ns0:c r="H388" s="2"/>
      <ns0:c r="I388" s="2"/>
      <ns0:c r="J388" s="2"/>
    </ns0:row>
    <ns0:row r="389" ht="22" customHeight="1">
      <ns0:c r="A389" s="2"/>
      <ns0:c r="B389" s="2"/>
      <ns0:c r="C389" s="2"/>
      <ns0:c r="D389" s="2"/>
      <ns0:c r="E389" s="2"/>
      <ns0:c r="F389" s="2"/>
      <ns0:c r="G389" s="2"/>
      <ns0:c r="H389" s="2"/>
      <ns0:c r="I389" s="2"/>
      <ns0:c r="J389" s="2"/>
    </ns0:row>
    <ns0:row r="390" ht="22" customHeight="1">
      <ns0:c r="A390" s="2"/>
      <ns0:c r="B390" s="2"/>
      <ns0:c r="C390" s="2"/>
      <ns0:c r="D390" s="2"/>
      <ns0:c r="E390" s="2"/>
      <ns0:c r="F390" s="2"/>
      <ns0:c r="G390" s="2"/>
      <ns0:c r="H390" s="2"/>
      <ns0:c r="I390" s="2"/>
      <ns0:c r="J390" s="2"/>
    </ns0:row>
    <ns0:row r="391" ht="22" customHeight="1">
      <ns0:c r="A391" s="2"/>
      <ns0:c r="B391" s="2"/>
      <ns0:c r="C391" s="2"/>
      <ns0:c r="D391" s="2"/>
      <ns0:c r="E391" s="2"/>
      <ns0:c r="F391" s="2"/>
      <ns0:c r="G391" s="2"/>
      <ns0:c r="H391" s="2"/>
      <ns0:c r="I391" s="2"/>
      <ns0:c r="J391" s="2"/>
    </ns0:row>
    <ns0:row r="392" ht="22" customHeight="1">
      <ns0:c r="A392" s="2"/>
      <ns0:c r="B392" s="2"/>
      <ns0:c r="C392" s="2"/>
      <ns0:c r="D392" s="2"/>
      <ns0:c r="E392" s="2"/>
      <ns0:c r="F392" s="2"/>
      <ns0:c r="G392" s="2"/>
      <ns0:c r="H392" s="2"/>
      <ns0:c r="I392" s="2"/>
      <ns0:c r="J392" s="2"/>
    </ns0:row>
    <ns0:row r="393" ht="22" customHeight="1">
      <ns0:c r="A393" s="2"/>
      <ns0:c r="B393" s="2"/>
      <ns0:c r="C393" s="2"/>
      <ns0:c r="D393" s="2"/>
      <ns0:c r="E393" s="2"/>
      <ns0:c r="F393" s="2"/>
      <ns0:c r="G393" s="2"/>
      <ns0:c r="H393" s="2"/>
      <ns0:c r="I393" s="2"/>
      <ns0:c r="J393" s="2"/>
    </ns0:row>
    <ns0:row r="394" ht="22" customHeight="1">
      <ns0:c r="A394" s="2"/>
      <ns0:c r="B394" s="2"/>
      <ns0:c r="C394" s="2"/>
      <ns0:c r="D394" s="2"/>
      <ns0:c r="E394" s="2"/>
      <ns0:c r="F394" s="2"/>
      <ns0:c r="G394" s="2"/>
      <ns0:c r="H394" s="2"/>
      <ns0:c r="I394" s="2"/>
      <ns0:c r="J394" s="2"/>
    </ns0:row>
    <ns0:row r="395" ht="22" customHeight="1">
      <ns0:c r="A395" s="2"/>
      <ns0:c r="B395" s="2"/>
      <ns0:c r="C395" s="2"/>
      <ns0:c r="D395" s="2"/>
      <ns0:c r="E395" s="2"/>
      <ns0:c r="F395" s="2"/>
      <ns0:c r="G395" s="2"/>
      <ns0:c r="H395" s="2"/>
      <ns0:c r="I395" s="2"/>
      <ns0:c r="J395" s="2"/>
    </ns0:row>
    <ns0:row r="396" ht="22" customHeight="1">
      <ns0:c r="A396" s="2"/>
      <ns0:c r="B396" s="2"/>
      <ns0:c r="C396" s="2"/>
      <ns0:c r="D396" s="2"/>
      <ns0:c r="E396" s="2"/>
      <ns0:c r="F396" s="2"/>
      <ns0:c r="G396" s="2"/>
      <ns0:c r="H396" s="2"/>
      <ns0:c r="I396" s="2"/>
      <ns0:c r="J396" s="2"/>
    </ns0:row>
    <ns0:row r="397" ht="22" customHeight="1">
      <ns0:c r="A397" s="2"/>
      <ns0:c r="B397" s="2"/>
      <ns0:c r="C397" s="2"/>
      <ns0:c r="D397" s="2"/>
      <ns0:c r="E397" s="2"/>
      <ns0:c r="F397" s="2"/>
      <ns0:c r="G397" s="2"/>
      <ns0:c r="H397" s="2"/>
      <ns0:c r="I397" s="2"/>
      <ns0:c r="J397" s="2"/>
    </ns0:row>
    <ns0:row r="398" ht="22" customHeight="1">
      <ns0:c r="A398" s="2"/>
      <ns0:c r="B398" s="2"/>
      <ns0:c r="C398" s="2"/>
      <ns0:c r="D398" s="2"/>
      <ns0:c r="E398" s="2"/>
      <ns0:c r="F398" s="2"/>
      <ns0:c r="G398" s="2"/>
      <ns0:c r="H398" s="2"/>
      <ns0:c r="I398" s="2"/>
      <ns0:c r="J398" s="2"/>
    </ns0:row>
    <ns0:row r="399" ht="22" customHeight="1">
      <ns0:c r="A399" s="2"/>
      <ns0:c r="B399" s="2"/>
      <ns0:c r="C399" s="2"/>
      <ns0:c r="D399" s="2"/>
      <ns0:c r="E399" s="2"/>
      <ns0:c r="F399" s="2"/>
      <ns0:c r="G399" s="2"/>
      <ns0:c r="H399" s="2"/>
      <ns0:c r="I399" s="2"/>
      <ns0:c r="J399" s="2"/>
    </ns0:row>
    <ns0:row r="400" ht="22" customHeight="1">
      <ns0:c r="A400" s="2"/>
      <ns0:c r="B400" s="2"/>
      <ns0:c r="C400" s="2"/>
      <ns0:c r="D400" s="2"/>
      <ns0:c r="E400" s="2"/>
      <ns0:c r="F400" s="2"/>
      <ns0:c r="G400" s="2"/>
      <ns0:c r="H400" s="2"/>
      <ns0:c r="I400" s="2"/>
      <ns0:c r="J400" s="2"/>
    </ns0:row>
    <ns0:row r="401" ht="22" customHeight="1">
      <ns0:c r="A401" s="2"/>
      <ns0:c r="B401" s="2"/>
      <ns0:c r="C401" s="2"/>
      <ns0:c r="D401" s="2"/>
      <ns0:c r="E401" s="2"/>
      <ns0:c r="F401" s="2"/>
      <ns0:c r="G401" s="2"/>
      <ns0:c r="H401" s="2"/>
      <ns0:c r="I401" s="2"/>
      <ns0:c r="J401" s="2"/>
    </ns0:row>
    <ns0:row r="402" ht="22" customHeight="1">
      <ns0:c r="A402" s="2"/>
      <ns0:c r="B402" s="2"/>
      <ns0:c r="C402" s="2"/>
      <ns0:c r="D402" s="2"/>
      <ns0:c r="E402" s="2"/>
      <ns0:c r="F402" s="2"/>
      <ns0:c r="G402" s="2"/>
      <ns0:c r="H402" s="2"/>
      <ns0:c r="I402" s="2"/>
      <ns0:c r="J402" s="2"/>
    </ns0:row>
    <ns0:row r="403" ht="22" customHeight="1">
      <ns0:c r="A403" s="2"/>
      <ns0:c r="B403" s="2"/>
      <ns0:c r="C403" s="2"/>
      <ns0:c r="D403" s="2"/>
      <ns0:c r="E403" s="2"/>
      <ns0:c r="F403" s="2"/>
      <ns0:c r="G403" s="2"/>
      <ns0:c r="H403" s="2"/>
      <ns0:c r="I403" s="2"/>
      <ns0:c r="J403" s="2"/>
    </ns0:row>
    <ns0:row r="404" ht="22" customHeight="1">
      <ns0:c r="A404" s="2"/>
      <ns0:c r="B404" s="2"/>
      <ns0:c r="C404" s="2"/>
      <ns0:c r="D404" s="2"/>
      <ns0:c r="E404" s="2"/>
      <ns0:c r="F404" s="2"/>
      <ns0:c r="G404" s="2"/>
      <ns0:c r="H404" s="2"/>
      <ns0:c r="I404" s="2"/>
      <ns0:c r="J404" s="2"/>
    </ns0:row>
    <ns0:row r="405" ht="22" customHeight="1">
      <ns0:c r="A405" s="2"/>
      <ns0:c r="B405" s="2"/>
      <ns0:c r="C405" s="2"/>
      <ns0:c r="D405" s="2"/>
      <ns0:c r="E405" s="2"/>
      <ns0:c r="F405" s="2"/>
      <ns0:c r="G405" s="2"/>
      <ns0:c r="H405" s="2"/>
      <ns0:c r="I405" s="2"/>
      <ns0:c r="J405" s="2"/>
    </ns0:row>
    <ns0:row r="406" ht="22" customHeight="1">
      <ns0:c r="A406" s="2"/>
      <ns0:c r="B406" s="2"/>
      <ns0:c r="C406" s="2"/>
      <ns0:c r="D406" s="2"/>
      <ns0:c r="E406" s="2"/>
      <ns0:c r="F406" s="2"/>
      <ns0:c r="G406" s="2"/>
      <ns0:c r="H406" s="2"/>
      <ns0:c r="I406" s="2"/>
      <ns0:c r="J406" s="2"/>
    </ns0:row>
    <ns0:row r="407" ht="22" customHeight="1">
      <ns0:c r="A407" s="2"/>
      <ns0:c r="B407" s="2"/>
      <ns0:c r="C407" s="2"/>
      <ns0:c r="D407" s="2"/>
      <ns0:c r="E407" s="2"/>
      <ns0:c r="F407" s="2"/>
      <ns0:c r="G407" s="2"/>
      <ns0:c r="H407" s="2"/>
      <ns0:c r="I407" s="2"/>
      <ns0:c r="J407" s="2"/>
    </ns0:row>
    <ns0:row r="408" ht="22" customHeight="1">
      <ns0:c r="A408" s="2"/>
      <ns0:c r="B408" s="2"/>
      <ns0:c r="C408" s="2"/>
      <ns0:c r="D408" s="2"/>
      <ns0:c r="E408" s="2"/>
      <ns0:c r="F408" s="2"/>
      <ns0:c r="G408" s="2"/>
      <ns0:c r="H408" s="2"/>
      <ns0:c r="I408" s="2"/>
      <ns0:c r="J408" s="2"/>
    </ns0:row>
    <ns0:row r="409" ht="22" customHeight="1">
      <ns0:c r="A409" s="2"/>
      <ns0:c r="B409" s="2"/>
      <ns0:c r="C409" s="2"/>
      <ns0:c r="D409" s="2"/>
      <ns0:c r="E409" s="2"/>
      <ns0:c r="F409" s="2"/>
      <ns0:c r="G409" s="2"/>
      <ns0:c r="H409" s="2"/>
      <ns0:c r="I409" s="2"/>
      <ns0:c r="J409" s="2"/>
    </ns0:row>
    <ns0:row r="410" ht="22" customHeight="1">
      <ns0:c r="A410" s="2"/>
      <ns0:c r="B410" s="2"/>
      <ns0:c r="C410" s="2"/>
      <ns0:c r="D410" s="2"/>
      <ns0:c r="E410" s="2"/>
      <ns0:c r="F410" s="2"/>
      <ns0:c r="G410" s="2"/>
      <ns0:c r="H410" s="2"/>
      <ns0:c r="I410" s="2"/>
      <ns0:c r="J410" s="2"/>
    </ns0:row>
    <ns0:row r="411" ht="22" customHeight="1">
      <ns0:c r="A411" s="2"/>
      <ns0:c r="B411" s="2"/>
      <ns0:c r="C411" s="2"/>
      <ns0:c r="D411" s="2"/>
      <ns0:c r="E411" s="2"/>
      <ns0:c r="F411" s="2"/>
      <ns0:c r="G411" s="2"/>
      <ns0:c r="H411" s="2"/>
      <ns0:c r="I411" s="2"/>
      <ns0:c r="J411" s="2"/>
    </ns0:row>
    <ns0:row r="412" ht="22" customHeight="1">
      <ns0:c r="A412" s="2"/>
      <ns0:c r="B412" s="2"/>
      <ns0:c r="C412" s="2"/>
      <ns0:c r="D412" s="2"/>
      <ns0:c r="E412" s="2"/>
      <ns0:c r="F412" s="2"/>
      <ns0:c r="G412" s="2"/>
      <ns0:c r="H412" s="2"/>
      <ns0:c r="I412" s="2"/>
      <ns0:c r="J412" s="2"/>
    </ns0:row>
    <ns0:row r="413" ht="22" customHeight="1">
      <ns0:c r="A413" s="2"/>
      <ns0:c r="B413" s="2"/>
      <ns0:c r="C413" s="2"/>
      <ns0:c r="D413" s="2"/>
      <ns0:c r="E413" s="2"/>
      <ns0:c r="F413" s="2"/>
      <ns0:c r="G413" s="2"/>
      <ns0:c r="H413" s="2"/>
      <ns0:c r="I413" s="2"/>
      <ns0:c r="J413" s="2"/>
    </ns0:row>
    <ns0:row r="414" ht="22" customHeight="1">
      <ns0:c r="A414" s="2"/>
      <ns0:c r="B414" s="2"/>
      <ns0:c r="C414" s="2"/>
      <ns0:c r="D414" s="2"/>
      <ns0:c r="E414" s="2"/>
      <ns0:c r="F414" s="2"/>
      <ns0:c r="G414" s="2"/>
      <ns0:c r="H414" s="2"/>
      <ns0:c r="I414" s="2"/>
      <ns0:c r="J414" s="2"/>
    </ns0:row>
    <ns0:row r="415" ht="22" customHeight="1">
      <ns0:c r="A415" s="2"/>
      <ns0:c r="B415" s="2"/>
      <ns0:c r="C415" s="2"/>
      <ns0:c r="D415" s="2"/>
      <ns0:c r="E415" s="2"/>
      <ns0:c r="F415" s="2"/>
      <ns0:c r="G415" s="2"/>
      <ns0:c r="H415" s="2"/>
      <ns0:c r="I415" s="2"/>
      <ns0:c r="J415" s="2"/>
    </ns0:row>
    <ns0:row r="416" ht="22" customHeight="1">
      <ns0:c r="A416" s="2"/>
      <ns0:c r="B416" s="2"/>
      <ns0:c r="C416" s="2"/>
      <ns0:c r="D416" s="2"/>
      <ns0:c r="E416" s="2"/>
      <ns0:c r="F416" s="2"/>
      <ns0:c r="G416" s="2"/>
      <ns0:c r="H416" s="2"/>
      <ns0:c r="I416" s="2"/>
      <ns0:c r="J416" s="2"/>
    </ns0:row>
    <ns0:row r="417" ht="22" customHeight="1">
      <ns0:c r="A417" s="2"/>
      <ns0:c r="B417" s="2"/>
      <ns0:c r="C417" s="2"/>
      <ns0:c r="D417" s="2"/>
      <ns0:c r="E417" s="2"/>
      <ns0:c r="F417" s="2"/>
      <ns0:c r="G417" s="2"/>
      <ns0:c r="H417" s="2"/>
      <ns0:c r="I417" s="2"/>
      <ns0:c r="J417" s="2"/>
    </ns0:row>
    <ns0:row r="418" ht="22" customHeight="1">
      <ns0:c r="A418" s="2"/>
      <ns0:c r="B418" s="2"/>
      <ns0:c r="C418" s="2"/>
      <ns0:c r="D418" s="2"/>
      <ns0:c r="E418" s="2"/>
      <ns0:c r="F418" s="2"/>
      <ns0:c r="G418" s="2"/>
      <ns0:c r="H418" s="2"/>
      <ns0:c r="I418" s="2"/>
      <ns0:c r="J418" s="2"/>
    </ns0:row>
    <ns0:row r="419" ht="22" customHeight="1">
      <ns0:c r="A419" s="2"/>
      <ns0:c r="B419" s="2"/>
      <ns0:c r="C419" s="2"/>
      <ns0:c r="D419" s="2"/>
      <ns0:c r="E419" s="2"/>
      <ns0:c r="F419" s="2"/>
      <ns0:c r="G419" s="2"/>
      <ns0:c r="H419" s="2"/>
      <ns0:c r="I419" s="2"/>
      <ns0:c r="J419" s="2"/>
    </ns0:row>
    <ns0:row r="420" ht="22" customHeight="1">
      <ns0:c r="A420" s="2"/>
      <ns0:c r="B420" s="2"/>
      <ns0:c r="C420" s="2"/>
      <ns0:c r="D420" s="2"/>
      <ns0:c r="E420" s="2"/>
      <ns0:c r="F420" s="2"/>
      <ns0:c r="G420" s="2"/>
      <ns0:c r="H420" s="2"/>
      <ns0:c r="I420" s="2"/>
      <ns0:c r="J420" s="2"/>
    </ns0:row>
    <ns0:row r="421" ht="22" customHeight="1">
      <ns0:c r="A421" s="2"/>
      <ns0:c r="B421" s="2"/>
      <ns0:c r="C421" s="2"/>
      <ns0:c r="D421" s="2"/>
      <ns0:c r="E421" s="2"/>
      <ns0:c r="F421" s="2"/>
      <ns0:c r="G421" s="2"/>
      <ns0:c r="H421" s="2"/>
      <ns0:c r="I421" s="2"/>
      <ns0:c r="J421" s="2"/>
    </ns0:row>
    <ns0:row r="422" ht="22" customHeight="1">
      <ns0:c r="A422" s="2"/>
      <ns0:c r="B422" s="2"/>
      <ns0:c r="C422" s="2"/>
      <ns0:c r="D422" s="2"/>
      <ns0:c r="E422" s="2"/>
      <ns0:c r="F422" s="2"/>
      <ns0:c r="G422" s="2"/>
      <ns0:c r="H422" s="2"/>
      <ns0:c r="I422" s="2"/>
      <ns0:c r="J422" s="2"/>
    </ns0:row>
    <ns0:row r="423" ht="22" customHeight="1">
      <ns0:c r="A423" s="2"/>
      <ns0:c r="B423" s="2"/>
      <ns0:c r="C423" s="2"/>
      <ns0:c r="D423" s="2"/>
      <ns0:c r="E423" s="2"/>
      <ns0:c r="F423" s="2"/>
      <ns0:c r="G423" s="2"/>
      <ns0:c r="H423" s="2"/>
      <ns0:c r="I423" s="2"/>
      <ns0:c r="J423" s="2"/>
    </ns0:row>
    <ns0:row r="424" ht="22" customHeight="1">
      <ns0:c r="A424" s="2"/>
      <ns0:c r="B424" s="2"/>
      <ns0:c r="C424" s="2"/>
      <ns0:c r="D424" s="2"/>
      <ns0:c r="E424" s="2"/>
      <ns0:c r="F424" s="2"/>
      <ns0:c r="G424" s="2"/>
      <ns0:c r="H424" s="2"/>
      <ns0:c r="I424" s="2"/>
      <ns0:c r="J424" s="2"/>
    </ns0:row>
    <ns0:row r="425" ht="22" customHeight="1">
      <ns0:c r="A425" s="2"/>
      <ns0:c r="B425" s="2"/>
      <ns0:c r="C425" s="2"/>
      <ns0:c r="D425" s="2"/>
      <ns0:c r="E425" s="2"/>
      <ns0:c r="F425" s="2"/>
      <ns0:c r="G425" s="2"/>
      <ns0:c r="H425" s="2"/>
      <ns0:c r="I425" s="2"/>
      <ns0:c r="J425" s="2"/>
    </ns0:row>
    <ns0:row r="426" ht="22" customHeight="1">
      <ns0:c r="A426" s="2"/>
      <ns0:c r="B426" s="2"/>
      <ns0:c r="C426" s="2"/>
      <ns0:c r="D426" s="2"/>
      <ns0:c r="E426" s="2"/>
      <ns0:c r="F426" s="2"/>
      <ns0:c r="G426" s="2"/>
      <ns0:c r="H426" s="2"/>
      <ns0:c r="I426" s="2"/>
      <ns0:c r="J426" s="2"/>
    </ns0:row>
    <ns0:row r="427" ht="22" customHeight="1">
      <ns0:c r="A427" s="2"/>
      <ns0:c r="B427" s="2"/>
      <ns0:c r="C427" s="2"/>
      <ns0:c r="D427" s="2"/>
      <ns0:c r="E427" s="2"/>
      <ns0:c r="F427" s="2"/>
      <ns0:c r="G427" s="2"/>
      <ns0:c r="H427" s="2"/>
      <ns0:c r="I427" s="2"/>
      <ns0:c r="J427" s="2"/>
    </ns0:row>
    <ns0:row r="428" ht="22" customHeight="1">
      <ns0:c r="A428" s="2"/>
      <ns0:c r="B428" s="2"/>
      <ns0:c r="C428" s="2"/>
      <ns0:c r="D428" s="2"/>
      <ns0:c r="E428" s="2"/>
      <ns0:c r="F428" s="2"/>
      <ns0:c r="G428" s="2"/>
      <ns0:c r="H428" s="2"/>
      <ns0:c r="I428" s="2"/>
      <ns0:c r="J428" s="2"/>
    </ns0:row>
    <ns0:row r="429" ht="22" customHeight="1">
      <ns0:c r="A429" s="2"/>
      <ns0:c r="B429" s="2"/>
      <ns0:c r="C429" s="2"/>
      <ns0:c r="D429" s="2"/>
      <ns0:c r="E429" s="2"/>
      <ns0:c r="F429" s="2"/>
      <ns0:c r="G429" s="2"/>
      <ns0:c r="H429" s="2"/>
      <ns0:c r="I429" s="2"/>
      <ns0:c r="J429" s="2"/>
    </ns0:row>
    <ns0:row r="430" ht="22" customHeight="1">
      <ns0:c r="A430" s="2"/>
      <ns0:c r="B430" s="2"/>
      <ns0:c r="C430" s="2"/>
      <ns0:c r="D430" s="2"/>
      <ns0:c r="E430" s="2"/>
      <ns0:c r="F430" s="2"/>
      <ns0:c r="G430" s="2"/>
      <ns0:c r="H430" s="2"/>
      <ns0:c r="I430" s="2"/>
      <ns0:c r="J430" s="2"/>
    </ns0:row>
    <ns0:row r="431" ht="22" customHeight="1">
      <ns0:c r="A431" s="2"/>
      <ns0:c r="B431" s="2"/>
      <ns0:c r="C431" s="2"/>
      <ns0:c r="D431" s="2"/>
      <ns0:c r="E431" s="2"/>
      <ns0:c r="F431" s="2"/>
      <ns0:c r="G431" s="2"/>
      <ns0:c r="H431" s="2"/>
      <ns0:c r="I431" s="2"/>
      <ns0:c r="J431" s="2"/>
    </ns0:row>
    <ns0:row r="432" ht="22" customHeight="1">
      <ns0:c r="A432" s="2"/>
      <ns0:c r="B432" s="2"/>
      <ns0:c r="C432" s="2"/>
      <ns0:c r="D432" s="2"/>
      <ns0:c r="E432" s="2"/>
      <ns0:c r="F432" s="2"/>
      <ns0:c r="G432" s="2"/>
      <ns0:c r="H432" s="2"/>
      <ns0:c r="I432" s="2"/>
      <ns0:c r="J432" s="2"/>
    </ns0:row>
    <ns0:row r="433" ht="22" customHeight="1">
      <ns0:c r="A433" s="2"/>
      <ns0:c r="B433" s="2"/>
      <ns0:c r="C433" s="2"/>
      <ns0:c r="D433" s="2"/>
      <ns0:c r="E433" s="2"/>
      <ns0:c r="F433" s="2"/>
      <ns0:c r="G433" s="2"/>
      <ns0:c r="H433" s="2"/>
      <ns0:c r="I433" s="2"/>
      <ns0:c r="J433" s="2"/>
    </ns0:row>
    <ns0:row r="434" ht="22" customHeight="1">
      <ns0:c r="A434" s="2"/>
      <ns0:c r="B434" s="2"/>
      <ns0:c r="C434" s="2"/>
      <ns0:c r="D434" s="2"/>
      <ns0:c r="E434" s="2"/>
      <ns0:c r="F434" s="2"/>
      <ns0:c r="G434" s="2"/>
      <ns0:c r="H434" s="2"/>
      <ns0:c r="I434" s="2"/>
      <ns0:c r="J434" s="2"/>
    </ns0:row>
    <ns0:row r="435" ht="22" customHeight="1">
      <ns0:c r="A435" s="2"/>
      <ns0:c r="B435" s="2"/>
      <ns0:c r="C435" s="2"/>
      <ns0:c r="D435" s="2"/>
      <ns0:c r="E435" s="2"/>
      <ns0:c r="F435" s="2"/>
      <ns0:c r="G435" s="2"/>
      <ns0:c r="H435" s="2"/>
      <ns0:c r="I435" s="2"/>
      <ns0:c r="J435" s="2"/>
    </ns0:row>
    <ns0:row r="436" ht="22" customHeight="1">
      <ns0:c r="A436" s="2"/>
      <ns0:c r="B436" s="2"/>
      <ns0:c r="C436" s="2"/>
      <ns0:c r="D436" s="2"/>
      <ns0:c r="E436" s="2"/>
      <ns0:c r="F436" s="2"/>
      <ns0:c r="G436" s="2"/>
      <ns0:c r="H436" s="2"/>
      <ns0:c r="I436" s="2"/>
      <ns0:c r="J436" s="2"/>
    </ns0:row>
    <ns0:row r="437" ht="22" customHeight="1">
      <ns0:c r="A437" s="2"/>
      <ns0:c r="B437" s="2"/>
      <ns0:c r="C437" s="2"/>
      <ns0:c r="D437" s="2"/>
      <ns0:c r="E437" s="2"/>
      <ns0:c r="F437" s="2"/>
      <ns0:c r="G437" s="2"/>
      <ns0:c r="H437" s="2"/>
      <ns0:c r="I437" s="2"/>
      <ns0:c r="J437" s="2"/>
    </ns0:row>
    <ns0:row r="438" ht="22" customHeight="1">
      <ns0:c r="A438" s="2"/>
      <ns0:c r="B438" s="2"/>
      <ns0:c r="C438" s="2"/>
      <ns0:c r="D438" s="2"/>
      <ns0:c r="E438" s="2"/>
      <ns0:c r="F438" s="2"/>
      <ns0:c r="G438" s="2"/>
      <ns0:c r="H438" s="2"/>
      <ns0:c r="I438" s="2"/>
      <ns0:c r="J438" s="2"/>
    </ns0:row>
    <ns0:row r="439" ht="22" customHeight="1">
      <ns0:c r="A439" s="2"/>
      <ns0:c r="B439" s="2"/>
      <ns0:c r="C439" s="2"/>
      <ns0:c r="D439" s="2"/>
      <ns0:c r="E439" s="2"/>
      <ns0:c r="F439" s="2"/>
      <ns0:c r="G439" s="2"/>
      <ns0:c r="H439" s="2"/>
      <ns0:c r="I439" s="2"/>
      <ns0:c r="J439" s="2"/>
    </ns0:row>
    <ns0:row r="440" ht="22" customHeight="1">
      <ns0:c r="A440" s="2"/>
      <ns0:c r="B440" s="2"/>
      <ns0:c r="C440" s="2"/>
      <ns0:c r="D440" s="2"/>
      <ns0:c r="E440" s="2"/>
      <ns0:c r="F440" s="2"/>
      <ns0:c r="G440" s="2"/>
      <ns0:c r="H440" s="2"/>
      <ns0:c r="I440" s="2"/>
      <ns0:c r="J440" s="2"/>
    </ns0:row>
    <ns0:row r="441" ht="22" customHeight="1">
      <ns0:c r="A441" s="2"/>
      <ns0:c r="B441" s="2"/>
      <ns0:c r="C441" s="2"/>
      <ns0:c r="D441" s="2"/>
      <ns0:c r="E441" s="2"/>
      <ns0:c r="F441" s="2"/>
      <ns0:c r="G441" s="2"/>
      <ns0:c r="H441" s="2"/>
      <ns0:c r="I441" s="2"/>
      <ns0:c r="J441" s="2"/>
    </ns0:row>
    <ns0:row r="442" ht="22" customHeight="1">
      <ns0:c r="A442" s="2"/>
      <ns0:c r="B442" s="2"/>
      <ns0:c r="C442" s="2"/>
      <ns0:c r="D442" s="2"/>
      <ns0:c r="E442" s="2"/>
      <ns0:c r="F442" s="2"/>
      <ns0:c r="G442" s="2"/>
      <ns0:c r="H442" s="2"/>
      <ns0:c r="I442" s="2"/>
      <ns0:c r="J442" s="2"/>
    </ns0:row>
    <ns0:row r="443" ht="22" customHeight="1">
      <ns0:c r="A443" s="2"/>
      <ns0:c r="B443" s="2"/>
      <ns0:c r="C443" s="2"/>
      <ns0:c r="D443" s="2"/>
      <ns0:c r="E443" s="2"/>
      <ns0:c r="F443" s="2"/>
      <ns0:c r="G443" s="2"/>
      <ns0:c r="H443" s="2"/>
      <ns0:c r="I443" s="2"/>
      <ns0:c r="J443" s="2"/>
    </ns0:row>
    <ns0:row r="444" ht="22" customHeight="1">
      <ns0:c r="A444" s="2"/>
      <ns0:c r="B444" s="2"/>
      <ns0:c r="C444" s="2"/>
      <ns0:c r="D444" s="2"/>
      <ns0:c r="E444" s="2"/>
      <ns0:c r="F444" s="2"/>
      <ns0:c r="G444" s="2"/>
      <ns0:c r="H444" s="2"/>
      <ns0:c r="I444" s="2"/>
      <ns0:c r="J444" s="2"/>
    </ns0:row>
    <ns0:row r="445" ht="22" customHeight="1">
      <ns0:c r="A445" s="2"/>
      <ns0:c r="B445" s="2"/>
      <ns0:c r="C445" s="2"/>
      <ns0:c r="D445" s="2"/>
      <ns0:c r="E445" s="2"/>
      <ns0:c r="F445" s="2"/>
      <ns0:c r="G445" s="2"/>
      <ns0:c r="H445" s="2"/>
      <ns0:c r="I445" s="2"/>
      <ns0:c r="J445" s="2"/>
    </ns0:row>
    <ns0:row r="446" ht="22" customHeight="1">
      <ns0:c r="A446" s="2"/>
      <ns0:c r="B446" s="2"/>
      <ns0:c r="C446" s="2"/>
      <ns0:c r="D446" s="2"/>
      <ns0:c r="E446" s="2"/>
      <ns0:c r="F446" s="2"/>
      <ns0:c r="G446" s="2"/>
      <ns0:c r="H446" s="2"/>
      <ns0:c r="I446" s="2"/>
      <ns0:c r="J446" s="2"/>
    </ns0:row>
    <ns0:row r="447" ht="22" customHeight="1">
      <ns0:c r="A447" s="2"/>
      <ns0:c r="B447" s="2"/>
      <ns0:c r="C447" s="2"/>
      <ns0:c r="D447" s="2"/>
      <ns0:c r="E447" s="2"/>
      <ns0:c r="F447" s="2"/>
      <ns0:c r="G447" s="2"/>
      <ns0:c r="H447" s="2"/>
      <ns0:c r="I447" s="2"/>
      <ns0:c r="J447" s="2"/>
    </ns0:row>
    <ns0:row r="448" ht="22" customHeight="1">
      <ns0:c r="A448" s="2"/>
      <ns0:c r="B448" s="2"/>
      <ns0:c r="C448" s="2"/>
      <ns0:c r="D448" s="2"/>
      <ns0:c r="E448" s="2"/>
      <ns0:c r="F448" s="2"/>
      <ns0:c r="G448" s="2"/>
      <ns0:c r="H448" s="2"/>
      <ns0:c r="I448" s="2"/>
      <ns0:c r="J448" s="2"/>
    </ns0:row>
    <ns0:row r="449" ht="22" customHeight="1">
      <ns0:c r="A449" s="2"/>
      <ns0:c r="B449" s="2"/>
      <ns0:c r="C449" s="2"/>
      <ns0:c r="D449" s="2"/>
      <ns0:c r="E449" s="2"/>
      <ns0:c r="F449" s="2"/>
      <ns0:c r="G449" s="2"/>
      <ns0:c r="H449" s="2"/>
      <ns0:c r="I449" s="2"/>
      <ns0:c r="J449" s="2"/>
    </ns0:row>
    <ns0:row r="450" ht="22" customHeight="1">
      <ns0:c r="A450" s="2"/>
      <ns0:c r="B450" s="2"/>
      <ns0:c r="C450" s="2"/>
      <ns0:c r="D450" s="2"/>
      <ns0:c r="E450" s="2"/>
      <ns0:c r="F450" s="2"/>
      <ns0:c r="G450" s="2"/>
      <ns0:c r="H450" s="2"/>
      <ns0:c r="I450" s="2"/>
      <ns0:c r="J450" s="2"/>
    </ns0:row>
    <ns0:row r="451" ht="22" customHeight="1">
      <ns0:c r="A451" s="2"/>
      <ns0:c r="B451" s="2"/>
      <ns0:c r="C451" s="2"/>
      <ns0:c r="D451" s="2"/>
      <ns0:c r="E451" s="2"/>
      <ns0:c r="F451" s="2"/>
      <ns0:c r="G451" s="2"/>
      <ns0:c r="H451" s="2"/>
      <ns0:c r="I451" s="2"/>
      <ns0:c r="J451" s="2"/>
    </ns0:row>
    <ns0:row r="452" ht="22" customHeight="1">
      <ns0:c r="A452" s="2"/>
      <ns0:c r="B452" s="2"/>
      <ns0:c r="C452" s="2"/>
      <ns0:c r="D452" s="2"/>
      <ns0:c r="E452" s="2"/>
      <ns0:c r="F452" s="2"/>
      <ns0:c r="G452" s="2"/>
      <ns0:c r="H452" s="2"/>
      <ns0:c r="I452" s="2"/>
      <ns0:c r="J452" s="2"/>
    </ns0:row>
    <ns0:row r="453" ht="22" customHeight="1">
      <ns0:c r="A453" s="2"/>
      <ns0:c r="B453" s="2"/>
      <ns0:c r="C453" s="2"/>
      <ns0:c r="D453" s="2"/>
      <ns0:c r="E453" s="2"/>
      <ns0:c r="F453" s="2"/>
      <ns0:c r="G453" s="2"/>
      <ns0:c r="H453" s="2"/>
      <ns0:c r="I453" s="2"/>
      <ns0:c r="J453" s="2"/>
    </ns0:row>
    <ns0:row r="454" ht="22" customHeight="1">
      <ns0:c r="A454" s="2"/>
      <ns0:c r="B454" s="2"/>
      <ns0:c r="C454" s="2"/>
      <ns0:c r="D454" s="2"/>
      <ns0:c r="E454" s="2"/>
      <ns0:c r="F454" s="2"/>
      <ns0:c r="G454" s="2"/>
      <ns0:c r="H454" s="2"/>
      <ns0:c r="I454" s="2"/>
      <ns0:c r="J454" s="2"/>
    </ns0:row>
    <ns0:row r="455" ht="22" customHeight="1">
      <ns0:c r="A455" s="2"/>
      <ns0:c r="B455" s="2"/>
      <ns0:c r="C455" s="2"/>
      <ns0:c r="D455" s="2"/>
      <ns0:c r="E455" s="2"/>
      <ns0:c r="F455" s="2"/>
      <ns0:c r="G455" s="2"/>
      <ns0:c r="H455" s="2"/>
      <ns0:c r="I455" s="2"/>
      <ns0:c r="J455" s="2"/>
    </ns0:row>
    <ns0:row r="456" ht="22" customHeight="1">
      <ns0:c r="A456" s="2"/>
      <ns0:c r="B456" s="2"/>
      <ns0:c r="C456" s="2"/>
      <ns0:c r="D456" s="2"/>
      <ns0:c r="E456" s="2"/>
      <ns0:c r="F456" s="2"/>
      <ns0:c r="G456" s="2"/>
      <ns0:c r="H456" s="2"/>
      <ns0:c r="I456" s="2"/>
      <ns0:c r="J456" s="2"/>
    </ns0:row>
    <ns0:row r="457" ht="22" customHeight="1">
      <ns0:c r="A457" s="2"/>
      <ns0:c r="B457" s="2"/>
      <ns0:c r="C457" s="2"/>
      <ns0:c r="D457" s="2"/>
      <ns0:c r="E457" s="2"/>
      <ns0:c r="F457" s="2"/>
      <ns0:c r="G457" s="2"/>
      <ns0:c r="H457" s="2"/>
      <ns0:c r="I457" s="2"/>
      <ns0:c r="J457" s="2"/>
    </ns0:row>
    <ns0:row r="458" ht="22" customHeight="1">
      <ns0:c r="A458" s="2"/>
      <ns0:c r="B458" s="2"/>
      <ns0:c r="C458" s="2"/>
      <ns0:c r="D458" s="2"/>
      <ns0:c r="E458" s="2"/>
      <ns0:c r="F458" s="2"/>
      <ns0:c r="G458" s="2"/>
      <ns0:c r="H458" s="2"/>
      <ns0:c r="I458" s="2"/>
      <ns0:c r="J458" s="2"/>
    </ns0:row>
    <ns0:row r="459" ht="22" customHeight="1">
      <ns0:c r="A459" s="2"/>
      <ns0:c r="B459" s="2"/>
      <ns0:c r="C459" s="2"/>
      <ns0:c r="D459" s="2"/>
      <ns0:c r="E459" s="2"/>
      <ns0:c r="F459" s="2"/>
      <ns0:c r="G459" s="2"/>
      <ns0:c r="H459" s="2"/>
      <ns0:c r="I459" s="2"/>
      <ns0:c r="J459" s="2"/>
    </ns0:row>
    <ns0:row r="460" ht="22" customHeight="1">
      <ns0:c r="A460" s="2"/>
      <ns0:c r="B460" s="2"/>
      <ns0:c r="C460" s="2"/>
      <ns0:c r="D460" s="2"/>
      <ns0:c r="E460" s="2"/>
      <ns0:c r="F460" s="2"/>
      <ns0:c r="G460" s="2"/>
      <ns0:c r="H460" s="2"/>
      <ns0:c r="I460" s="2"/>
      <ns0:c r="J460" s="2"/>
    </ns0:row>
    <ns0:row r="461" ht="22" customHeight="1">
      <ns0:c r="A461" s="2"/>
      <ns0:c r="B461" s="2"/>
      <ns0:c r="C461" s="2"/>
      <ns0:c r="D461" s="2"/>
      <ns0:c r="E461" s="2"/>
      <ns0:c r="F461" s="2"/>
      <ns0:c r="G461" s="2"/>
      <ns0:c r="H461" s="2"/>
      <ns0:c r="I461" s="2"/>
      <ns0:c r="J461" s="2"/>
    </ns0:row>
    <ns0:row r="462" ht="22" customHeight="1">
      <ns0:c r="A462" s="2"/>
      <ns0:c r="B462" s="2"/>
      <ns0:c r="C462" s="2"/>
      <ns0:c r="D462" s="2"/>
      <ns0:c r="E462" s="2"/>
      <ns0:c r="F462" s="2"/>
      <ns0:c r="G462" s="2"/>
      <ns0:c r="H462" s="2"/>
      <ns0:c r="I462" s="2"/>
      <ns0:c r="J462" s="2"/>
    </ns0:row>
    <ns0:row r="463" ht="22" customHeight="1">
      <ns0:c r="A463" s="2"/>
      <ns0:c r="B463" s="2"/>
      <ns0:c r="C463" s="2"/>
      <ns0:c r="D463" s="2"/>
      <ns0:c r="E463" s="2"/>
      <ns0:c r="F463" s="2"/>
      <ns0:c r="G463" s="2"/>
      <ns0:c r="H463" s="2"/>
      <ns0:c r="I463" s="2"/>
      <ns0:c r="J463" s="2"/>
    </ns0:row>
    <ns0:row r="464" ht="22" customHeight="1">
      <ns0:c r="A464" s="2"/>
      <ns0:c r="B464" s="2"/>
      <ns0:c r="C464" s="2"/>
      <ns0:c r="D464" s="2"/>
      <ns0:c r="E464" s="2"/>
      <ns0:c r="F464" s="2"/>
      <ns0:c r="G464" s="2"/>
      <ns0:c r="H464" s="2"/>
      <ns0:c r="I464" s="2"/>
      <ns0:c r="J464" s="2"/>
    </ns0:row>
    <ns0:row r="465" ht="22" customHeight="1">
      <ns0:c r="A465" s="2"/>
      <ns0:c r="B465" s="2"/>
      <ns0:c r="C465" s="2"/>
      <ns0:c r="D465" s="2"/>
      <ns0:c r="E465" s="2"/>
      <ns0:c r="F465" s="2"/>
      <ns0:c r="G465" s="2"/>
      <ns0:c r="H465" s="2"/>
      <ns0:c r="I465" s="2"/>
      <ns0:c r="J465" s="2"/>
    </ns0:row>
    <ns0:row r="466" ht="22" customHeight="1">
      <ns0:c r="A466" s="2"/>
      <ns0:c r="B466" s="2"/>
      <ns0:c r="C466" s="2"/>
      <ns0:c r="D466" s="2"/>
      <ns0:c r="E466" s="2"/>
      <ns0:c r="F466" s="2"/>
      <ns0:c r="G466" s="2"/>
      <ns0:c r="H466" s="2"/>
      <ns0:c r="I466" s="2"/>
      <ns0:c r="J466" s="2"/>
    </ns0:row>
    <ns0:row r="467" ht="22" customHeight="1">
      <ns0:c r="A467" s="2"/>
      <ns0:c r="B467" s="2"/>
      <ns0:c r="C467" s="2"/>
      <ns0:c r="D467" s="2"/>
      <ns0:c r="E467" s="2"/>
      <ns0:c r="F467" s="2"/>
      <ns0:c r="G467" s="2"/>
      <ns0:c r="H467" s="2"/>
      <ns0:c r="I467" s="2"/>
      <ns0:c r="J467" s="2"/>
    </ns0:row>
    <ns0:row r="468" ht="22" customHeight="1">
      <ns0:c r="A468" s="2"/>
      <ns0:c r="B468" s="2"/>
      <ns0:c r="C468" s="2"/>
      <ns0:c r="D468" s="2"/>
      <ns0:c r="E468" s="2"/>
      <ns0:c r="F468" s="2"/>
      <ns0:c r="G468" s="2"/>
      <ns0:c r="H468" s="2"/>
      <ns0:c r="I468" s="2"/>
      <ns0:c r="J468" s="2"/>
    </ns0:row>
    <ns0:row r="469" ht="22" customHeight="1">
      <ns0:c r="A469" s="2"/>
      <ns0:c r="B469" s="2"/>
      <ns0:c r="C469" s="2"/>
      <ns0:c r="D469" s="2"/>
      <ns0:c r="E469" s="2"/>
      <ns0:c r="F469" s="2"/>
      <ns0:c r="G469" s="2"/>
      <ns0:c r="H469" s="2"/>
      <ns0:c r="I469" s="2"/>
      <ns0:c r="J469" s="2"/>
    </ns0:row>
    <ns0:row r="470" ht="22" customHeight="1">
      <ns0:c r="A470" s="2"/>
      <ns0:c r="B470" s="2"/>
      <ns0:c r="C470" s="2"/>
      <ns0:c r="D470" s="2"/>
      <ns0:c r="E470" s="2"/>
      <ns0:c r="F470" s="2"/>
      <ns0:c r="G470" s="2"/>
      <ns0:c r="H470" s="2"/>
      <ns0:c r="I470" s="2"/>
      <ns0:c r="J470" s="2"/>
    </ns0:row>
    <ns0:row r="471" ht="22" customHeight="1">
      <ns0:c r="A471" s="2"/>
      <ns0:c r="B471" s="2"/>
      <ns0:c r="C471" s="2"/>
      <ns0:c r="D471" s="2"/>
      <ns0:c r="E471" s="2"/>
      <ns0:c r="F471" s="2"/>
      <ns0:c r="G471" s="2"/>
      <ns0:c r="H471" s="2"/>
      <ns0:c r="I471" s="2"/>
      <ns0:c r="J471" s="2"/>
    </ns0:row>
    <ns0:row r="472" ht="22" customHeight="1">
      <ns0:c r="A472" s="2"/>
      <ns0:c r="B472" s="2"/>
      <ns0:c r="C472" s="2"/>
      <ns0:c r="D472" s="2"/>
      <ns0:c r="E472" s="2"/>
      <ns0:c r="F472" s="2"/>
      <ns0:c r="G472" s="2"/>
      <ns0:c r="H472" s="2"/>
      <ns0:c r="I472" s="2"/>
      <ns0:c r="J472" s="2"/>
    </ns0:row>
    <ns0:row r="473" ht="22" customHeight="1">
      <ns0:c r="A473" s="2"/>
      <ns0:c r="B473" s="2"/>
      <ns0:c r="C473" s="2"/>
      <ns0:c r="D473" s="2"/>
      <ns0:c r="E473" s="2"/>
      <ns0:c r="F473" s="2"/>
      <ns0:c r="G473" s="2"/>
      <ns0:c r="H473" s="2"/>
      <ns0:c r="I473" s="2"/>
      <ns0:c r="J473" s="2"/>
    </ns0:row>
    <ns0:row r="474" ht="22" customHeight="1">
      <ns0:c r="A474" s="2"/>
      <ns0:c r="B474" s="2"/>
      <ns0:c r="C474" s="2"/>
      <ns0:c r="D474" s="2"/>
      <ns0:c r="E474" s="2"/>
      <ns0:c r="F474" s="2"/>
      <ns0:c r="G474" s="2"/>
      <ns0:c r="H474" s="2"/>
      <ns0:c r="I474" s="2"/>
      <ns0:c r="J474" s="2"/>
    </ns0:row>
    <ns0:row r="475" ht="22" customHeight="1">
      <ns0:c r="A475" s="2"/>
      <ns0:c r="B475" s="2"/>
      <ns0:c r="C475" s="2"/>
      <ns0:c r="D475" s="2"/>
      <ns0:c r="E475" s="2"/>
      <ns0:c r="F475" s="2"/>
      <ns0:c r="G475" s="2"/>
      <ns0:c r="H475" s="2"/>
      <ns0:c r="I475" s="2"/>
      <ns0:c r="J475" s="2"/>
    </ns0:row>
    <ns0:row r="476" ht="22" customHeight="1">
      <ns0:c r="A476" s="2"/>
      <ns0:c r="B476" s="2"/>
      <ns0:c r="C476" s="2"/>
      <ns0:c r="D476" s="2"/>
      <ns0:c r="E476" s="2"/>
      <ns0:c r="F476" s="2"/>
      <ns0:c r="G476" s="2"/>
      <ns0:c r="H476" s="2"/>
      <ns0:c r="I476" s="2"/>
      <ns0:c r="J476" s="2"/>
    </ns0:row>
    <ns0:row r="477" ht="22" customHeight="1">
      <ns0:c r="A477" s="2"/>
      <ns0:c r="B477" s="2"/>
      <ns0:c r="C477" s="2"/>
      <ns0:c r="D477" s="2"/>
      <ns0:c r="E477" s="2"/>
      <ns0:c r="F477" s="2"/>
      <ns0:c r="G477" s="2"/>
      <ns0:c r="H477" s="2"/>
      <ns0:c r="I477" s="2"/>
      <ns0:c r="J477" s="2"/>
    </ns0:row>
    <ns0:row r="478" ht="22" customHeight="1">
      <ns0:c r="A478" s="2"/>
      <ns0:c r="B478" s="2"/>
      <ns0:c r="C478" s="2"/>
      <ns0:c r="D478" s="2"/>
      <ns0:c r="E478" s="2"/>
      <ns0:c r="F478" s="2"/>
      <ns0:c r="G478" s="2"/>
      <ns0:c r="H478" s="2"/>
      <ns0:c r="I478" s="2"/>
      <ns0:c r="J478" s="2"/>
    </ns0:row>
    <ns0:row r="479" ht="22" customHeight="1">
      <ns0:c r="A479" s="2"/>
      <ns0:c r="B479" s="2"/>
      <ns0:c r="C479" s="2"/>
      <ns0:c r="D479" s="2"/>
      <ns0:c r="E479" s="2"/>
      <ns0:c r="F479" s="2"/>
      <ns0:c r="G479" s="2"/>
      <ns0:c r="H479" s="2"/>
      <ns0:c r="I479" s="2"/>
      <ns0:c r="J479" s="2"/>
    </ns0:row>
    <ns0:row r="480" ht="22" customHeight="1">
      <ns0:c r="A480" s="2"/>
      <ns0:c r="B480" s="2"/>
      <ns0:c r="C480" s="2"/>
      <ns0:c r="D480" s="2"/>
      <ns0:c r="E480" s="2"/>
      <ns0:c r="F480" s="2"/>
      <ns0:c r="G480" s="2"/>
      <ns0:c r="H480" s="2"/>
      <ns0:c r="I480" s="2"/>
      <ns0:c r="J480" s="2"/>
    </ns0:row>
    <ns0:row r="481" ht="22" customHeight="1">
      <ns0:c r="A481" s="2"/>
      <ns0:c r="B481" s="2"/>
      <ns0:c r="C481" s="2"/>
      <ns0:c r="D481" s="2"/>
      <ns0:c r="E481" s="2"/>
      <ns0:c r="F481" s="2"/>
      <ns0:c r="G481" s="2"/>
      <ns0:c r="H481" s="2"/>
      <ns0:c r="I481" s="2"/>
      <ns0:c r="J481" s="2"/>
    </ns0:row>
    <ns0:row r="482" ht="22" customHeight="1">
      <ns0:c r="A482" s="2"/>
      <ns0:c r="B482" s="2"/>
      <ns0:c r="C482" s="2"/>
      <ns0:c r="D482" s="2"/>
      <ns0:c r="E482" s="2"/>
      <ns0:c r="F482" s="2"/>
      <ns0:c r="G482" s="2"/>
      <ns0:c r="H482" s="2"/>
      <ns0:c r="I482" s="2"/>
      <ns0:c r="J482" s="2"/>
    </ns0:row>
    <ns0:row r="483" ht="22" customHeight="1">
      <ns0:c r="A483" s="2"/>
      <ns0:c r="B483" s="2"/>
      <ns0:c r="C483" s="2"/>
      <ns0:c r="D483" s="2"/>
      <ns0:c r="E483" s="2"/>
      <ns0:c r="F483" s="2"/>
      <ns0:c r="G483" s="2"/>
      <ns0:c r="H483" s="2"/>
      <ns0:c r="I483" s="2"/>
      <ns0:c r="J483" s="2"/>
    </ns0:row>
    <ns0:row r="484" ht="22" customHeight="1">
      <ns0:c r="A484" s="2"/>
      <ns0:c r="B484" s="2"/>
      <ns0:c r="C484" s="2"/>
      <ns0:c r="D484" s="2"/>
      <ns0:c r="E484" s="2"/>
      <ns0:c r="F484" s="2"/>
      <ns0:c r="G484" s="2"/>
      <ns0:c r="H484" s="2"/>
      <ns0:c r="I484" s="2"/>
      <ns0:c r="J484" s="2"/>
    </ns0:row>
    <ns0:row r="485" ht="22" customHeight="1">
      <ns0:c r="A485" s="2"/>
      <ns0:c r="B485" s="2"/>
      <ns0:c r="C485" s="2"/>
      <ns0:c r="D485" s="2"/>
      <ns0:c r="E485" s="2"/>
      <ns0:c r="F485" s="2"/>
      <ns0:c r="G485" s="2"/>
      <ns0:c r="H485" s="2"/>
      <ns0:c r="I485" s="2"/>
      <ns0:c r="J485" s="2"/>
    </ns0:row>
    <ns0:row r="486" ht="22" customHeight="1">
      <ns0:c r="A486" s="2"/>
      <ns0:c r="B486" s="2"/>
      <ns0:c r="C486" s="2"/>
      <ns0:c r="D486" s="2"/>
      <ns0:c r="E486" s="2"/>
      <ns0:c r="F486" s="2"/>
      <ns0:c r="G486" s="2"/>
      <ns0:c r="H486" s="2"/>
      <ns0:c r="I486" s="2"/>
      <ns0:c r="J486" s="2"/>
    </ns0:row>
    <ns0:row r="487" ht="22" customHeight="1">
      <ns0:c r="A487" s="2"/>
      <ns0:c r="B487" s="2"/>
      <ns0:c r="C487" s="2"/>
      <ns0:c r="D487" s="2"/>
      <ns0:c r="E487" s="2"/>
      <ns0:c r="F487" s="2"/>
      <ns0:c r="G487" s="2"/>
      <ns0:c r="H487" s="2"/>
      <ns0:c r="I487" s="2"/>
      <ns0:c r="J487" s="2"/>
    </ns0:row>
    <ns0:row r="488" ht="22" customHeight="1">
      <ns0:c r="A488" s="2"/>
      <ns0:c r="B488" s="2"/>
      <ns0:c r="C488" s="2"/>
      <ns0:c r="D488" s="2"/>
      <ns0:c r="E488" s="2"/>
      <ns0:c r="F488" s="2"/>
      <ns0:c r="G488" s="2"/>
      <ns0:c r="H488" s="2"/>
      <ns0:c r="I488" s="2"/>
      <ns0:c r="J488" s="2"/>
    </ns0:row>
    <ns0:row r="489" ht="22" customHeight="1">
      <ns0:c r="A489" s="2"/>
      <ns0:c r="B489" s="2"/>
      <ns0:c r="C489" s="2"/>
      <ns0:c r="D489" s="2"/>
      <ns0:c r="E489" s="2"/>
      <ns0:c r="F489" s="2"/>
      <ns0:c r="G489" s="2"/>
      <ns0:c r="H489" s="2"/>
      <ns0:c r="I489" s="2"/>
      <ns0:c r="J489" s="2"/>
    </ns0:row>
    <ns0:row r="490" ht="22" customHeight="1">
      <ns0:c r="A490" s="2"/>
      <ns0:c r="B490" s="2"/>
      <ns0:c r="C490" s="2"/>
      <ns0:c r="D490" s="2"/>
      <ns0:c r="E490" s="2"/>
      <ns0:c r="F490" s="2"/>
      <ns0:c r="G490" s="2"/>
      <ns0:c r="H490" s="2"/>
      <ns0:c r="I490" s="2"/>
      <ns0:c r="J490" s="2"/>
    </ns0:row>
    <ns0:row r="491" ht="22" customHeight="1">
      <ns0:c r="A491" s="2"/>
      <ns0:c r="B491" s="2"/>
      <ns0:c r="C491" s="2"/>
      <ns0:c r="D491" s="2"/>
      <ns0:c r="E491" s="2"/>
      <ns0:c r="F491" s="2"/>
      <ns0:c r="G491" s="2"/>
      <ns0:c r="H491" s="2"/>
      <ns0:c r="I491" s="2"/>
      <ns0:c r="J491" s="2"/>
    </ns0:row>
    <ns0:row r="492" ht="22" customHeight="1">
      <ns0:c r="A492" s="2"/>
      <ns0:c r="B492" s="2"/>
      <ns0:c r="C492" s="2"/>
      <ns0:c r="D492" s="2"/>
      <ns0:c r="E492" s="2"/>
      <ns0:c r="F492" s="2"/>
      <ns0:c r="G492" s="2"/>
      <ns0:c r="H492" s="2"/>
      <ns0:c r="I492" s="2"/>
      <ns0:c r="J492" s="2"/>
    </ns0:row>
    <ns0:row r="493" ht="22" customHeight="1">
      <ns0:c r="A493" s="2"/>
      <ns0:c r="B493" s="2"/>
      <ns0:c r="C493" s="2"/>
      <ns0:c r="D493" s="2"/>
      <ns0:c r="E493" s="2"/>
      <ns0:c r="F493" s="2"/>
      <ns0:c r="G493" s="2"/>
      <ns0:c r="H493" s="2"/>
      <ns0:c r="I493" s="2"/>
      <ns0:c r="J493" s="2"/>
    </ns0:row>
    <ns0:row r="494" ht="22" customHeight="1">
      <ns0:c r="A494" s="2"/>
      <ns0:c r="B494" s="2"/>
      <ns0:c r="C494" s="2"/>
      <ns0:c r="D494" s="2"/>
      <ns0:c r="E494" s="2"/>
      <ns0:c r="F494" s="2"/>
      <ns0:c r="G494" s="2"/>
      <ns0:c r="H494" s="2"/>
      <ns0:c r="I494" s="2"/>
      <ns0:c r="J494" s="2"/>
    </ns0:row>
    <ns0:row r="495" ht="22" customHeight="1">
      <ns0:c r="A495" s="2"/>
      <ns0:c r="B495" s="2"/>
      <ns0:c r="C495" s="2"/>
      <ns0:c r="D495" s="2"/>
      <ns0:c r="E495" s="2"/>
      <ns0:c r="F495" s="2"/>
      <ns0:c r="G495" s="2"/>
      <ns0:c r="H495" s="2"/>
      <ns0:c r="I495" s="2"/>
      <ns0:c r="J495" s="2"/>
    </ns0:row>
    <ns0:row r="496" ht="22" customHeight="1">
      <ns0:c r="A496" s="2"/>
      <ns0:c r="B496" s="2"/>
      <ns0:c r="C496" s="2"/>
      <ns0:c r="D496" s="2"/>
      <ns0:c r="E496" s="2"/>
      <ns0:c r="F496" s="2"/>
      <ns0:c r="G496" s="2"/>
      <ns0:c r="H496" s="2"/>
      <ns0:c r="I496" s="2"/>
      <ns0:c r="J496" s="2"/>
    </ns0:row>
    <ns0:row r="497" ht="22" customHeight="1">
      <ns0:c r="A497" s="2"/>
      <ns0:c r="B497" s="2"/>
      <ns0:c r="C497" s="2"/>
      <ns0:c r="D497" s="2"/>
      <ns0:c r="E497" s="2"/>
      <ns0:c r="F497" s="2"/>
      <ns0:c r="G497" s="2"/>
      <ns0:c r="H497" s="2"/>
      <ns0:c r="I497" s="2"/>
      <ns0:c r="J497" s="2"/>
    </ns0:row>
    <ns0:row r="498" ht="22" customHeight="1">
      <ns0:c r="A498" s="2"/>
      <ns0:c r="B498" s="2"/>
      <ns0:c r="C498" s="2"/>
      <ns0:c r="D498" s="2"/>
      <ns0:c r="E498" s="2"/>
      <ns0:c r="F498" s="2"/>
      <ns0:c r="G498" s="2"/>
      <ns0:c r="H498" s="2"/>
      <ns0:c r="I498" s="2"/>
      <ns0:c r="J498" s="2"/>
    </ns0:row>
    <ns0:row r="499" ht="22" customHeight="1">
      <ns0:c r="A499" s="2"/>
      <ns0:c r="B499" s="2"/>
      <ns0:c r="C499" s="2"/>
      <ns0:c r="D499" s="2"/>
      <ns0:c r="E499" s="2"/>
      <ns0:c r="F499" s="2"/>
      <ns0:c r="G499" s="2"/>
      <ns0:c r="H499" s="2"/>
      <ns0:c r="I499" s="2"/>
      <ns0:c r="J499" s="2"/>
    </ns0:row>
    <ns0:row r="500" ht="22" customHeight="1">
      <ns0:c r="A500" s="2"/>
      <ns0:c r="B500" s="2"/>
      <ns0:c r="C500" s="2"/>
      <ns0:c r="D500" s="2"/>
      <ns0:c r="E500" s="2"/>
      <ns0:c r="F500" s="2"/>
      <ns0:c r="G500" s="2"/>
      <ns0:c r="H500" s="2"/>
      <ns0:c r="I500" s="2"/>
      <ns0:c r="J500" s="2"/>
    </ns0:row>
    <ns0:row r="501" ht="22" customHeight="1">
      <ns0:c r="A501" s="2"/>
      <ns0:c r="B501" s="2"/>
      <ns0:c r="C501" s="2"/>
      <ns0:c r="D501" s="2"/>
      <ns0:c r="E501" s="2"/>
      <ns0:c r="F501" s="2"/>
      <ns0:c r="G501" s="2"/>
      <ns0:c r="H501" s="2"/>
      <ns0:c r="I501" s="2"/>
      <ns0:c r="J501" s="2"/>
    </ns0:row>
    <ns0:row r="502" ht="22" customHeight="1">
      <ns0:c r="A502" s="2"/>
      <ns0:c r="B502" s="2"/>
      <ns0:c r="C502" s="2"/>
      <ns0:c r="D502" s="2"/>
      <ns0:c r="E502" s="2"/>
      <ns0:c r="F502" s="2"/>
      <ns0:c r="G502" s="2"/>
      <ns0:c r="H502" s="2"/>
      <ns0:c r="I502" s="2"/>
      <ns0:c r="J502" s="2"/>
    </ns0:row>
    <ns0:row r="503" ht="22" customHeight="1">
      <ns0:c r="A503" s="2"/>
      <ns0:c r="B503" s="2"/>
      <ns0:c r="C503" s="2"/>
      <ns0:c r="D503" s="2"/>
      <ns0:c r="E503" s="2"/>
      <ns0:c r="F503" s="2"/>
      <ns0:c r="G503" s="2"/>
      <ns0:c r="H503" s="2"/>
      <ns0:c r="I503" s="2"/>
      <ns0:c r="J503" s="2"/>
    </ns0:row>
    <ns0:row r="504" ht="22" customHeight="1">
      <ns0:c r="A504" s="2"/>
      <ns0:c r="B504" s="2"/>
      <ns0:c r="C504" s="2"/>
      <ns0:c r="D504" s="2"/>
      <ns0:c r="E504" s="2"/>
      <ns0:c r="F504" s="2"/>
      <ns0:c r="G504" s="2"/>
      <ns0:c r="H504" s="2"/>
      <ns0:c r="I504" s="2"/>
      <ns0:c r="J504" s="2"/>
    </ns0:row>
    <ns0:row r="505" ht="22" customHeight="1">
      <ns0:c r="A505" s="2"/>
      <ns0:c r="B505" s="2"/>
      <ns0:c r="C505" s="2"/>
      <ns0:c r="D505" s="2"/>
      <ns0:c r="E505" s="2"/>
      <ns0:c r="F505" s="2"/>
      <ns0:c r="G505" s="2"/>
      <ns0:c r="H505" s="2"/>
      <ns0:c r="I505" s="2"/>
      <ns0:c r="J505" s="2"/>
    </ns0:row>
    <ns0:row r="506" ht="22" customHeight="1">
      <ns0:c r="A506" s="2"/>
      <ns0:c r="B506" s="2"/>
      <ns0:c r="C506" s="2"/>
      <ns0:c r="D506" s="2"/>
      <ns0:c r="E506" s="2"/>
      <ns0:c r="F506" s="2"/>
      <ns0:c r="G506" s="2"/>
      <ns0:c r="H506" s="2"/>
      <ns0:c r="I506" s="2"/>
      <ns0:c r="J506" s="2"/>
    </ns0:row>
    <ns0:row r="507" ht="22" customHeight="1">
      <ns0:c r="A507" s="2"/>
      <ns0:c r="B507" s="2"/>
      <ns0:c r="C507" s="2"/>
      <ns0:c r="D507" s="2"/>
      <ns0:c r="E507" s="2"/>
      <ns0:c r="F507" s="2"/>
      <ns0:c r="G507" s="2"/>
      <ns0:c r="H507" s="2"/>
      <ns0:c r="I507" s="2"/>
      <ns0:c r="J507" s="2"/>
    </ns0:row>
    <ns0:row r="508" ht="22" customHeight="1">
      <ns0:c r="A508" s="2"/>
      <ns0:c r="B508" s="2"/>
      <ns0:c r="C508" s="2"/>
      <ns0:c r="D508" s="2"/>
      <ns0:c r="E508" s="2"/>
      <ns0:c r="F508" s="2"/>
      <ns0:c r="G508" s="2"/>
      <ns0:c r="H508" s="2"/>
      <ns0:c r="I508" s="2"/>
      <ns0:c r="J508" s="2"/>
    </ns0:row>
    <ns0:row r="509" ht="22" customHeight="1">
      <ns0:c r="A509" s="2"/>
      <ns0:c r="B509" s="2"/>
      <ns0:c r="C509" s="2"/>
      <ns0:c r="D509" s="2"/>
      <ns0:c r="E509" s="2"/>
      <ns0:c r="F509" s="2"/>
      <ns0:c r="G509" s="2"/>
      <ns0:c r="H509" s="2"/>
      <ns0:c r="I509" s="2"/>
      <ns0:c r="J509" s="2"/>
    </ns0:row>
    <ns0:row r="510" ht="22" customHeight="1">
      <ns0:c r="A510" s="2"/>
      <ns0:c r="B510" s="2"/>
      <ns0:c r="C510" s="2"/>
      <ns0:c r="D510" s="2"/>
      <ns0:c r="E510" s="2"/>
      <ns0:c r="F510" s="2"/>
      <ns0:c r="G510" s="2"/>
      <ns0:c r="H510" s="2"/>
      <ns0:c r="I510" s="2"/>
      <ns0:c r="J510" s="2"/>
    </ns0:row>
    <ns0:row r="511" ht="22" customHeight="1">
      <ns0:c r="A511" s="2"/>
      <ns0:c r="B511" s="2"/>
      <ns0:c r="C511" s="2"/>
      <ns0:c r="D511" s="2"/>
      <ns0:c r="E511" s="2"/>
      <ns0:c r="F511" s="2"/>
      <ns0:c r="G511" s="2"/>
      <ns0:c r="H511" s="2"/>
      <ns0:c r="I511" s="2"/>
      <ns0:c r="J511" s="2"/>
    </ns0:row>
    <ns0:row r="512" ht="22" customHeight="1">
      <ns0:c r="A512" s="2"/>
      <ns0:c r="B512" s="2"/>
      <ns0:c r="C512" s="2"/>
      <ns0:c r="D512" s="2"/>
      <ns0:c r="E512" s="2"/>
      <ns0:c r="F512" s="2"/>
      <ns0:c r="G512" s="2"/>
      <ns0:c r="H512" s="2"/>
      <ns0:c r="I512" s="2"/>
      <ns0:c r="J512" s="2"/>
    </ns0:row>
    <ns0:row r="513" ht="22" customHeight="1">
      <ns0:c r="A513" s="2"/>
      <ns0:c r="B513" s="2"/>
      <ns0:c r="C513" s="2"/>
      <ns0:c r="D513" s="2"/>
      <ns0:c r="E513" s="2"/>
      <ns0:c r="F513" s="2"/>
      <ns0:c r="G513" s="2"/>
      <ns0:c r="H513" s="2"/>
      <ns0:c r="I513" s="2"/>
      <ns0:c r="J513" s="2"/>
    </ns0:row>
    <ns0:row r="514" ht="22" customHeight="1">
      <ns0:c r="A514" s="2"/>
      <ns0:c r="B514" s="2"/>
      <ns0:c r="C514" s="2"/>
      <ns0:c r="D514" s="2"/>
      <ns0:c r="E514" s="2"/>
      <ns0:c r="F514" s="2"/>
      <ns0:c r="G514" s="2"/>
      <ns0:c r="H514" s="2"/>
      <ns0:c r="I514" s="2"/>
      <ns0:c r="J514" s="2"/>
    </ns0:row>
    <ns0:row r="515" ht="22" customHeight="1">
      <ns0:c r="A515" s="2"/>
      <ns0:c r="B515" s="2"/>
      <ns0:c r="C515" s="2"/>
      <ns0:c r="D515" s="2"/>
      <ns0:c r="E515" s="2"/>
      <ns0:c r="F515" s="2"/>
      <ns0:c r="G515" s="2"/>
      <ns0:c r="H515" s="2"/>
      <ns0:c r="I515" s="2"/>
      <ns0:c r="J515" s="2"/>
    </ns0:row>
    <ns0:row r="516" ht="22" customHeight="1">
      <ns0:c r="A516" s="2"/>
      <ns0:c r="B516" s="2"/>
      <ns0:c r="C516" s="2"/>
      <ns0:c r="D516" s="2"/>
      <ns0:c r="E516" s="2"/>
      <ns0:c r="F516" s="2"/>
      <ns0:c r="G516" s="2"/>
      <ns0:c r="H516" s="2"/>
      <ns0:c r="I516" s="2"/>
      <ns0:c r="J516" s="2"/>
    </ns0:row>
    <ns0:row r="517" ht="22" customHeight="1">
      <ns0:c r="A517" s="2"/>
      <ns0:c r="B517" s="2"/>
      <ns0:c r="C517" s="2"/>
      <ns0:c r="D517" s="2"/>
      <ns0:c r="E517" s="2"/>
      <ns0:c r="F517" s="2"/>
      <ns0:c r="G517" s="2"/>
      <ns0:c r="H517" s="2"/>
      <ns0:c r="I517" s="2"/>
      <ns0:c r="J517" s="2"/>
    </ns0:row>
    <ns0:row r="518" ht="22" customHeight="1">
      <ns0:c r="A518" s="2"/>
      <ns0:c r="B518" s="2"/>
      <ns0:c r="C518" s="2"/>
      <ns0:c r="D518" s="2"/>
      <ns0:c r="E518" s="2"/>
      <ns0:c r="F518" s="2"/>
      <ns0:c r="G518" s="2"/>
      <ns0:c r="H518" s="2"/>
      <ns0:c r="I518" s="2"/>
      <ns0:c r="J518" s="2"/>
    </ns0:row>
    <ns0:row r="519" ht="22" customHeight="1">
      <ns0:c r="A519" s="2"/>
      <ns0:c r="B519" s="2"/>
      <ns0:c r="C519" s="2"/>
      <ns0:c r="D519" s="2"/>
      <ns0:c r="E519" s="2"/>
      <ns0:c r="F519" s="2"/>
      <ns0:c r="G519" s="2"/>
      <ns0:c r="H519" s="2"/>
      <ns0:c r="I519" s="2"/>
      <ns0:c r="J519" s="2"/>
    </ns0:row>
    <ns0:row r="520" ht="22" customHeight="1">
      <ns0:c r="A520" s="2"/>
      <ns0:c r="B520" s="2"/>
      <ns0:c r="C520" s="2"/>
      <ns0:c r="D520" s="2"/>
      <ns0:c r="E520" s="2"/>
      <ns0:c r="F520" s="2"/>
      <ns0:c r="G520" s="2"/>
      <ns0:c r="H520" s="2"/>
      <ns0:c r="I520" s="2"/>
      <ns0:c r="J520" s="2"/>
    </ns0:row>
  </ns0:sheetData>
  <ns0:mergeCells>
    <ns0:mergeCell ref="A2:F2"/>
    <ns0:mergeCell ref="A4:F4"/>
    <ns0:mergeCell ref="A3:B3"/>
    <ns0:mergeCell ref="C3:D3"/>
    <ns0:mergeCell ref="E3:F3"/>
  </ns0:mergeCells>
  <ns0:hyperlinks>
    <ns0:hyperlink ref="A3" location="'期现'!A1" display="返回期现"/>
    <ns0:hyperlink ref="C3" location="'同品种跨期'!A1" display="返回同品种跨期"/>
    <ns0:hyperlink ref="E3" location="'跨品种'!A1" display="返回跨品种"/>
  </ns0:hyperlinks>
  <ns0:pageMargins left="0.7" right="0.7" top="0.75" bottom="0.75" header="0.3" footer="0.3"/>
  <ns0:tableParts count="1">
    <ns0:tablePart ns1:id="R071d5ee7f9004031"/>
  </ns0:tableParts>
</ns0:worksheet>
</file>

<file path=xl/worksheets/sheet3.xml><?xml version="1.0" encoding="utf-8"?>
<ns0:worksheet xmlns:ns0="http://schemas.openxmlformats.org/spreadsheetml/2006/main">
  <ns0:sheetPr>
    <ns0:tabColor rgb="FF244C72"/>
  </ns0:sheetPr>
  <ns0:sheetViews>
    <ns0:sheetView showGridLines="0" workbookViewId="0">
      <ns0:pane ySplit="9" topLeftCell="A10" activePane="bottomLeft" state="frozen"/>
    </ns0:sheetView>
  </ns0:sheetViews>
  <ns0:sheetFormatPr defaultRowHeight="15"/>
  <ns0:cols>
    <ns0:col min="1" max="1" width="28" hidden="0" customWidth="1"/>
    <ns0:col min="2" max="2" width="17" hidden="0" customWidth="1"/>
    <ns0:col min="3" max="3" width="14" hidden="0" customWidth="1"/>
    <ns0:col min="4" max="4" width="21" hidden="0" customWidth="1"/>
    <ns0:col min="5" max="5" width="7" hidden="0" customWidth="1"/>
    <ns0:col min="6" max="6" width="30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30" customHeight="1">
      <ns0:c r="A2" s="3" t="str">
        <ns0:v>DELTA1  期现</ns0:v>
      </ns0:c>
      <ns0:c r="B2" s="2"/>
      <ns0:c r="C2" s="2"/>
      <ns0:c r="D2" s="2"/>
      <ns0:c r="E2" s="2"/>
      <ns0:c r="F2" s="2"/>
    </ns0:row>
    <ns0:row r="3" ht="32" customHeight="1">
      <ns0:c r="A3" s="2" t="str">
        <ns0:v>指标</ns0:v>
      </ns0:c>
      <ns0:c r="B3" s="6" t="str">
        <ns0:v>固定合约半权分位</ns0:v>
      </ns0:c>
      <ns0:c r="C3" s="6"/>
      <ns0:c r="D3" s="2" t="str">
        <ns0:v>输入 X</ns0:v>
      </ns0:c>
      <ns0:c r="E3" s="6" t="str">
        <ns0:v>分红调整基差（bp）</ns0:v>
      </ns0:c>
      <ns0:c r="F3" s="6"/>
    </ns0:row>
    <ns0:row r="4" ht="22" customHeight="1">
      <ns0:c r="A4" s="2" t="str">
        <ns0:v>观察时点</ns0:v>
      </ns0:c>
      <ns0:c r="B4" s="5" t="str">
        <ns0:v>日终</ns0:v>
      </ns0:c>
      <ns0:c r="C4" s="5"/>
      <ns0:c r="D4" s="2" t="str">
        <ns0:v>观察范围</ns0:v>
      </ns0:c>
      <ns0:c r="E4" s="5" t="str">
        <ns0:v>默认代表</ns0:v>
      </ns0:c>
      <ns0:c r="F4" s="5"/>
    </ns0:row>
    <ns0:row r="5" ht="22" customHeight="1">
      <ns0:c r="A5" s="2" t="str">
        <ns0:v>未连接。请使用原启动器打开维护中的工作簿。</ns0:v>
      </ns0:c>
      <ns0:c r="B5" s="2"/>
      <ns0:c r="C5" s="2"/>
      <ns0:c r="D5" s="2"/>
      <ns0:c r="E5" s="2"/>
      <ns0:c r="F5" s="2"/>
    </ns0:row>
    <ns0:row r="6" ht="30" customHeight="1">
      <ns0:c r="A6" s="2" t="str">
        <ns0:v>等待当前指标结果</ns0:v>
      </ns0:c>
      <ns0:c r="B6" s="2"/>
      <ns0:c r="C6" s="2"/>
      <ns0:c r="D6" s="2"/>
      <ns0:c r="E6" s="2"/>
      <ns0:c r="F6" s="2"/>
    </ns0:row>
    <ns0:row r="7" ht="22" customHeight="1">
      <ns0:c r="A7" s="4" t="str">
        <ns0:v>展开详情 / 高级筛选</ns0:v>
      </ns0:c>
      <ns0:c r="B7" s="4"/>
      <ns0:c r="C7" s="4" t="str">
        <ns0:v>全部指标 / 更多口径</ns0:v>
      </ns0:c>
      <ns0:c r="D7" s="4"/>
      <ns0:c r="E7" s="4" t="str">
        <ns0:v>对应指数看板</ns0:v>
      </ns0:c>
      <ns0:c r="F7" s="4"/>
    </ns0:row>
    <ns0:row r="8" ht="22" customHeight="1">
      <ns0:c r="A8" s="2"/>
      <ns0:c r="B8" s="2"/>
      <ns0:c r="C8" s="2"/>
      <ns0:c r="D8" s="2"/>
      <ns0:c r="E8" s="2"/>
      <ns0:c r="F8" s="2"/>
    </ns0:row>
    <ns0:row r="9" ht="26" customHeight="1">
      <ns0:c r="A9" s="8" t="str">
        <ns0:v>代表 / 合约</ns0:v>
      </ns0:c>
      <ns0:c r="B9" s="8" t="str">
        <ns0:v>数值</ns0:v>
      </ns0:c>
      <ns0:c r="C9" s="18" t="str">
        <ns0:v>单位</ns0:v>
      </ns0:c>
      <ns0:c r="D9" s="8" t="str">
        <ns0:v>源时（北京）</ns0:v>
      </ns0:c>
      <ns0:c r="E9" s="18" t="str">
        <ns0:v>有效 n</ns0:v>
      </ns0:c>
      <ns0:c r="F9" s="8" t="str">
        <ns0:v>数据状态</ns0:v>
      </ns0:c>
    </ns0:row>
    <ns0:row r="10" ht="32" customHeight="1">
      <ns0:c r="A10" s="10"/>
      <ns0:c r="B10" s="12"/>
      <ns0:c r="C10" s="21"/>
      <ns0:c r="D10" s="14"/>
      <ns0:c r="E10" s="23"/>
      <ns0:c r="F10" s="10"/>
    </ns0:row>
    <ns0:row r="11" ht="32" customHeight="1">
      <ns0:c r="A11" s="9"/>
      <ns0:c r="B11" s="13"/>
      <ns0:c r="C11" s="22"/>
      <ns0:c r="D11" s="15"/>
      <ns0:c r="E11" s="24"/>
      <ns0:c r="F11" s="9"/>
    </ns0:row>
    <ns0:row r="12" ht="32" customHeight="1">
      <ns0:c r="A12" s="10"/>
      <ns0:c r="B12" s="12"/>
      <ns0:c r="C12" s="21"/>
      <ns0:c r="D12" s="14"/>
      <ns0:c r="E12" s="23"/>
      <ns0:c r="F12" s="10"/>
    </ns0:row>
    <ns0:row r="13" ht="32" customHeight="1">
      <ns0:c r="A13" s="9"/>
      <ns0:c r="B13" s="13"/>
      <ns0:c r="C13" s="22"/>
      <ns0:c r="D13" s="15"/>
      <ns0:c r="E13" s="24"/>
      <ns0:c r="F13" s="9"/>
    </ns0:row>
    <ns0:row r="14" ht="32" customHeight="1">
      <ns0:c r="A14" s="10"/>
      <ns0:c r="B14" s="12"/>
      <ns0:c r="C14" s="21"/>
      <ns0:c r="D14" s="14"/>
      <ns0:c r="E14" s="23"/>
      <ns0:c r="F14" s="10"/>
    </ns0:row>
    <ns0:row r="15" ht="32" customHeight="1">
      <ns0:c r="A15" s="9"/>
      <ns0:c r="B15" s="13"/>
      <ns0:c r="C15" s="22"/>
      <ns0:c r="D15" s="15"/>
      <ns0:c r="E15" s="24"/>
      <ns0:c r="F15" s="9"/>
    </ns0:row>
    <ns0:row r="16" ht="32" customHeight="1">
      <ns0:c r="A16" s="10"/>
      <ns0:c r="B16" s="12"/>
      <ns0:c r="C16" s="21"/>
      <ns0:c r="D16" s="14"/>
      <ns0:c r="E16" s="23"/>
      <ns0:c r="F16" s="10"/>
    </ns0:row>
    <ns0:row r="17" ht="32" customHeight="1">
      <ns0:c r="A17" s="9"/>
      <ns0:c r="B17" s="13"/>
      <ns0:c r="C17" s="22"/>
      <ns0:c r="D17" s="15"/>
      <ns0:c r="E17" s="24"/>
      <ns0:c r="F17" s="9"/>
    </ns0:row>
    <ns0:row r="18" ht="32" customHeight="1">
      <ns0:c r="A18" s="10"/>
      <ns0:c r="B18" s="12"/>
      <ns0:c r="C18" s="21"/>
      <ns0:c r="D18" s="14"/>
      <ns0:c r="E18" s="23"/>
      <ns0:c r="F18" s="10"/>
    </ns0:row>
    <ns0:row r="19" ht="32" customHeight="1">
      <ns0:c r="A19" s="9"/>
      <ns0:c r="B19" s="13"/>
      <ns0:c r="C19" s="22"/>
      <ns0:c r="D19" s="15"/>
      <ns0:c r="E19" s="24"/>
      <ns0:c r="F19" s="9"/>
    </ns0:row>
    <ns0:row r="20" ht="32" customHeight="1">
      <ns0:c r="A20" s="10"/>
      <ns0:c r="B20" s="12"/>
      <ns0:c r="C20" s="21"/>
      <ns0:c r="D20" s="14"/>
      <ns0:c r="E20" s="23"/>
      <ns0:c r="F20" s="10"/>
    </ns0:row>
    <ns0:row r="21" ht="32" customHeight="1">
      <ns0:c r="A21" s="9"/>
      <ns0:c r="B21" s="13"/>
      <ns0:c r="C21" s="22"/>
      <ns0:c r="D21" s="15"/>
      <ns0:c r="E21" s="24"/>
      <ns0:c r="F21" s="9"/>
    </ns0:row>
    <ns0:row r="22" ht="32" customHeight="1">
      <ns0:c r="A22" s="10"/>
      <ns0:c r="B22" s="12"/>
      <ns0:c r="C22" s="21"/>
      <ns0:c r="D22" s="14"/>
      <ns0:c r="E22" s="23"/>
      <ns0:c r="F22" s="10"/>
    </ns0:row>
    <ns0:row r="23" ht="32" customHeight="1">
      <ns0:c r="A23" s="9"/>
      <ns0:c r="B23" s="13"/>
      <ns0:c r="C23" s="22"/>
      <ns0:c r="D23" s="15"/>
      <ns0:c r="E23" s="24"/>
      <ns0:c r="F23" s="9"/>
    </ns0:row>
    <ns0:row r="24" ht="32" customHeight="1">
      <ns0:c r="A24" s="10"/>
      <ns0:c r="B24" s="12"/>
      <ns0:c r="C24" s="21"/>
      <ns0:c r="D24" s="14"/>
      <ns0:c r="E24" s="23"/>
      <ns0:c r="F24" s="10"/>
    </ns0:row>
    <ns0:row r="25" ht="32" customHeight="1">
      <ns0:c r="A25" s="9"/>
      <ns0:c r="B25" s="13"/>
      <ns0:c r="C25" s="22"/>
      <ns0:c r="D25" s="15"/>
      <ns0:c r="E25" s="24"/>
      <ns0:c r="F25" s="9"/>
    </ns0:row>
    <ns0:row r="26" ht="32" customHeight="1">
      <ns0:c r="A26" s="10"/>
      <ns0:c r="B26" s="12"/>
      <ns0:c r="C26" s="21"/>
      <ns0:c r="D26" s="14"/>
      <ns0:c r="E26" s="23"/>
      <ns0:c r="F26" s="10"/>
    </ns0:row>
    <ns0:row r="27" ht="32" customHeight="1">
      <ns0:c r="A27" s="9"/>
      <ns0:c r="B27" s="13"/>
      <ns0:c r="C27" s="22"/>
      <ns0:c r="D27" s="15"/>
      <ns0:c r="E27" s="24"/>
      <ns0:c r="F27" s="9"/>
    </ns0:row>
    <ns0:row r="28" ht="32" customHeight="1">
      <ns0:c r="A28" s="10"/>
      <ns0:c r="B28" s="12"/>
      <ns0:c r="C28" s="21"/>
      <ns0:c r="D28" s="14"/>
      <ns0:c r="E28" s="23"/>
      <ns0:c r="F28" s="10"/>
    </ns0:row>
    <ns0:row r="29" ht="32" customHeight="1">
      <ns0:c r="A29" s="9"/>
      <ns0:c r="B29" s="13"/>
      <ns0:c r="C29" s="22"/>
      <ns0:c r="D29" s="15"/>
      <ns0:c r="E29" s="24"/>
      <ns0:c r="F29" s="9"/>
    </ns0:row>
    <ns0:row r="30" ht="32" customHeight="1">
      <ns0:c r="A30" s="10"/>
      <ns0:c r="B30" s="12"/>
      <ns0:c r="C30" s="21"/>
      <ns0:c r="D30" s="14"/>
      <ns0:c r="E30" s="23"/>
      <ns0:c r="F30" s="10"/>
    </ns0:row>
    <ns0:row r="31" ht="32" customHeight="1">
      <ns0:c r="A31" s="9"/>
      <ns0:c r="B31" s="13"/>
      <ns0:c r="C31" s="22"/>
      <ns0:c r="D31" s="15"/>
      <ns0:c r="E31" s="24"/>
      <ns0:c r="F31" s="9"/>
    </ns0:row>
    <ns0:row r="32" ht="32" customHeight="1">
      <ns0:c r="A32" s="10"/>
      <ns0:c r="B32" s="12"/>
      <ns0:c r="C32" s="21"/>
      <ns0:c r="D32" s="14"/>
      <ns0:c r="E32" s="23"/>
      <ns0:c r="F32" s="10"/>
    </ns0:row>
    <ns0:row r="33" ht="32" customHeight="1">
      <ns0:c r="A33" s="9"/>
      <ns0:c r="B33" s="13"/>
      <ns0:c r="C33" s="22"/>
      <ns0:c r="D33" s="15"/>
      <ns0:c r="E33" s="24"/>
      <ns0:c r="F33" s="9"/>
    </ns0:row>
    <ns0:row r="34" ht="22" customHeight="1">
      <ns0:c r="A34" s="2"/>
      <ns0:c r="B34" s="2"/>
      <ns0:c r="C34" s="2"/>
      <ns0:c r="D34" s="2"/>
      <ns0:c r="E34" s="2"/>
      <ns0:c r="F34" s="2"/>
    </ns0:row>
    <ns0:row r="35" ht="22" customHeight="1">
      <ns0:c r="A35" s="25" t="str">
        <ns0:v>黄色格可编辑。默认代表为 T−1 证据选择；源时与历史可见性详见详情。</ns0:v>
      </ns0:c>
      <ns0:c r="B35" s="25"/>
      <ns0:c r="C35" s="25"/>
      <ns0:c r="D35" s="25"/>
      <ns0:c r="E35" s="25"/>
      <ns0:c r="F35" s="25"/>
    </ns0:row>
    <ns0:row r="36" ht="22" customHeight="1">
      <ns0:c r="A36" s="25" t="str">
        <ns0:v>更多口径请在输入 X 选“更多口径”，再到详情页选择具体原始 / 对数口径。</ns0:v>
      </ns0:c>
      <ns0:c r="B36" s="25"/>
      <ns0:c r="C36" s="25"/>
      <ns0:c r="D36" s="25"/>
      <ns0:c r="E36" s="25"/>
      <ns0:c r="F36" s="25"/>
    </ns0:row>
    <ns0:row r="37" ht="22" customHeight="1">
      <ns0:c r="A37" s="2"/>
      <ns0:c r="B37" s="2"/>
      <ns0:c r="C37" s="2"/>
      <ns0:c r="D37" s="2"/>
      <ns0:c r="E37" s="2"/>
      <ns0:c r="F37" s="2"/>
    </ns0:row>
    <ns0:row r="38" ht="22" customHeight="1">
      <ns0:c r="A38" s="2"/>
      <ns0:c r="B38" s="2"/>
      <ns0:c r="C38" s="2"/>
      <ns0:c r="D38" s="2"/>
      <ns0:c r="E38" s="2"/>
      <ns0:c r="F38" s="2"/>
    </ns0:row>
    <ns0:row r="39" ht="22" customHeight="1">
      <ns0:c r="A39" s="2"/>
      <ns0:c r="B39" s="2"/>
      <ns0:c r="C39" s="2"/>
      <ns0:c r="D39" s="2"/>
      <ns0:c r="E39" s="2"/>
      <ns0:c r="F39" s="2"/>
    </ns0:row>
    <ns0:row r="40" ht="22" customHeight="1">
      <ns0:c r="A40" s="2"/>
      <ns0:c r="B40" s="2"/>
      <ns0:c r="C40" s="2"/>
      <ns0:c r="D40" s="2"/>
      <ns0:c r="E40" s="2"/>
      <ns0:c r="F40" s="2"/>
    </ns0:row>
    <ns0:row r="41" ht="22" customHeight="1">
      <ns0:c r="A41" s="2"/>
      <ns0:c r="B41" s="2"/>
      <ns0:c r="C41" s="2"/>
      <ns0:c r="D41" s="2"/>
      <ns0:c r="E41" s="2"/>
      <ns0:c r="F41" s="2"/>
    </ns0:row>
    <ns0:row r="42" ht="22" customHeight="1">
      <ns0:c r="A42" s="2"/>
      <ns0:c r="B42" s="2"/>
      <ns0:c r="C42" s="2"/>
      <ns0:c r="D42" s="2"/>
      <ns0:c r="E42" s="2"/>
      <ns0:c r="F42" s="2"/>
    </ns0:row>
  </ns0:sheetData>
  <ns0:mergeCells>
    <ns0:mergeCell ref="A2:F2"/>
    <ns0:mergeCell ref="B3:C3"/>
    <ns0:mergeCell ref="E3:F3"/>
    <ns0:mergeCell ref="B4:C4"/>
    <ns0:mergeCell ref="E4:F4"/>
    <ns0:mergeCell ref="A5:F5"/>
    <ns0:mergeCell ref="A6:F6"/>
    <ns0:mergeCell ref="A7:B7"/>
    <ns0:mergeCell ref="C7:D7"/>
    <ns0:mergeCell ref="E7:F7"/>
    <ns0:mergeCell ref="A35:F35"/>
    <ns0:mergeCell ref="A36:F36"/>
  </ns0:mergeCells>
  <ns0:dataValidations count="4">
    <ns0:dataValidation type="list" sqref="B4">
      <ns0:formula1>"日终,盘中优先,历史日"</ns0:formula1>
    </ns0:dataValidation>
    <ns0:dataValidation type="list" sqref="E4">
      <ns0:formula1>"默认代表,全部合约,历史合约,指定合约"</ns0:formula1>
    </ns0:dataValidation>
    <ns0:dataValidation type="list" sqref="E3">
      <ns0:formula1>"期货收盘价 close,分红调整基差（bp）,分红调整基差年化,更多口径,固定口径"</ns0:formula1>
    </ns0:dataValidation>
    <ns0:dataValidation type="list" sqref="B3">
      <ns0:formula1>'合约选项'!$B$7:$B$34</ns0:formula1>
    </ns0:dataValidation>
  </ns0:dataValidations>
  <ns0:hyperlinks>
    <ns0:hyperlink ref="A7" location="'期现详情'!A1" display="展开详情 / 高级筛选"/>
    <ns0:hyperlink ref="C7" location="'指标目录'!A1" display="全部指标 / 更多口径"/>
    <ns0:hyperlink ref="E7" location="'概览'!A1" display="对应指数看板"/>
  </ns0:hyperlink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Pr>
    <ns0:tabColor rgb="FF94A3B8"/>
  </ns0:sheetPr>
  <ns0:sheetViews>
    <ns0:sheetView showGridLines="0" workbookViewId="0">
      <ns0:pane ySplit="10" topLeftCell="A11" activePane="bottomLeft" state="frozen"/>
    </ns0:sheetView>
  </ns0:sheetViews>
  <ns0:sheetFormatPr defaultRowHeight="15"/>
  <ns0:cols>
    <ns0:col min="1" max="1" width="36" hidden="0" customWidth="1"/>
    <ns0:col min="2" max="2" width="22" hidden="0" customWidth="1"/>
    <ns0:col min="3" max="3" width="14" hidden="0" customWidth="1"/>
    <ns0:col min="4" max="4" width="28" hidden="0" customWidth="1"/>
    <ns0:col min="5" max="5" width="23" hidden="0" customWidth="1"/>
    <ns0:col min="6" max="6" width="8" hidden="0" customWidth="1"/>
    <ns0:col min="7" max="7" width="17" hidden="0" customWidth="1"/>
    <ns0:col min="8" max="8" width="24" hidden="0" customWidth="1"/>
    <ns0:col min="9" max="9" width="48" hidden="0" customWidth="1"/>
    <ns0:col min="10" max="10" width="50" hidden="0" customWidth="1"/>
    <ns0:col min="11" max="11" width="5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</ns0:row>
    <ns0:row r="2" ht="22" customHeight="1">
      <ns0:c r="A2" s="3" t="str">
        <ns0:v>期现 · 详情与高级筛选</ns0:v>
      </ns0:c>
      <ns0:c r="B2" s="2"/>
      <ns0:c r="C2" s="2"/>
      <ns0:c r="D2" s="2"/>
      <ns0:c r="E2" s="2"/>
      <ns0:c r="F2" s="2"/>
      <ns0:c r="G2" s="4" t="str">
        <ns0:v>返回研究结果</ns0:v>
      </ns0:c>
      <ns0:c r="H2" s="4"/>
      <ns0:c r="I2" s="2"/>
      <ns0:c r="J2" s="2"/>
      <ns0:c r="K2" s="2"/>
    </ns0:row>
    <ns0:row r="3" ht="22" customHeight="1">
      <ns0:c r="A3" s="2" t="str">
        <ns0:v>品种</ns0:v>
      </ns0:c>
      <ns0:c r="B3" s="5" t="str"/>
      <ns0:c r="C3" s="2"/>
      <ns0:c r="D3" s="2" t="str">
        <ns0:v>合约 A</ns0:v>
      </ns0:c>
      <ns0:c r="E3" s="5" t="str"/>
      <ns0:c r="F3" s="2"/>
      <ns0:c r="G3" s="2" t="str">
        <ns0:v>合约 B</ns0:v>
      </ns0:c>
      <ns0:c r="H3" s="5" t="str"/>
      <ns0:c r="I3" s="2"/>
      <ns0:c r="J3" s="2"/>
      <ns0:c r="K3" s="2"/>
    </ns0:row>
    <ns0:row r="4" ht="22" customHeight="1">
      <ns0:c r="A4" s="2" t="str">
        <ns0:v>历史日期</ns0:v>
      </ns0:c>
      <ns0:c r="B4" s="26" t="str"/>
      <ns0:c r="C4" s="2"/>
      <ns0:c r="D4" s="2" t="str">
        <ns0:v>期限</ns0:v>
      </ns0:c>
      <ns0:c r="E4" s="5" t="str">
        <ns0:v>全部期限</ns0:v>
      </ns0:c>
      <ns0:c r="F4" s="2"/>
      <ns0:c r="G4" s="2" t="str">
        <ns0:v>起始序号</ns0:v>
      </ns0:c>
      <ns0:c r="H4" s="5" t="n">
        <ns0:v>0</ns0:v>
      </ns0:c>
      <ns0:c r="I4" s="2"/>
      <ns0:c r="J4" s="2"/>
      <ns0:c r="K4" s="2"/>
    </ns0:row>
    <ns0:row r="5" ht="22" customHeight="1">
      <ns0:c r="A5" s="2" t="str">
        <ns0:v>每页实体</ns0:v>
      </ns0:c>
      <ns0:c r="B5" s="5" t="n">
        <ns0:v>12</ns0:v>
      </ns0:c>
      <ns0:c r="C5" s="2"/>
      <ns0:c r="D5" s="2" t="str">
        <ns0:v>参与比例 p</ns0:v>
      </ns0:c>
      <ns0:c r="E5" s="27"/>
      <ns0:c r="F5" s="2"/>
      <ns0:c r="G5" s="2"/>
      <ns0:c r="H5" s="2"/>
      <ns0:c r="I5" s="2"/>
      <ns0:c r="J5" s="2"/>
      <ns0:c r="K5" s="2"/>
    </ns0:row>
    <ns0:row r="6" ht="22" customHeight="1">
      <ns0:c r="A6" s="2" t="str">
        <ns0:v>p 只用于容量演算，空白不计算；合法 0 保留。指定腿、历史日期和分页仅在相应范围生效。</ns0:v>
      </ns0:c>
      <ns0:c r="B6" s="2"/>
      <ns0:c r="C6" s="2"/>
      <ns0:c r="D6" s="2"/>
      <ns0:c r="E6" s="2"/>
      <ns0:c r="F6" s="2"/>
      <ns0:c r="G6" s="2"/>
      <ns0:c r="H6" s="2"/>
      <ns0:c r="I6" s="2"/>
      <ns0:c r="J6" s="2"/>
      <ns0:c r="K6" s="2"/>
    </ns0:row>
    <ns0:row r="7" ht="32" customHeight="1">
      <ns0:c r="A7" s="2" t="str">
        <ns0:v>更多口径</ns0:v>
      </ns0:c>
      <ns0:c r="B7" s="6" t="str">
        <ns0:v>未调整普通基差（bp）</ns0:v>
      </ns0:c>
      <ns0:c r="C7" s="6"/>
      <ns0:c r="D7" s="9" t="str">
        <ns0:v>close 取日终收盘；盘中优先使用实际最新价，源时单列显示。</ns0:v>
      </ns0:c>
      <ns0:c r="E7" s="9"/>
      <ns0:c r="F7" s="9"/>
      <ns0:c r="G7" s="9"/>
      <ns0:c r="H7" s="9"/>
      <ns0:c r="I7" s="2"/>
      <ns0:c r="J7" s="2"/>
      <ns0:c r="K7" s="2"/>
    </ns0:row>
    <ns0:row r="8" ht="22" customHeight="1">
      <ns0:c r="A8" s="2" t="str">
        <ns0:v>当前选择 / 固定口径 / 完整缺失原因</ns0:v>
      </ns0:c>
      <ns0:c r="B8" s="2"/>
      <ns0:c r="C8" s="2"/>
      <ns0:c r="D8" s="2"/>
      <ns0:c r="E8" s="2"/>
      <ns0:c r="F8" s="2"/>
      <ns0:c r="G8" s="2"/>
      <ns0:c r="H8" s="2"/>
      <ns0:c r="I8" s="2"/>
      <ns0:c r="J8" s="2"/>
      <ns0:c r="K8" s="2"/>
    </ns0:row>
    <ns0:row r="9" ht="22" customHeight="1">
      <ns0:c r="A9" s="2"/>
      <ns0:c r="B9" s="2"/>
      <ns0:c r="C9" s="2"/>
      <ns0:c r="D9" s="2"/>
      <ns0:c r="E9" s="2"/>
      <ns0:c r="F9" s="2"/>
      <ns0:c r="G9" s="2"/>
      <ns0:c r="H9" s="2"/>
      <ns0:c r="I9" s="2"/>
      <ns0:c r="J9" s="2"/>
      <ns0:c r="K9" s="2"/>
    </ns0:row>
    <ns0:row r="10" ht="28" customHeight="1">
      <ns0:c r="A10" s="8" t="str">
        <ns0:v>主辅 / 实体 / 指标</ns0:v>
      </ns0:c>
      <ns0:c r="B10" s="8" t="str">
        <ns0:v>值</ns0:v>
      </ns0:c>
      <ns0:c r="C10" s="8" t="str">
        <ns0:v>单位</ns0:v>
      </ns0:c>
      <ns0:c r="D10" s="8" t="str">
        <ns0:v>各腿源时</ns0:v>
      </ns0:c>
      <ns0:c r="E10" s="8" t="str">
        <ns0:v>历史截止</ns0:v>
      </ns0:c>
      <ns0:c r="F10" s="8" t="str">
        <ns0:v>n</ns0:v>
      </ns0:c>
      <ns0:c r="G10" s="8" t="str">
        <ns0:v>实现状态</ns0:v>
      </ns0:c>
      <ns0:c r="H10" s="8" t="str">
        <ns0:v>数据状态</ns0:v>
      </ns0:c>
      <ns0:c r="I10" s="8" t="str">
        <ns0:v>输入 / 公式版本</ns0:v>
      </ns0:c>
      <ns0:c r="J10" s="8" t="str">
        <ns0:v>原因 / 代表依据</ns0:v>
      </ns0:c>
      <ns0:c r="K10" s="8" t="str">
        <ns0:v>双腿构造 / 公式</ns0:v>
      </ns0:c>
    </ns0:row>
    <ns0:row r="11" ht="28" customHeight="1">
      <ns0:c r="A11" s="29"/>
      <ns0:c r="B11" s="30"/>
      <ns0:c r="C11" s="28"/>
      <ns0:c r="D11" s="29"/>
      <ns0:c r="E11" s="31"/>
      <ns0:c r="F11" s="32"/>
      <ns0:c r="G11" s="29"/>
      <ns0:c r="H11" s="29"/>
      <ns0:c r="I11" s="29"/>
      <ns0:c r="J11" s="29"/>
      <ns0:c r="K11" s="29"/>
    </ns0:row>
    <ns0:row r="12" ht="28" customHeight="1">
      <ns0:c r="A12" s="29"/>
      <ns0:c r="B12" s="30"/>
      <ns0:c r="C12" s="28"/>
      <ns0:c r="D12" s="29"/>
      <ns0:c r="E12" s="31"/>
      <ns0:c r="F12" s="32"/>
      <ns0:c r="G12" s="29"/>
      <ns0:c r="H12" s="29"/>
      <ns0:c r="I12" s="29"/>
      <ns0:c r="J12" s="29"/>
      <ns0:c r="K12" s="29"/>
    </ns0:row>
    <ns0:row r="13" ht="28" customHeight="1">
      <ns0:c r="A13" s="29"/>
      <ns0:c r="B13" s="30"/>
      <ns0:c r="C13" s="28"/>
      <ns0:c r="D13" s="29"/>
      <ns0:c r="E13" s="31"/>
      <ns0:c r="F13" s="32"/>
      <ns0:c r="G13" s="29"/>
      <ns0:c r="H13" s="29"/>
      <ns0:c r="I13" s="29"/>
      <ns0:c r="J13" s="29"/>
      <ns0:c r="K13" s="29"/>
    </ns0:row>
    <ns0:row r="14" ht="28" customHeight="1">
      <ns0:c r="A14" s="29"/>
      <ns0:c r="B14" s="30"/>
      <ns0:c r="C14" s="28"/>
      <ns0:c r="D14" s="29"/>
      <ns0:c r="E14" s="31"/>
      <ns0:c r="F14" s="32"/>
      <ns0:c r="G14" s="29"/>
      <ns0:c r="H14" s="29"/>
      <ns0:c r="I14" s="29"/>
      <ns0:c r="J14" s="29"/>
      <ns0:c r="K14" s="29"/>
    </ns0:row>
    <ns0:row r="15" ht="28" customHeight="1">
      <ns0:c r="A15" s="29"/>
      <ns0:c r="B15" s="30"/>
      <ns0:c r="C15" s="28"/>
      <ns0:c r="D15" s="29"/>
      <ns0:c r="E15" s="31"/>
      <ns0:c r="F15" s="32"/>
      <ns0:c r="G15" s="29"/>
      <ns0:c r="H15" s="29"/>
      <ns0:c r="I15" s="29"/>
      <ns0:c r="J15" s="29"/>
      <ns0:c r="K15" s="29"/>
    </ns0:row>
    <ns0:row r="16" ht="28" customHeight="1">
      <ns0:c r="A16" s="29"/>
      <ns0:c r="B16" s="30"/>
      <ns0:c r="C16" s="28"/>
      <ns0:c r="D16" s="29"/>
      <ns0:c r="E16" s="31"/>
      <ns0:c r="F16" s="32"/>
      <ns0:c r="G16" s="29"/>
      <ns0:c r="H16" s="29"/>
      <ns0:c r="I16" s="29"/>
      <ns0:c r="J16" s="29"/>
      <ns0:c r="K16" s="29"/>
    </ns0:row>
    <ns0:row r="17" ht="28" customHeight="1">
      <ns0:c r="A17" s="29"/>
      <ns0:c r="B17" s="30"/>
      <ns0:c r="C17" s="28"/>
      <ns0:c r="D17" s="29"/>
      <ns0:c r="E17" s="31"/>
      <ns0:c r="F17" s="32"/>
      <ns0:c r="G17" s="29"/>
      <ns0:c r="H17" s="29"/>
      <ns0:c r="I17" s="29"/>
      <ns0:c r="J17" s="29"/>
      <ns0:c r="K17" s="29"/>
    </ns0:row>
    <ns0:row r="18" ht="28" customHeight="1">
      <ns0:c r="A18" s="29"/>
      <ns0:c r="B18" s="30"/>
      <ns0:c r="C18" s="28"/>
      <ns0:c r="D18" s="29"/>
      <ns0:c r="E18" s="31"/>
      <ns0:c r="F18" s="32"/>
      <ns0:c r="G18" s="29"/>
      <ns0:c r="H18" s="29"/>
      <ns0:c r="I18" s="29"/>
      <ns0:c r="J18" s="29"/>
      <ns0:c r="K18" s="29"/>
    </ns0:row>
    <ns0:row r="19" ht="28" customHeight="1">
      <ns0:c r="A19" s="29"/>
      <ns0:c r="B19" s="30"/>
      <ns0:c r="C19" s="28"/>
      <ns0:c r="D19" s="29"/>
      <ns0:c r="E19" s="31"/>
      <ns0:c r="F19" s="32"/>
      <ns0:c r="G19" s="29"/>
      <ns0:c r="H19" s="29"/>
      <ns0:c r="I19" s="29"/>
      <ns0:c r="J19" s="29"/>
      <ns0:c r="K19" s="29"/>
    </ns0:row>
    <ns0:row r="20" ht="28" customHeight="1">
      <ns0:c r="A20" s="29"/>
      <ns0:c r="B20" s="30"/>
      <ns0:c r="C20" s="28"/>
      <ns0:c r="D20" s="29"/>
      <ns0:c r="E20" s="31"/>
      <ns0:c r="F20" s="32"/>
      <ns0:c r="G20" s="29"/>
      <ns0:c r="H20" s="29"/>
      <ns0:c r="I20" s="29"/>
      <ns0:c r="J20" s="29"/>
      <ns0:c r="K20" s="29"/>
    </ns0:row>
    <ns0:row r="21" ht="28" customHeight="1">
      <ns0:c r="A21" s="29"/>
      <ns0:c r="B21" s="30"/>
      <ns0:c r="C21" s="28"/>
      <ns0:c r="D21" s="29"/>
      <ns0:c r="E21" s="31"/>
      <ns0:c r="F21" s="32"/>
      <ns0:c r="G21" s="29"/>
      <ns0:c r="H21" s="29"/>
      <ns0:c r="I21" s="29"/>
      <ns0:c r="J21" s="29"/>
      <ns0:c r="K21" s="29"/>
    </ns0:row>
    <ns0:row r="22" ht="28" customHeight="1">
      <ns0:c r="A22" s="29"/>
      <ns0:c r="B22" s="30"/>
      <ns0:c r="C22" s="28"/>
      <ns0:c r="D22" s="29"/>
      <ns0:c r="E22" s="31"/>
      <ns0:c r="F22" s="32"/>
      <ns0:c r="G22" s="29"/>
      <ns0:c r="H22" s="29"/>
      <ns0:c r="I22" s="29"/>
      <ns0:c r="J22" s="29"/>
      <ns0:c r="K22" s="29"/>
    </ns0:row>
    <ns0:row r="23" ht="28" customHeight="1">
      <ns0:c r="A23" s="29"/>
      <ns0:c r="B23" s="30"/>
      <ns0:c r="C23" s="28"/>
      <ns0:c r="D23" s="29"/>
      <ns0:c r="E23" s="31"/>
      <ns0:c r="F23" s="32"/>
      <ns0:c r="G23" s="29"/>
      <ns0:c r="H23" s="29"/>
      <ns0:c r="I23" s="29"/>
      <ns0:c r="J23" s="29"/>
      <ns0:c r="K23" s="29"/>
    </ns0:row>
    <ns0:row r="24" ht="28" customHeight="1">
      <ns0:c r="A24" s="29"/>
      <ns0:c r="B24" s="30"/>
      <ns0:c r="C24" s="28"/>
      <ns0:c r="D24" s="29"/>
      <ns0:c r="E24" s="31"/>
      <ns0:c r="F24" s="32"/>
      <ns0:c r="G24" s="29"/>
      <ns0:c r="H24" s="29"/>
      <ns0:c r="I24" s="29"/>
      <ns0:c r="J24" s="29"/>
      <ns0:c r="K24" s="29"/>
    </ns0:row>
    <ns0:row r="25" ht="28" customHeight="1">
      <ns0:c r="A25" s="29"/>
      <ns0:c r="B25" s="30"/>
      <ns0:c r="C25" s="28"/>
      <ns0:c r="D25" s="29"/>
      <ns0:c r="E25" s="31"/>
      <ns0:c r="F25" s="32"/>
      <ns0:c r="G25" s="29"/>
      <ns0:c r="H25" s="29"/>
      <ns0:c r="I25" s="29"/>
      <ns0:c r="J25" s="29"/>
      <ns0:c r="K25" s="29"/>
    </ns0:row>
    <ns0:row r="26" ht="28" customHeight="1">
      <ns0:c r="A26" s="29"/>
      <ns0:c r="B26" s="30"/>
      <ns0:c r="C26" s="28"/>
      <ns0:c r="D26" s="29"/>
      <ns0:c r="E26" s="31"/>
      <ns0:c r="F26" s="32"/>
      <ns0:c r="G26" s="29"/>
      <ns0:c r="H26" s="29"/>
      <ns0:c r="I26" s="29"/>
      <ns0:c r="J26" s="29"/>
      <ns0:c r="K26" s="29"/>
    </ns0:row>
    <ns0:row r="27" ht="28" customHeight="1">
      <ns0:c r="A27" s="29"/>
      <ns0:c r="B27" s="30"/>
      <ns0:c r="C27" s="28"/>
      <ns0:c r="D27" s="29"/>
      <ns0:c r="E27" s="31"/>
      <ns0:c r="F27" s="32"/>
      <ns0:c r="G27" s="29"/>
      <ns0:c r="H27" s="29"/>
      <ns0:c r="I27" s="29"/>
      <ns0:c r="J27" s="29"/>
      <ns0:c r="K27" s="29"/>
    </ns0:row>
    <ns0:row r="28" ht="28" customHeight="1">
      <ns0:c r="A28" s="29"/>
      <ns0:c r="B28" s="30"/>
      <ns0:c r="C28" s="28"/>
      <ns0:c r="D28" s="29"/>
      <ns0:c r="E28" s="31"/>
      <ns0:c r="F28" s="32"/>
      <ns0:c r="G28" s="29"/>
      <ns0:c r="H28" s="29"/>
      <ns0:c r="I28" s="29"/>
      <ns0:c r="J28" s="29"/>
      <ns0:c r="K28" s="29"/>
    </ns0:row>
    <ns0:row r="29" ht="28" customHeight="1">
      <ns0:c r="A29" s="29"/>
      <ns0:c r="B29" s="30"/>
      <ns0:c r="C29" s="28"/>
      <ns0:c r="D29" s="29"/>
      <ns0:c r="E29" s="31"/>
      <ns0:c r="F29" s="32"/>
      <ns0:c r="G29" s="29"/>
      <ns0:c r="H29" s="29"/>
      <ns0:c r="I29" s="29"/>
      <ns0:c r="J29" s="29"/>
      <ns0:c r="K29" s="29"/>
    </ns0:row>
    <ns0:row r="30" ht="28" customHeight="1">
      <ns0:c r="A30" s="29"/>
      <ns0:c r="B30" s="30"/>
      <ns0:c r="C30" s="28"/>
      <ns0:c r="D30" s="29"/>
      <ns0:c r="E30" s="31"/>
      <ns0:c r="F30" s="32"/>
      <ns0:c r="G30" s="29"/>
      <ns0:c r="H30" s="29"/>
      <ns0:c r="I30" s="29"/>
      <ns0:c r="J30" s="29"/>
      <ns0:c r="K30" s="29"/>
    </ns0:row>
    <ns0:row r="31" ht="28" customHeight="1">
      <ns0:c r="A31" s="29"/>
      <ns0:c r="B31" s="30"/>
      <ns0:c r="C31" s="28"/>
      <ns0:c r="D31" s="29"/>
      <ns0:c r="E31" s="31"/>
      <ns0:c r="F31" s="32"/>
      <ns0:c r="G31" s="29"/>
      <ns0:c r="H31" s="29"/>
      <ns0:c r="I31" s="29"/>
      <ns0:c r="J31" s="29"/>
      <ns0:c r="K31" s="29"/>
    </ns0:row>
    <ns0:row r="32" ht="28" customHeight="1">
      <ns0:c r="A32" s="29"/>
      <ns0:c r="B32" s="30"/>
      <ns0:c r="C32" s="28"/>
      <ns0:c r="D32" s="29"/>
      <ns0:c r="E32" s="31"/>
      <ns0:c r="F32" s="32"/>
      <ns0:c r="G32" s="29"/>
      <ns0:c r="H32" s="29"/>
      <ns0:c r="I32" s="29"/>
      <ns0:c r="J32" s="29"/>
      <ns0:c r="K32" s="29"/>
    </ns0:row>
    <ns0:row r="33" ht="28" customHeight="1">
      <ns0:c r="A33" s="29"/>
      <ns0:c r="B33" s="30"/>
      <ns0:c r="C33" s="28"/>
      <ns0:c r="D33" s="29"/>
      <ns0:c r="E33" s="31"/>
      <ns0:c r="F33" s="32"/>
      <ns0:c r="G33" s="29"/>
      <ns0:c r="H33" s="29"/>
      <ns0:c r="I33" s="29"/>
      <ns0:c r="J33" s="29"/>
      <ns0:c r="K33" s="29"/>
    </ns0:row>
    <ns0:row r="34" ht="28" customHeight="1">
      <ns0:c r="A34" s="29"/>
      <ns0:c r="B34" s="30"/>
      <ns0:c r="C34" s="28"/>
      <ns0:c r="D34" s="29"/>
      <ns0:c r="E34" s="31"/>
      <ns0:c r="F34" s="32"/>
      <ns0:c r="G34" s="29"/>
      <ns0:c r="H34" s="29"/>
      <ns0:c r="I34" s="29"/>
      <ns0:c r="J34" s="29"/>
      <ns0:c r="K34" s="29"/>
    </ns0:row>
    <ns0:row r="35" ht="28" customHeight="1">
      <ns0:c r="A35" s="29"/>
      <ns0:c r="B35" s="30"/>
      <ns0:c r="C35" s="28"/>
      <ns0:c r="D35" s="29"/>
      <ns0:c r="E35" s="31"/>
      <ns0:c r="F35" s="32"/>
      <ns0:c r="G35" s="29"/>
      <ns0:c r="H35" s="29"/>
      <ns0:c r="I35" s="29"/>
      <ns0:c r="J35" s="29"/>
      <ns0:c r="K35" s="29"/>
    </ns0:row>
    <ns0:row r="36" ht="28" customHeight="1">
      <ns0:c r="A36" s="29"/>
      <ns0:c r="B36" s="30"/>
      <ns0:c r="C36" s="28"/>
      <ns0:c r="D36" s="29"/>
      <ns0:c r="E36" s="31"/>
      <ns0:c r="F36" s="32"/>
      <ns0:c r="G36" s="29"/>
      <ns0:c r="H36" s="29"/>
      <ns0:c r="I36" s="29"/>
      <ns0:c r="J36" s="29"/>
      <ns0:c r="K36" s="29"/>
    </ns0:row>
    <ns0:row r="37" ht="28" customHeight="1">
      <ns0:c r="A37" s="29"/>
      <ns0:c r="B37" s="30"/>
      <ns0:c r="C37" s="28"/>
      <ns0:c r="D37" s="29"/>
      <ns0:c r="E37" s="31"/>
      <ns0:c r="F37" s="32"/>
      <ns0:c r="G37" s="29"/>
      <ns0:c r="H37" s="29"/>
      <ns0:c r="I37" s="29"/>
      <ns0:c r="J37" s="29"/>
      <ns0:c r="K37" s="29"/>
    </ns0:row>
    <ns0:row r="38" ht="28" customHeight="1">
      <ns0:c r="A38" s="29"/>
      <ns0:c r="B38" s="30"/>
      <ns0:c r="C38" s="28"/>
      <ns0:c r="D38" s="29"/>
      <ns0:c r="E38" s="31"/>
      <ns0:c r="F38" s="32"/>
      <ns0:c r="G38" s="29"/>
      <ns0:c r="H38" s="29"/>
      <ns0:c r="I38" s="29"/>
      <ns0:c r="J38" s="29"/>
      <ns0:c r="K38" s="29"/>
    </ns0:row>
    <ns0:row r="39" ht="28" customHeight="1">
      <ns0:c r="A39" s="29"/>
      <ns0:c r="B39" s="30"/>
      <ns0:c r="C39" s="28"/>
      <ns0:c r="D39" s="29"/>
      <ns0:c r="E39" s="31"/>
      <ns0:c r="F39" s="32"/>
      <ns0:c r="G39" s="29"/>
      <ns0:c r="H39" s="29"/>
      <ns0:c r="I39" s="29"/>
      <ns0:c r="J39" s="29"/>
      <ns0:c r="K39" s="29"/>
    </ns0:row>
    <ns0:row r="40" ht="28" customHeight="1">
      <ns0:c r="A40" s="29"/>
      <ns0:c r="B40" s="30"/>
      <ns0:c r="C40" s="28"/>
      <ns0:c r="D40" s="29"/>
      <ns0:c r="E40" s="31"/>
      <ns0:c r="F40" s="32"/>
      <ns0:c r="G40" s="29"/>
      <ns0:c r="H40" s="29"/>
      <ns0:c r="I40" s="29"/>
      <ns0:c r="J40" s="29"/>
      <ns0:c r="K40" s="29"/>
    </ns0:row>
    <ns0:row r="41" ht="28" customHeight="1">
      <ns0:c r="A41" s="29"/>
      <ns0:c r="B41" s="30"/>
      <ns0:c r="C41" s="28"/>
      <ns0:c r="D41" s="29"/>
      <ns0:c r="E41" s="31"/>
      <ns0:c r="F41" s="32"/>
      <ns0:c r="G41" s="29"/>
      <ns0:c r="H41" s="29"/>
      <ns0:c r="I41" s="29"/>
      <ns0:c r="J41" s="29"/>
      <ns0:c r="K41" s="29"/>
    </ns0:row>
    <ns0:row r="42" ht="28" customHeight="1">
      <ns0:c r="A42" s="29"/>
      <ns0:c r="B42" s="30"/>
      <ns0:c r="C42" s="28"/>
      <ns0:c r="D42" s="29"/>
      <ns0:c r="E42" s="31"/>
      <ns0:c r="F42" s="32"/>
      <ns0:c r="G42" s="29"/>
      <ns0:c r="H42" s="29"/>
      <ns0:c r="I42" s="29"/>
      <ns0:c r="J42" s="29"/>
      <ns0:c r="K42" s="29"/>
    </ns0:row>
    <ns0:row r="43" ht="28" customHeight="1">
      <ns0:c r="A43" s="29"/>
      <ns0:c r="B43" s="30"/>
      <ns0:c r="C43" s="28"/>
      <ns0:c r="D43" s="29"/>
      <ns0:c r="E43" s="31"/>
      <ns0:c r="F43" s="32"/>
      <ns0:c r="G43" s="29"/>
      <ns0:c r="H43" s="29"/>
      <ns0:c r="I43" s="29"/>
      <ns0:c r="J43" s="29"/>
      <ns0:c r="K43" s="29"/>
    </ns0:row>
    <ns0:row r="44" ht="28" customHeight="1">
      <ns0:c r="A44" s="29"/>
      <ns0:c r="B44" s="30"/>
      <ns0:c r="C44" s="28"/>
      <ns0:c r="D44" s="29"/>
      <ns0:c r="E44" s="31"/>
      <ns0:c r="F44" s="32"/>
      <ns0:c r="G44" s="29"/>
      <ns0:c r="H44" s="29"/>
      <ns0:c r="I44" s="29"/>
      <ns0:c r="J44" s="29"/>
      <ns0:c r="K44" s="29"/>
    </ns0:row>
    <ns0:row r="45" ht="28" customHeight="1">
      <ns0:c r="A45" s="29"/>
      <ns0:c r="B45" s="30"/>
      <ns0:c r="C45" s="28"/>
      <ns0:c r="D45" s="29"/>
      <ns0:c r="E45" s="31"/>
      <ns0:c r="F45" s="32"/>
      <ns0:c r="G45" s="29"/>
      <ns0:c r="H45" s="29"/>
      <ns0:c r="I45" s="29"/>
      <ns0:c r="J45" s="29"/>
      <ns0:c r="K45" s="29"/>
    </ns0:row>
    <ns0:row r="46" ht="28" customHeight="1">
      <ns0:c r="A46" s="29"/>
      <ns0:c r="B46" s="30"/>
      <ns0:c r="C46" s="28"/>
      <ns0:c r="D46" s="29"/>
      <ns0:c r="E46" s="31"/>
      <ns0:c r="F46" s="32"/>
      <ns0:c r="G46" s="29"/>
      <ns0:c r="H46" s="29"/>
      <ns0:c r="I46" s="29"/>
      <ns0:c r="J46" s="29"/>
      <ns0:c r="K46" s="29"/>
    </ns0:row>
    <ns0:row r="47" ht="28" customHeight="1">
      <ns0:c r="A47" s="29"/>
      <ns0:c r="B47" s="30"/>
      <ns0:c r="C47" s="28"/>
      <ns0:c r="D47" s="29"/>
      <ns0:c r="E47" s="31"/>
      <ns0:c r="F47" s="32"/>
      <ns0:c r="G47" s="29"/>
      <ns0:c r="H47" s="29"/>
      <ns0:c r="I47" s="29"/>
      <ns0:c r="J47" s="29"/>
      <ns0:c r="K47" s="29"/>
    </ns0:row>
    <ns0:row r="48" ht="28" customHeight="1">
      <ns0:c r="A48" s="29"/>
      <ns0:c r="B48" s="30"/>
      <ns0:c r="C48" s="28"/>
      <ns0:c r="D48" s="29"/>
      <ns0:c r="E48" s="31"/>
      <ns0:c r="F48" s="32"/>
      <ns0:c r="G48" s="29"/>
      <ns0:c r="H48" s="29"/>
      <ns0:c r="I48" s="29"/>
      <ns0:c r="J48" s="29"/>
      <ns0:c r="K48" s="29"/>
    </ns0:row>
    <ns0:row r="49" ht="28" customHeight="1">
      <ns0:c r="A49" s="29"/>
      <ns0:c r="B49" s="30"/>
      <ns0:c r="C49" s="28"/>
      <ns0:c r="D49" s="29"/>
      <ns0:c r="E49" s="31"/>
      <ns0:c r="F49" s="32"/>
      <ns0:c r="G49" s="29"/>
      <ns0:c r="H49" s="29"/>
      <ns0:c r="I49" s="29"/>
      <ns0:c r="J49" s="29"/>
      <ns0:c r="K49" s="29"/>
    </ns0:row>
    <ns0:row r="50" ht="28" customHeight="1">
      <ns0:c r="A50" s="29"/>
      <ns0:c r="B50" s="30"/>
      <ns0:c r="C50" s="28"/>
      <ns0:c r="D50" s="29"/>
      <ns0:c r="E50" s="31"/>
      <ns0:c r="F50" s="32"/>
      <ns0:c r="G50" s="29"/>
      <ns0:c r="H50" s="29"/>
      <ns0:c r="I50" s="29"/>
      <ns0:c r="J50" s="29"/>
      <ns0:c r="K50" s="29"/>
    </ns0:row>
    <ns0:row r="51" ht="28" customHeight="1">
      <ns0:c r="A51" s="29"/>
      <ns0:c r="B51" s="30"/>
      <ns0:c r="C51" s="28"/>
      <ns0:c r="D51" s="29"/>
      <ns0:c r="E51" s="31"/>
      <ns0:c r="F51" s="32"/>
      <ns0:c r="G51" s="29"/>
      <ns0:c r="H51" s="29"/>
      <ns0:c r="I51" s="29"/>
      <ns0:c r="J51" s="29"/>
      <ns0:c r="K51" s="29"/>
    </ns0:row>
    <ns0:row r="52" ht="28" customHeight="1">
      <ns0:c r="A52" s="29"/>
      <ns0:c r="B52" s="30"/>
      <ns0:c r="C52" s="28"/>
      <ns0:c r="D52" s="29"/>
      <ns0:c r="E52" s="31"/>
      <ns0:c r="F52" s="32"/>
      <ns0:c r="G52" s="29"/>
      <ns0:c r="H52" s="29"/>
      <ns0:c r="I52" s="29"/>
      <ns0:c r="J52" s="29"/>
      <ns0:c r="K52" s="29"/>
    </ns0:row>
    <ns0:row r="53" ht="28" customHeight="1">
      <ns0:c r="A53" s="29"/>
      <ns0:c r="B53" s="30"/>
      <ns0:c r="C53" s="28"/>
      <ns0:c r="D53" s="29"/>
      <ns0:c r="E53" s="31"/>
      <ns0:c r="F53" s="32"/>
      <ns0:c r="G53" s="29"/>
      <ns0:c r="H53" s="29"/>
      <ns0:c r="I53" s="29"/>
      <ns0:c r="J53" s="29"/>
      <ns0:c r="K53" s="29"/>
    </ns0:row>
    <ns0:row r="54" ht="28" customHeight="1">
      <ns0:c r="A54" s="29"/>
      <ns0:c r="B54" s="30"/>
      <ns0:c r="C54" s="28"/>
      <ns0:c r="D54" s="29"/>
      <ns0:c r="E54" s="31"/>
      <ns0:c r="F54" s="32"/>
      <ns0:c r="G54" s="29"/>
      <ns0:c r="H54" s="29"/>
      <ns0:c r="I54" s="29"/>
      <ns0:c r="J54" s="29"/>
      <ns0:c r="K54" s="29"/>
    </ns0:row>
    <ns0:row r="55" ht="28" customHeight="1">
      <ns0:c r="A55" s="29"/>
      <ns0:c r="B55" s="30"/>
      <ns0:c r="C55" s="28"/>
      <ns0:c r="D55" s="29"/>
      <ns0:c r="E55" s="31"/>
      <ns0:c r="F55" s="32"/>
      <ns0:c r="G55" s="29"/>
      <ns0:c r="H55" s="29"/>
      <ns0:c r="I55" s="29"/>
      <ns0:c r="J55" s="29"/>
      <ns0:c r="K55" s="29"/>
    </ns0:row>
    <ns0:row r="56" ht="28" customHeight="1">
      <ns0:c r="A56" s="29"/>
      <ns0:c r="B56" s="30"/>
      <ns0:c r="C56" s="28"/>
      <ns0:c r="D56" s="29"/>
      <ns0:c r="E56" s="31"/>
      <ns0:c r="F56" s="32"/>
      <ns0:c r="G56" s="29"/>
      <ns0:c r="H56" s="29"/>
      <ns0:c r="I56" s="29"/>
      <ns0:c r="J56" s="29"/>
      <ns0:c r="K56" s="29"/>
    </ns0:row>
    <ns0:row r="57" ht="28" customHeight="1">
      <ns0:c r="A57" s="29"/>
      <ns0:c r="B57" s="30"/>
      <ns0:c r="C57" s="28"/>
      <ns0:c r="D57" s="29"/>
      <ns0:c r="E57" s="31"/>
      <ns0:c r="F57" s="32"/>
      <ns0:c r="G57" s="29"/>
      <ns0:c r="H57" s="29"/>
      <ns0:c r="I57" s="29"/>
      <ns0:c r="J57" s="29"/>
      <ns0:c r="K57" s="29"/>
    </ns0:row>
    <ns0:row r="58" ht="28" customHeight="1">
      <ns0:c r="A58" s="29"/>
      <ns0:c r="B58" s="30"/>
      <ns0:c r="C58" s="28"/>
      <ns0:c r="D58" s="29"/>
      <ns0:c r="E58" s="31"/>
      <ns0:c r="F58" s="32"/>
      <ns0:c r="G58" s="29"/>
      <ns0:c r="H58" s="29"/>
      <ns0:c r="I58" s="29"/>
      <ns0:c r="J58" s="29"/>
      <ns0:c r="K58" s="29"/>
    </ns0:row>
    <ns0:row r="59" ht="28" customHeight="1">
      <ns0:c r="A59" s="29"/>
      <ns0:c r="B59" s="30"/>
      <ns0:c r="C59" s="28"/>
      <ns0:c r="D59" s="29"/>
      <ns0:c r="E59" s="31"/>
      <ns0:c r="F59" s="32"/>
      <ns0:c r="G59" s="29"/>
      <ns0:c r="H59" s="29"/>
      <ns0:c r="I59" s="29"/>
      <ns0:c r="J59" s="29"/>
      <ns0:c r="K59" s="29"/>
    </ns0:row>
    <ns0:row r="60" ht="28" customHeight="1">
      <ns0:c r="A60" s="29"/>
      <ns0:c r="B60" s="30"/>
      <ns0:c r="C60" s="28"/>
      <ns0:c r="D60" s="29"/>
      <ns0:c r="E60" s="31"/>
      <ns0:c r="F60" s="32"/>
      <ns0:c r="G60" s="29"/>
      <ns0:c r="H60" s="29"/>
      <ns0:c r="I60" s="29"/>
      <ns0:c r="J60" s="29"/>
      <ns0:c r="K60" s="29"/>
    </ns0:row>
    <ns0:row r="61" ht="28" customHeight="1">
      <ns0:c r="A61" s="29"/>
      <ns0:c r="B61" s="30"/>
      <ns0:c r="C61" s="28"/>
      <ns0:c r="D61" s="29"/>
      <ns0:c r="E61" s="31"/>
      <ns0:c r="F61" s="32"/>
      <ns0:c r="G61" s="29"/>
      <ns0:c r="H61" s="29"/>
      <ns0:c r="I61" s="29"/>
      <ns0:c r="J61" s="29"/>
      <ns0:c r="K61" s="29"/>
    </ns0:row>
    <ns0:row r="62" ht="28" customHeight="1">
      <ns0:c r="A62" s="29"/>
      <ns0:c r="B62" s="30"/>
      <ns0:c r="C62" s="28"/>
      <ns0:c r="D62" s="29"/>
      <ns0:c r="E62" s="31"/>
      <ns0:c r="F62" s="32"/>
      <ns0:c r="G62" s="29"/>
      <ns0:c r="H62" s="29"/>
      <ns0:c r="I62" s="29"/>
      <ns0:c r="J62" s="29"/>
      <ns0:c r="K62" s="29"/>
    </ns0:row>
    <ns0:row r="63" ht="28" customHeight="1">
      <ns0:c r="A63" s="29"/>
      <ns0:c r="B63" s="30"/>
      <ns0:c r="C63" s="28"/>
      <ns0:c r="D63" s="29"/>
      <ns0:c r="E63" s="31"/>
      <ns0:c r="F63" s="32"/>
      <ns0:c r="G63" s="29"/>
      <ns0:c r="H63" s="29"/>
      <ns0:c r="I63" s="29"/>
      <ns0:c r="J63" s="29"/>
      <ns0:c r="K63" s="29"/>
    </ns0:row>
    <ns0:row r="64" ht="28" customHeight="1">
      <ns0:c r="A64" s="29"/>
      <ns0:c r="B64" s="30"/>
      <ns0:c r="C64" s="28"/>
      <ns0:c r="D64" s="29"/>
      <ns0:c r="E64" s="31"/>
      <ns0:c r="F64" s="32"/>
      <ns0:c r="G64" s="29"/>
      <ns0:c r="H64" s="29"/>
      <ns0:c r="I64" s="29"/>
      <ns0:c r="J64" s="29"/>
      <ns0:c r="K64" s="29"/>
    </ns0:row>
    <ns0:row r="65" ht="28" customHeight="1">
      <ns0:c r="A65" s="29"/>
      <ns0:c r="B65" s="30"/>
      <ns0:c r="C65" s="28"/>
      <ns0:c r="D65" s="29"/>
      <ns0:c r="E65" s="31"/>
      <ns0:c r="F65" s="32"/>
      <ns0:c r="G65" s="29"/>
      <ns0:c r="H65" s="29"/>
      <ns0:c r="I65" s="29"/>
      <ns0:c r="J65" s="29"/>
      <ns0:c r="K65" s="29"/>
    </ns0:row>
    <ns0:row r="66" ht="28" customHeight="1">
      <ns0:c r="A66" s="29"/>
      <ns0:c r="B66" s="30"/>
      <ns0:c r="C66" s="28"/>
      <ns0:c r="D66" s="29"/>
      <ns0:c r="E66" s="31"/>
      <ns0:c r="F66" s="32"/>
      <ns0:c r="G66" s="29"/>
      <ns0:c r="H66" s="29"/>
      <ns0:c r="I66" s="29"/>
      <ns0:c r="J66" s="29"/>
      <ns0:c r="K66" s="29"/>
    </ns0:row>
    <ns0:row r="67" ht="28" customHeight="1">
      <ns0:c r="A67" s="29"/>
      <ns0:c r="B67" s="30"/>
      <ns0:c r="C67" s="28"/>
      <ns0:c r="D67" s="29"/>
      <ns0:c r="E67" s="31"/>
      <ns0:c r="F67" s="32"/>
      <ns0:c r="G67" s="29"/>
      <ns0:c r="H67" s="29"/>
      <ns0:c r="I67" s="29"/>
      <ns0:c r="J67" s="29"/>
      <ns0:c r="K67" s="29"/>
    </ns0:row>
    <ns0:row r="68" ht="28" customHeight="1">
      <ns0:c r="A68" s="29"/>
      <ns0:c r="B68" s="30"/>
      <ns0:c r="C68" s="28"/>
      <ns0:c r="D68" s="29"/>
      <ns0:c r="E68" s="31"/>
      <ns0:c r="F68" s="32"/>
      <ns0:c r="G68" s="29"/>
      <ns0:c r="H68" s="29"/>
      <ns0:c r="I68" s="29"/>
      <ns0:c r="J68" s="29"/>
      <ns0:c r="K68" s="29"/>
    </ns0:row>
    <ns0:row r="69" ht="28" customHeight="1">
      <ns0:c r="A69" s="29"/>
      <ns0:c r="B69" s="30"/>
      <ns0:c r="C69" s="28"/>
      <ns0:c r="D69" s="29"/>
      <ns0:c r="E69" s="31"/>
      <ns0:c r="F69" s="32"/>
      <ns0:c r="G69" s="29"/>
      <ns0:c r="H69" s="29"/>
      <ns0:c r="I69" s="29"/>
      <ns0:c r="J69" s="29"/>
      <ns0:c r="K69" s="29"/>
    </ns0:row>
    <ns0:row r="70" ht="28" customHeight="1">
      <ns0:c r="A70" s="29"/>
      <ns0:c r="B70" s="30"/>
      <ns0:c r="C70" s="28"/>
      <ns0:c r="D70" s="29"/>
      <ns0:c r="E70" s="31"/>
      <ns0:c r="F70" s="32"/>
      <ns0:c r="G70" s="29"/>
      <ns0:c r="H70" s="29"/>
      <ns0:c r="I70" s="29"/>
      <ns0:c r="J70" s="29"/>
      <ns0:c r="K70" s="29"/>
    </ns0:row>
    <ns0:row r="71" ht="28" customHeight="1">
      <ns0:c r="A71" s="29"/>
      <ns0:c r="B71" s="30"/>
      <ns0:c r="C71" s="28"/>
      <ns0:c r="D71" s="29"/>
      <ns0:c r="E71" s="31"/>
      <ns0:c r="F71" s="32"/>
      <ns0:c r="G71" s="29"/>
      <ns0:c r="H71" s="29"/>
      <ns0:c r="I71" s="29"/>
      <ns0:c r="J71" s="29"/>
      <ns0:c r="K71" s="29"/>
    </ns0:row>
    <ns0:row r="72" ht="28" customHeight="1">
      <ns0:c r="A72" s="29"/>
      <ns0:c r="B72" s="30"/>
      <ns0:c r="C72" s="28"/>
      <ns0:c r="D72" s="29"/>
      <ns0:c r="E72" s="31"/>
      <ns0:c r="F72" s="32"/>
      <ns0:c r="G72" s="29"/>
      <ns0:c r="H72" s="29"/>
      <ns0:c r="I72" s="29"/>
      <ns0:c r="J72" s="29"/>
      <ns0:c r="K72" s="29"/>
    </ns0:row>
    <ns0:row r="73" ht="28" customHeight="1">
      <ns0:c r="A73" s="29"/>
      <ns0:c r="B73" s="30"/>
      <ns0:c r="C73" s="28"/>
      <ns0:c r="D73" s="29"/>
      <ns0:c r="E73" s="31"/>
      <ns0:c r="F73" s="32"/>
      <ns0:c r="G73" s="29"/>
      <ns0:c r="H73" s="29"/>
      <ns0:c r="I73" s="29"/>
      <ns0:c r="J73" s="29"/>
      <ns0:c r="K73" s="29"/>
    </ns0:row>
    <ns0:row r="74" ht="28" customHeight="1">
      <ns0:c r="A74" s="29"/>
      <ns0:c r="B74" s="30"/>
      <ns0:c r="C74" s="28"/>
      <ns0:c r="D74" s="29"/>
      <ns0:c r="E74" s="31"/>
      <ns0:c r="F74" s="32"/>
      <ns0:c r="G74" s="29"/>
      <ns0:c r="H74" s="29"/>
      <ns0:c r="I74" s="29"/>
      <ns0:c r="J74" s="29"/>
      <ns0:c r="K74" s="29"/>
    </ns0:row>
    <ns0:row r="75" ht="28" customHeight="1">
      <ns0:c r="A75" s="29"/>
      <ns0:c r="B75" s="30"/>
      <ns0:c r="C75" s="28"/>
      <ns0:c r="D75" s="29"/>
      <ns0:c r="E75" s="31"/>
      <ns0:c r="F75" s="32"/>
      <ns0:c r="G75" s="29"/>
      <ns0:c r="H75" s="29"/>
      <ns0:c r="I75" s="29"/>
      <ns0:c r="J75" s="29"/>
      <ns0:c r="K75" s="29"/>
    </ns0:row>
    <ns0:row r="76" ht="28" customHeight="1">
      <ns0:c r="A76" s="29"/>
      <ns0:c r="B76" s="30"/>
      <ns0:c r="C76" s="28"/>
      <ns0:c r="D76" s="29"/>
      <ns0:c r="E76" s="31"/>
      <ns0:c r="F76" s="32"/>
      <ns0:c r="G76" s="29"/>
      <ns0:c r="H76" s="29"/>
      <ns0:c r="I76" s="29"/>
      <ns0:c r="J76" s="29"/>
      <ns0:c r="K76" s="29"/>
    </ns0:row>
    <ns0:row r="77" ht="28" customHeight="1">
      <ns0:c r="A77" s="29"/>
      <ns0:c r="B77" s="30"/>
      <ns0:c r="C77" s="28"/>
      <ns0:c r="D77" s="29"/>
      <ns0:c r="E77" s="31"/>
      <ns0:c r="F77" s="32"/>
      <ns0:c r="G77" s="29"/>
      <ns0:c r="H77" s="29"/>
      <ns0:c r="I77" s="29"/>
      <ns0:c r="J77" s="29"/>
      <ns0:c r="K77" s="29"/>
    </ns0:row>
    <ns0:row r="78" ht="28" customHeight="1">
      <ns0:c r="A78" s="29"/>
      <ns0:c r="B78" s="30"/>
      <ns0:c r="C78" s="28"/>
      <ns0:c r="D78" s="29"/>
      <ns0:c r="E78" s="31"/>
      <ns0:c r="F78" s="32"/>
      <ns0:c r="G78" s="29"/>
      <ns0:c r="H78" s="29"/>
      <ns0:c r="I78" s="29"/>
      <ns0:c r="J78" s="29"/>
      <ns0:c r="K78" s="29"/>
    </ns0:row>
    <ns0:row r="79" ht="28" customHeight="1">
      <ns0:c r="A79" s="29"/>
      <ns0:c r="B79" s="30"/>
      <ns0:c r="C79" s="28"/>
      <ns0:c r="D79" s="29"/>
      <ns0:c r="E79" s="31"/>
      <ns0:c r="F79" s="32"/>
      <ns0:c r="G79" s="29"/>
      <ns0:c r="H79" s="29"/>
      <ns0:c r="I79" s="29"/>
      <ns0:c r="J79" s="29"/>
      <ns0:c r="K79" s="29"/>
    </ns0:row>
    <ns0:row r="80" ht="28" customHeight="1">
      <ns0:c r="A80" s="29"/>
      <ns0:c r="B80" s="30"/>
      <ns0:c r="C80" s="28"/>
      <ns0:c r="D80" s="29"/>
      <ns0:c r="E80" s="31"/>
      <ns0:c r="F80" s="32"/>
      <ns0:c r="G80" s="29"/>
      <ns0:c r="H80" s="29"/>
      <ns0:c r="I80" s="29"/>
      <ns0:c r="J80" s="29"/>
      <ns0:c r="K80" s="29"/>
    </ns0:row>
    <ns0:row r="81" ht="28" customHeight="1">
      <ns0:c r="A81" s="29"/>
      <ns0:c r="B81" s="30"/>
      <ns0:c r="C81" s="28"/>
      <ns0:c r="D81" s="29"/>
      <ns0:c r="E81" s="31"/>
      <ns0:c r="F81" s="32"/>
      <ns0:c r="G81" s="29"/>
      <ns0:c r="H81" s="29"/>
      <ns0:c r="I81" s="29"/>
      <ns0:c r="J81" s="29"/>
      <ns0:c r="K81" s="29"/>
    </ns0:row>
    <ns0:row r="82" ht="28" customHeight="1">
      <ns0:c r="A82" s="29"/>
      <ns0:c r="B82" s="30"/>
      <ns0:c r="C82" s="28"/>
      <ns0:c r="D82" s="29"/>
      <ns0:c r="E82" s="31"/>
      <ns0:c r="F82" s="32"/>
      <ns0:c r="G82" s="29"/>
      <ns0:c r="H82" s="29"/>
      <ns0:c r="I82" s="29"/>
      <ns0:c r="J82" s="29"/>
      <ns0:c r="K82" s="29"/>
    </ns0:row>
    <ns0:row r="83" ht="28" customHeight="1">
      <ns0:c r="A83" s="29"/>
      <ns0:c r="B83" s="30"/>
      <ns0:c r="C83" s="28"/>
      <ns0:c r="D83" s="29"/>
      <ns0:c r="E83" s="31"/>
      <ns0:c r="F83" s="32"/>
      <ns0:c r="G83" s="29"/>
      <ns0:c r="H83" s="29"/>
      <ns0:c r="I83" s="29"/>
      <ns0:c r="J83" s="29"/>
      <ns0:c r="K83" s="29"/>
    </ns0:row>
    <ns0:row r="84" ht="28" customHeight="1">
      <ns0:c r="A84" s="29"/>
      <ns0:c r="B84" s="30"/>
      <ns0:c r="C84" s="28"/>
      <ns0:c r="D84" s="29"/>
      <ns0:c r="E84" s="31"/>
      <ns0:c r="F84" s="32"/>
      <ns0:c r="G84" s="29"/>
      <ns0:c r="H84" s="29"/>
      <ns0:c r="I84" s="29"/>
      <ns0:c r="J84" s="29"/>
      <ns0:c r="K84" s="29"/>
    </ns0:row>
    <ns0:row r="85" ht="28" customHeight="1">
      <ns0:c r="A85" s="29"/>
      <ns0:c r="B85" s="30"/>
      <ns0:c r="C85" s="28"/>
      <ns0:c r="D85" s="29"/>
      <ns0:c r="E85" s="31"/>
      <ns0:c r="F85" s="32"/>
      <ns0:c r="G85" s="29"/>
      <ns0:c r="H85" s="29"/>
      <ns0:c r="I85" s="29"/>
      <ns0:c r="J85" s="29"/>
      <ns0:c r="K85" s="29"/>
    </ns0:row>
    <ns0:row r="86" ht="28" customHeight="1">
      <ns0:c r="A86" s="29"/>
      <ns0:c r="B86" s="30"/>
      <ns0:c r="C86" s="28"/>
      <ns0:c r="D86" s="29"/>
      <ns0:c r="E86" s="31"/>
      <ns0:c r="F86" s="32"/>
      <ns0:c r="G86" s="29"/>
      <ns0:c r="H86" s="29"/>
      <ns0:c r="I86" s="29"/>
      <ns0:c r="J86" s="29"/>
      <ns0:c r="K86" s="29"/>
    </ns0:row>
    <ns0:row r="87" ht="28" customHeight="1">
      <ns0:c r="A87" s="29"/>
      <ns0:c r="B87" s="30"/>
      <ns0:c r="C87" s="28"/>
      <ns0:c r="D87" s="29"/>
      <ns0:c r="E87" s="31"/>
      <ns0:c r="F87" s="32"/>
      <ns0:c r="G87" s="29"/>
      <ns0:c r="H87" s="29"/>
      <ns0:c r="I87" s="29"/>
      <ns0:c r="J87" s="29"/>
      <ns0:c r="K87" s="29"/>
    </ns0:row>
    <ns0:row r="88" ht="28" customHeight="1">
      <ns0:c r="A88" s="29"/>
      <ns0:c r="B88" s="30"/>
      <ns0:c r="C88" s="28"/>
      <ns0:c r="D88" s="29"/>
      <ns0:c r="E88" s="31"/>
      <ns0:c r="F88" s="32"/>
      <ns0:c r="G88" s="29"/>
      <ns0:c r="H88" s="29"/>
      <ns0:c r="I88" s="29"/>
      <ns0:c r="J88" s="29"/>
      <ns0:c r="K88" s="29"/>
    </ns0:row>
    <ns0:row r="89" ht="28" customHeight="1">
      <ns0:c r="A89" s="29"/>
      <ns0:c r="B89" s="30"/>
      <ns0:c r="C89" s="28"/>
      <ns0:c r="D89" s="29"/>
      <ns0:c r="E89" s="31"/>
      <ns0:c r="F89" s="32"/>
      <ns0:c r="G89" s="29"/>
      <ns0:c r="H89" s="29"/>
      <ns0:c r="I89" s="29"/>
      <ns0:c r="J89" s="29"/>
      <ns0:c r="K89" s="29"/>
    </ns0:row>
    <ns0:row r="90" ht="28" customHeight="1">
      <ns0:c r="A90" s="29"/>
      <ns0:c r="B90" s="30"/>
      <ns0:c r="C90" s="28"/>
      <ns0:c r="D90" s="29"/>
      <ns0:c r="E90" s="31"/>
      <ns0:c r="F90" s="32"/>
      <ns0:c r="G90" s="29"/>
      <ns0:c r="H90" s="29"/>
      <ns0:c r="I90" s="29"/>
      <ns0:c r="J90" s="29"/>
      <ns0:c r="K90" s="29"/>
    </ns0:row>
    <ns0:row r="91" ht="28" customHeight="1">
      <ns0:c r="A91" s="29"/>
      <ns0:c r="B91" s="30"/>
      <ns0:c r="C91" s="28"/>
      <ns0:c r="D91" s="29"/>
      <ns0:c r="E91" s="31"/>
      <ns0:c r="F91" s="32"/>
      <ns0:c r="G91" s="29"/>
      <ns0:c r="H91" s="29"/>
      <ns0:c r="I91" s="29"/>
      <ns0:c r="J91" s="29"/>
      <ns0:c r="K91" s="29"/>
    </ns0:row>
    <ns0:row r="92" ht="28" customHeight="1">
      <ns0:c r="A92" s="29"/>
      <ns0:c r="B92" s="30"/>
      <ns0:c r="C92" s="28"/>
      <ns0:c r="D92" s="29"/>
      <ns0:c r="E92" s="31"/>
      <ns0:c r="F92" s="32"/>
      <ns0:c r="G92" s="29"/>
      <ns0:c r="H92" s="29"/>
      <ns0:c r="I92" s="29"/>
      <ns0:c r="J92" s="29"/>
      <ns0:c r="K92" s="29"/>
    </ns0:row>
    <ns0:row r="93" ht="28" customHeight="1">
      <ns0:c r="A93" s="29"/>
      <ns0:c r="B93" s="30"/>
      <ns0:c r="C93" s="28"/>
      <ns0:c r="D93" s="29"/>
      <ns0:c r="E93" s="31"/>
      <ns0:c r="F93" s="32"/>
      <ns0:c r="G93" s="29"/>
      <ns0:c r="H93" s="29"/>
      <ns0:c r="I93" s="29"/>
      <ns0:c r="J93" s="29"/>
      <ns0:c r="K93" s="29"/>
    </ns0:row>
    <ns0:row r="94" ht="28" customHeight="1">
      <ns0:c r="A94" s="29"/>
      <ns0:c r="B94" s="30"/>
      <ns0:c r="C94" s="28"/>
      <ns0:c r="D94" s="29"/>
      <ns0:c r="E94" s="31"/>
      <ns0:c r="F94" s="32"/>
      <ns0:c r="G94" s="29"/>
      <ns0:c r="H94" s="29"/>
      <ns0:c r="I94" s="29"/>
      <ns0:c r="J94" s="29"/>
      <ns0:c r="K94" s="29"/>
    </ns0:row>
    <ns0:row r="95" ht="28" customHeight="1">
      <ns0:c r="A95" s="29"/>
      <ns0:c r="B95" s="30"/>
      <ns0:c r="C95" s="28"/>
      <ns0:c r="D95" s="29"/>
      <ns0:c r="E95" s="31"/>
      <ns0:c r="F95" s="32"/>
      <ns0:c r="G95" s="29"/>
      <ns0:c r="H95" s="29"/>
      <ns0:c r="I95" s="29"/>
      <ns0:c r="J95" s="29"/>
      <ns0:c r="K95" s="29"/>
    </ns0:row>
    <ns0:row r="96" ht="28" customHeight="1">
      <ns0:c r="A96" s="29"/>
      <ns0:c r="B96" s="30"/>
      <ns0:c r="C96" s="28"/>
      <ns0:c r="D96" s="29"/>
      <ns0:c r="E96" s="31"/>
      <ns0:c r="F96" s="32"/>
      <ns0:c r="G96" s="29"/>
      <ns0:c r="H96" s="29"/>
      <ns0:c r="I96" s="29"/>
      <ns0:c r="J96" s="29"/>
      <ns0:c r="K96" s="29"/>
    </ns0:row>
    <ns0:row r="97" ht="28" customHeight="1">
      <ns0:c r="A97" s="29"/>
      <ns0:c r="B97" s="30"/>
      <ns0:c r="C97" s="28"/>
      <ns0:c r="D97" s="29"/>
      <ns0:c r="E97" s="31"/>
      <ns0:c r="F97" s="32"/>
      <ns0:c r="G97" s="29"/>
      <ns0:c r="H97" s="29"/>
      <ns0:c r="I97" s="29"/>
      <ns0:c r="J97" s="29"/>
      <ns0:c r="K97" s="29"/>
    </ns0:row>
    <ns0:row r="98" ht="28" customHeight="1">
      <ns0:c r="A98" s="29"/>
      <ns0:c r="B98" s="30"/>
      <ns0:c r="C98" s="28"/>
      <ns0:c r="D98" s="29"/>
      <ns0:c r="E98" s="31"/>
      <ns0:c r="F98" s="32"/>
      <ns0:c r="G98" s="29"/>
      <ns0:c r="H98" s="29"/>
      <ns0:c r="I98" s="29"/>
      <ns0:c r="J98" s="29"/>
      <ns0:c r="K98" s="29"/>
    </ns0:row>
    <ns0:row r="99" ht="28" customHeight="1">
      <ns0:c r="A99" s="29"/>
      <ns0:c r="B99" s="30"/>
      <ns0:c r="C99" s="28"/>
      <ns0:c r="D99" s="29"/>
      <ns0:c r="E99" s="31"/>
      <ns0:c r="F99" s="32"/>
      <ns0:c r="G99" s="29"/>
      <ns0:c r="H99" s="29"/>
      <ns0:c r="I99" s="29"/>
      <ns0:c r="J99" s="29"/>
      <ns0:c r="K99" s="29"/>
    </ns0:row>
    <ns0:row r="100" ht="28" customHeight="1">
      <ns0:c r="A100" s="29"/>
      <ns0:c r="B100" s="30"/>
      <ns0:c r="C100" s="28"/>
      <ns0:c r="D100" s="29"/>
      <ns0:c r="E100" s="31"/>
      <ns0:c r="F100" s="32"/>
      <ns0:c r="G100" s="29"/>
      <ns0:c r="H100" s="29"/>
      <ns0:c r="I100" s="29"/>
      <ns0:c r="J100" s="29"/>
      <ns0:c r="K100" s="29"/>
    </ns0:row>
    <ns0:row r="101" ht="28" customHeight="1">
      <ns0:c r="A101" s="29"/>
      <ns0:c r="B101" s="30"/>
      <ns0:c r="C101" s="28"/>
      <ns0:c r="D101" s="29"/>
      <ns0:c r="E101" s="31"/>
      <ns0:c r="F101" s="32"/>
      <ns0:c r="G101" s="29"/>
      <ns0:c r="H101" s="29"/>
      <ns0:c r="I101" s="29"/>
      <ns0:c r="J101" s="29"/>
      <ns0:c r="K101" s="29"/>
    </ns0:row>
    <ns0:row r="102" ht="28" customHeight="1">
      <ns0:c r="A102" s="29"/>
      <ns0:c r="B102" s="30"/>
      <ns0:c r="C102" s="28"/>
      <ns0:c r="D102" s="29"/>
      <ns0:c r="E102" s="31"/>
      <ns0:c r="F102" s="32"/>
      <ns0:c r="G102" s="29"/>
      <ns0:c r="H102" s="29"/>
      <ns0:c r="I102" s="29"/>
      <ns0:c r="J102" s="29"/>
      <ns0:c r="K102" s="29"/>
    </ns0:row>
    <ns0:row r="103" ht="28" customHeight="1">
      <ns0:c r="A103" s="29"/>
      <ns0:c r="B103" s="30"/>
      <ns0:c r="C103" s="28"/>
      <ns0:c r="D103" s="29"/>
      <ns0:c r="E103" s="31"/>
      <ns0:c r="F103" s="32"/>
      <ns0:c r="G103" s="29"/>
      <ns0:c r="H103" s="29"/>
      <ns0:c r="I103" s="29"/>
      <ns0:c r="J103" s="29"/>
      <ns0:c r="K103" s="29"/>
    </ns0:row>
    <ns0:row r="104" ht="28" customHeight="1">
      <ns0:c r="A104" s="29"/>
      <ns0:c r="B104" s="30"/>
      <ns0:c r="C104" s="28"/>
      <ns0:c r="D104" s="29"/>
      <ns0:c r="E104" s="31"/>
      <ns0:c r="F104" s="32"/>
      <ns0:c r="G104" s="29"/>
      <ns0:c r="H104" s="29"/>
      <ns0:c r="I104" s="29"/>
      <ns0:c r="J104" s="29"/>
      <ns0:c r="K104" s="29"/>
    </ns0:row>
    <ns0:row r="105" ht="28" customHeight="1">
      <ns0:c r="A105" s="29"/>
      <ns0:c r="B105" s="30"/>
      <ns0:c r="C105" s="28"/>
      <ns0:c r="D105" s="29"/>
      <ns0:c r="E105" s="31"/>
      <ns0:c r="F105" s="32"/>
      <ns0:c r="G105" s="29"/>
      <ns0:c r="H105" s="29"/>
      <ns0:c r="I105" s="29"/>
      <ns0:c r="J105" s="29"/>
      <ns0:c r="K105" s="29"/>
    </ns0:row>
    <ns0:row r="106" ht="28" customHeight="1">
      <ns0:c r="A106" s="29"/>
      <ns0:c r="B106" s="30"/>
      <ns0:c r="C106" s="28"/>
      <ns0:c r="D106" s="29"/>
      <ns0:c r="E106" s="31"/>
      <ns0:c r="F106" s="32"/>
      <ns0:c r="G106" s="29"/>
      <ns0:c r="H106" s="29"/>
      <ns0:c r="I106" s="29"/>
      <ns0:c r="J106" s="29"/>
      <ns0:c r="K106" s="29"/>
    </ns0:row>
    <ns0:row r="107" ht="28" customHeight="1">
      <ns0:c r="A107" s="29"/>
      <ns0:c r="B107" s="30"/>
      <ns0:c r="C107" s="28"/>
      <ns0:c r="D107" s="29"/>
      <ns0:c r="E107" s="31"/>
      <ns0:c r="F107" s="32"/>
      <ns0:c r="G107" s="29"/>
      <ns0:c r="H107" s="29"/>
      <ns0:c r="I107" s="29"/>
      <ns0:c r="J107" s="29"/>
      <ns0:c r="K107" s="29"/>
    </ns0:row>
    <ns0:row r="108" ht="28" customHeight="1">
      <ns0:c r="A108" s="29"/>
      <ns0:c r="B108" s="30"/>
      <ns0:c r="C108" s="28"/>
      <ns0:c r="D108" s="29"/>
      <ns0:c r="E108" s="31"/>
      <ns0:c r="F108" s="32"/>
      <ns0:c r="G108" s="29"/>
      <ns0:c r="H108" s="29"/>
      <ns0:c r="I108" s="29"/>
      <ns0:c r="J108" s="29"/>
      <ns0:c r="K108" s="29"/>
    </ns0:row>
    <ns0:row r="109" ht="28" customHeight="1">
      <ns0:c r="A109" s="29"/>
      <ns0:c r="B109" s="30"/>
      <ns0:c r="C109" s="28"/>
      <ns0:c r="D109" s="29"/>
      <ns0:c r="E109" s="31"/>
      <ns0:c r="F109" s="32"/>
      <ns0:c r="G109" s="29"/>
      <ns0:c r="H109" s="29"/>
      <ns0:c r="I109" s="29"/>
      <ns0:c r="J109" s="29"/>
      <ns0:c r="K109" s="29"/>
    </ns0:row>
    <ns0:row r="110" ht="28" customHeight="1">
      <ns0:c r="A110" s="29"/>
      <ns0:c r="B110" s="30"/>
      <ns0:c r="C110" s="28"/>
      <ns0:c r="D110" s="29"/>
      <ns0:c r="E110" s="31"/>
      <ns0:c r="F110" s="32"/>
      <ns0:c r="G110" s="29"/>
      <ns0:c r="H110" s="29"/>
      <ns0:c r="I110" s="29"/>
      <ns0:c r="J110" s="29"/>
      <ns0:c r="K110" s="29"/>
    </ns0:row>
    <ns0:row r="111" ht="28" customHeight="1">
      <ns0:c r="A111" s="29"/>
      <ns0:c r="B111" s="30"/>
      <ns0:c r="C111" s="28"/>
      <ns0:c r="D111" s="29"/>
      <ns0:c r="E111" s="31"/>
      <ns0:c r="F111" s="32"/>
      <ns0:c r="G111" s="29"/>
      <ns0:c r="H111" s="29"/>
      <ns0:c r="I111" s="29"/>
      <ns0:c r="J111" s="29"/>
      <ns0:c r="K111" s="29"/>
    </ns0:row>
    <ns0:row r="112" ht="28" customHeight="1">
      <ns0:c r="A112" s="29"/>
      <ns0:c r="B112" s="30"/>
      <ns0:c r="C112" s="28"/>
      <ns0:c r="D112" s="29"/>
      <ns0:c r="E112" s="31"/>
      <ns0:c r="F112" s="32"/>
      <ns0:c r="G112" s="29"/>
      <ns0:c r="H112" s="29"/>
      <ns0:c r="I112" s="29"/>
      <ns0:c r="J112" s="29"/>
      <ns0:c r="K112" s="29"/>
    </ns0:row>
    <ns0:row r="113" ht="28" customHeight="1">
      <ns0:c r="A113" s="29"/>
      <ns0:c r="B113" s="30"/>
      <ns0:c r="C113" s="28"/>
      <ns0:c r="D113" s="29"/>
      <ns0:c r="E113" s="31"/>
      <ns0:c r="F113" s="32"/>
      <ns0:c r="G113" s="29"/>
      <ns0:c r="H113" s="29"/>
      <ns0:c r="I113" s="29"/>
      <ns0:c r="J113" s="29"/>
      <ns0:c r="K113" s="29"/>
    </ns0:row>
    <ns0:row r="114" ht="28" customHeight="1">
      <ns0:c r="A114" s="29"/>
      <ns0:c r="B114" s="30"/>
      <ns0:c r="C114" s="28"/>
      <ns0:c r="D114" s="29"/>
      <ns0:c r="E114" s="31"/>
      <ns0:c r="F114" s="32"/>
      <ns0:c r="G114" s="29"/>
      <ns0:c r="H114" s="29"/>
      <ns0:c r="I114" s="29"/>
      <ns0:c r="J114" s="29"/>
      <ns0:c r="K114" s="29"/>
    </ns0:row>
    <ns0:row r="115" ht="28" customHeight="1">
      <ns0:c r="A115" s="29"/>
      <ns0:c r="B115" s="30"/>
      <ns0:c r="C115" s="28"/>
      <ns0:c r="D115" s="29"/>
      <ns0:c r="E115" s="31"/>
      <ns0:c r="F115" s="32"/>
      <ns0:c r="G115" s="29"/>
      <ns0:c r="H115" s="29"/>
      <ns0:c r="I115" s="29"/>
      <ns0:c r="J115" s="29"/>
      <ns0:c r="K115" s="29"/>
    </ns0:row>
    <ns0:row r="116" ht="28" customHeight="1">
      <ns0:c r="A116" s="29"/>
      <ns0:c r="B116" s="30"/>
      <ns0:c r="C116" s="28"/>
      <ns0:c r="D116" s="29"/>
      <ns0:c r="E116" s="31"/>
      <ns0:c r="F116" s="32"/>
      <ns0:c r="G116" s="29"/>
      <ns0:c r="H116" s="29"/>
      <ns0:c r="I116" s="29"/>
      <ns0:c r="J116" s="29"/>
      <ns0:c r="K116" s="29"/>
    </ns0:row>
    <ns0:row r="117" ht="28" customHeight="1">
      <ns0:c r="A117" s="29"/>
      <ns0:c r="B117" s="30"/>
      <ns0:c r="C117" s="28"/>
      <ns0:c r="D117" s="29"/>
      <ns0:c r="E117" s="31"/>
      <ns0:c r="F117" s="32"/>
      <ns0:c r="G117" s="29"/>
      <ns0:c r="H117" s="29"/>
      <ns0:c r="I117" s="29"/>
      <ns0:c r="J117" s="29"/>
      <ns0:c r="K117" s="29"/>
    </ns0:row>
    <ns0:row r="118" ht="28" customHeight="1">
      <ns0:c r="A118" s="29"/>
      <ns0:c r="B118" s="30"/>
      <ns0:c r="C118" s="28"/>
      <ns0:c r="D118" s="29"/>
      <ns0:c r="E118" s="31"/>
      <ns0:c r="F118" s="32"/>
      <ns0:c r="G118" s="29"/>
      <ns0:c r="H118" s="29"/>
      <ns0:c r="I118" s="29"/>
      <ns0:c r="J118" s="29"/>
      <ns0:c r="K118" s="29"/>
    </ns0:row>
    <ns0:row r="119" ht="28" customHeight="1">
      <ns0:c r="A119" s="29"/>
      <ns0:c r="B119" s="30"/>
      <ns0:c r="C119" s="28"/>
      <ns0:c r="D119" s="29"/>
      <ns0:c r="E119" s="31"/>
      <ns0:c r="F119" s="32"/>
      <ns0:c r="G119" s="29"/>
      <ns0:c r="H119" s="29"/>
      <ns0:c r="I119" s="29"/>
      <ns0:c r="J119" s="29"/>
      <ns0:c r="K119" s="29"/>
    </ns0:row>
    <ns0:row r="120" ht="28" customHeight="1">
      <ns0:c r="A120" s="29"/>
      <ns0:c r="B120" s="30"/>
      <ns0:c r="C120" s="28"/>
      <ns0:c r="D120" s="29"/>
      <ns0:c r="E120" s="31"/>
      <ns0:c r="F120" s="32"/>
      <ns0:c r="G120" s="29"/>
      <ns0:c r="H120" s="29"/>
      <ns0:c r="I120" s="29"/>
      <ns0:c r="J120" s="29"/>
      <ns0:c r="K120" s="29"/>
    </ns0:row>
    <ns0:row r="121" ht="28" customHeight="1">
      <ns0:c r="A121" s="29"/>
      <ns0:c r="B121" s="30"/>
      <ns0:c r="C121" s="28"/>
      <ns0:c r="D121" s="29"/>
      <ns0:c r="E121" s="31"/>
      <ns0:c r="F121" s="32"/>
      <ns0:c r="G121" s="29"/>
      <ns0:c r="H121" s="29"/>
      <ns0:c r="I121" s="29"/>
      <ns0:c r="J121" s="29"/>
      <ns0:c r="K121" s="29"/>
    </ns0:row>
    <ns0:row r="122" ht="28" customHeight="1">
      <ns0:c r="A122" s="29"/>
      <ns0:c r="B122" s="30"/>
      <ns0:c r="C122" s="28"/>
      <ns0:c r="D122" s="29"/>
      <ns0:c r="E122" s="31"/>
      <ns0:c r="F122" s="32"/>
      <ns0:c r="G122" s="29"/>
      <ns0:c r="H122" s="29"/>
      <ns0:c r="I122" s="29"/>
      <ns0:c r="J122" s="29"/>
      <ns0:c r="K122" s="29"/>
    </ns0:row>
    <ns0:row r="123" ht="28" customHeight="1">
      <ns0:c r="A123" s="29"/>
      <ns0:c r="B123" s="30"/>
      <ns0:c r="C123" s="28"/>
      <ns0:c r="D123" s="29"/>
      <ns0:c r="E123" s="31"/>
      <ns0:c r="F123" s="32"/>
      <ns0:c r="G123" s="29"/>
      <ns0:c r="H123" s="29"/>
      <ns0:c r="I123" s="29"/>
      <ns0:c r="J123" s="29"/>
      <ns0:c r="K123" s="29"/>
    </ns0:row>
    <ns0:row r="124" ht="28" customHeight="1">
      <ns0:c r="A124" s="29"/>
      <ns0:c r="B124" s="30"/>
      <ns0:c r="C124" s="28"/>
      <ns0:c r="D124" s="29"/>
      <ns0:c r="E124" s="31"/>
      <ns0:c r="F124" s="32"/>
      <ns0:c r="G124" s="29"/>
      <ns0:c r="H124" s="29"/>
      <ns0:c r="I124" s="29"/>
      <ns0:c r="J124" s="29"/>
      <ns0:c r="K124" s="29"/>
    </ns0:row>
    <ns0:row r="125" ht="28" customHeight="1">
      <ns0:c r="A125" s="29"/>
      <ns0:c r="B125" s="30"/>
      <ns0:c r="C125" s="28"/>
      <ns0:c r="D125" s="29"/>
      <ns0:c r="E125" s="31"/>
      <ns0:c r="F125" s="32"/>
      <ns0:c r="G125" s="29"/>
      <ns0:c r="H125" s="29"/>
      <ns0:c r="I125" s="29"/>
      <ns0:c r="J125" s="29"/>
      <ns0:c r="K125" s="29"/>
    </ns0:row>
    <ns0:row r="126" ht="28" customHeight="1">
      <ns0:c r="A126" s="29"/>
      <ns0:c r="B126" s="30"/>
      <ns0:c r="C126" s="28"/>
      <ns0:c r="D126" s="29"/>
      <ns0:c r="E126" s="31"/>
      <ns0:c r="F126" s="32"/>
      <ns0:c r="G126" s="29"/>
      <ns0:c r="H126" s="29"/>
      <ns0:c r="I126" s="29"/>
      <ns0:c r="J126" s="29"/>
      <ns0:c r="K126" s="29"/>
    </ns0:row>
    <ns0:row r="127" ht="28" customHeight="1">
      <ns0:c r="A127" s="29"/>
      <ns0:c r="B127" s="30"/>
      <ns0:c r="C127" s="28"/>
      <ns0:c r="D127" s="29"/>
      <ns0:c r="E127" s="31"/>
      <ns0:c r="F127" s="32"/>
      <ns0:c r="G127" s="29"/>
      <ns0:c r="H127" s="29"/>
      <ns0:c r="I127" s="29"/>
      <ns0:c r="J127" s="29"/>
      <ns0:c r="K127" s="29"/>
    </ns0:row>
    <ns0:row r="128" ht="28" customHeight="1">
      <ns0:c r="A128" s="29"/>
      <ns0:c r="B128" s="30"/>
      <ns0:c r="C128" s="28"/>
      <ns0:c r="D128" s="29"/>
      <ns0:c r="E128" s="31"/>
      <ns0:c r="F128" s="32"/>
      <ns0:c r="G128" s="29"/>
      <ns0:c r="H128" s="29"/>
      <ns0:c r="I128" s="29"/>
      <ns0:c r="J128" s="29"/>
      <ns0:c r="K128" s="29"/>
    </ns0:row>
    <ns0:row r="129" ht="28" customHeight="1">
      <ns0:c r="A129" s="29"/>
      <ns0:c r="B129" s="30"/>
      <ns0:c r="C129" s="28"/>
      <ns0:c r="D129" s="29"/>
      <ns0:c r="E129" s="31"/>
      <ns0:c r="F129" s="32"/>
      <ns0:c r="G129" s="29"/>
      <ns0:c r="H129" s="29"/>
      <ns0:c r="I129" s="29"/>
      <ns0:c r="J129" s="29"/>
      <ns0:c r="K129" s="29"/>
    </ns0:row>
    <ns0:row r="130" ht="28" customHeight="1">
      <ns0:c r="A130" s="29"/>
      <ns0:c r="B130" s="30"/>
      <ns0:c r="C130" s="28"/>
      <ns0:c r="D130" s="29"/>
      <ns0:c r="E130" s="31"/>
      <ns0:c r="F130" s="32"/>
      <ns0:c r="G130" s="29"/>
      <ns0:c r="H130" s="29"/>
      <ns0:c r="I130" s="29"/>
      <ns0:c r="J130" s="29"/>
      <ns0:c r="K130" s="29"/>
    </ns0:row>
    <ns0:row r="131" ht="28" customHeight="1">
      <ns0:c r="A131" s="29"/>
      <ns0:c r="B131" s="30"/>
      <ns0:c r="C131" s="28"/>
      <ns0:c r="D131" s="29"/>
      <ns0:c r="E131" s="31"/>
      <ns0:c r="F131" s="32"/>
      <ns0:c r="G131" s="29"/>
      <ns0:c r="H131" s="29"/>
      <ns0:c r="I131" s="29"/>
      <ns0:c r="J131" s="29"/>
      <ns0:c r="K131" s="29"/>
    </ns0:row>
    <ns0:row r="132" ht="28" customHeight="1">
      <ns0:c r="A132" s="29"/>
      <ns0:c r="B132" s="30"/>
      <ns0:c r="C132" s="28"/>
      <ns0:c r="D132" s="29"/>
      <ns0:c r="E132" s="31"/>
      <ns0:c r="F132" s="32"/>
      <ns0:c r="G132" s="29"/>
      <ns0:c r="H132" s="29"/>
      <ns0:c r="I132" s="29"/>
      <ns0:c r="J132" s="29"/>
      <ns0:c r="K132" s="29"/>
    </ns0:row>
    <ns0:row r="133" ht="28" customHeight="1">
      <ns0:c r="A133" s="29"/>
      <ns0:c r="B133" s="30"/>
      <ns0:c r="C133" s="28"/>
      <ns0:c r="D133" s="29"/>
      <ns0:c r="E133" s="31"/>
      <ns0:c r="F133" s="32"/>
      <ns0:c r="G133" s="29"/>
      <ns0:c r="H133" s="29"/>
      <ns0:c r="I133" s="29"/>
      <ns0:c r="J133" s="29"/>
      <ns0:c r="K133" s="29"/>
    </ns0:row>
    <ns0:row r="134" ht="28" customHeight="1">
      <ns0:c r="A134" s="29"/>
      <ns0:c r="B134" s="30"/>
      <ns0:c r="C134" s="28"/>
      <ns0:c r="D134" s="29"/>
      <ns0:c r="E134" s="31"/>
      <ns0:c r="F134" s="32"/>
      <ns0:c r="G134" s="29"/>
      <ns0:c r="H134" s="29"/>
      <ns0:c r="I134" s="29"/>
      <ns0:c r="J134" s="29"/>
      <ns0:c r="K134" s="29"/>
    </ns0:row>
    <ns0:row r="135" ht="28" customHeight="1">
      <ns0:c r="A135" s="29"/>
      <ns0:c r="B135" s="30"/>
      <ns0:c r="C135" s="28"/>
      <ns0:c r="D135" s="29"/>
      <ns0:c r="E135" s="31"/>
      <ns0:c r="F135" s="32"/>
      <ns0:c r="G135" s="29"/>
      <ns0:c r="H135" s="29"/>
      <ns0:c r="I135" s="29"/>
      <ns0:c r="J135" s="29"/>
      <ns0:c r="K135" s="29"/>
    </ns0:row>
    <ns0:row r="136" ht="28" customHeight="1">
      <ns0:c r="A136" s="29"/>
      <ns0:c r="B136" s="30"/>
      <ns0:c r="C136" s="28"/>
      <ns0:c r="D136" s="29"/>
      <ns0:c r="E136" s="31"/>
      <ns0:c r="F136" s="32"/>
      <ns0:c r="G136" s="29"/>
      <ns0:c r="H136" s="29"/>
      <ns0:c r="I136" s="29"/>
      <ns0:c r="J136" s="29"/>
      <ns0:c r="K136" s="29"/>
    </ns0:row>
    <ns0:row r="137" ht="28" customHeight="1">
      <ns0:c r="A137" s="29"/>
      <ns0:c r="B137" s="30"/>
      <ns0:c r="C137" s="28"/>
      <ns0:c r="D137" s="29"/>
      <ns0:c r="E137" s="31"/>
      <ns0:c r="F137" s="32"/>
      <ns0:c r="G137" s="29"/>
      <ns0:c r="H137" s="29"/>
      <ns0:c r="I137" s="29"/>
      <ns0:c r="J137" s="29"/>
      <ns0:c r="K137" s="29"/>
    </ns0:row>
    <ns0:row r="138" ht="28" customHeight="1">
      <ns0:c r="A138" s="29"/>
      <ns0:c r="B138" s="30"/>
      <ns0:c r="C138" s="28"/>
      <ns0:c r="D138" s="29"/>
      <ns0:c r="E138" s="31"/>
      <ns0:c r="F138" s="32"/>
      <ns0:c r="G138" s="29"/>
      <ns0:c r="H138" s="29"/>
      <ns0:c r="I138" s="29"/>
      <ns0:c r="J138" s="29"/>
      <ns0:c r="K138" s="29"/>
    </ns0:row>
    <ns0:row r="139" ht="28" customHeight="1">
      <ns0:c r="A139" s="29"/>
      <ns0:c r="B139" s="30"/>
      <ns0:c r="C139" s="28"/>
      <ns0:c r="D139" s="29"/>
      <ns0:c r="E139" s="31"/>
      <ns0:c r="F139" s="32"/>
      <ns0:c r="G139" s="29"/>
      <ns0:c r="H139" s="29"/>
      <ns0:c r="I139" s="29"/>
      <ns0:c r="J139" s="29"/>
      <ns0:c r="K139" s="29"/>
    </ns0:row>
    <ns0:row r="140" ht="28" customHeight="1">
      <ns0:c r="A140" s="29"/>
      <ns0:c r="B140" s="30"/>
      <ns0:c r="C140" s="28"/>
      <ns0:c r="D140" s="29"/>
      <ns0:c r="E140" s="31"/>
      <ns0:c r="F140" s="32"/>
      <ns0:c r="G140" s="29"/>
      <ns0:c r="H140" s="29"/>
      <ns0:c r="I140" s="29"/>
      <ns0:c r="J140" s="29"/>
      <ns0:c r="K140" s="29"/>
    </ns0:row>
    <ns0:row r="141" ht="28" customHeight="1">
      <ns0:c r="A141" s="29"/>
      <ns0:c r="B141" s="30"/>
      <ns0:c r="C141" s="28"/>
      <ns0:c r="D141" s="29"/>
      <ns0:c r="E141" s="31"/>
      <ns0:c r="F141" s="32"/>
      <ns0:c r="G141" s="29"/>
      <ns0:c r="H141" s="29"/>
      <ns0:c r="I141" s="29"/>
      <ns0:c r="J141" s="29"/>
      <ns0:c r="K141" s="29"/>
    </ns0:row>
    <ns0:row r="142" ht="28" customHeight="1">
      <ns0:c r="A142" s="29"/>
      <ns0:c r="B142" s="30"/>
      <ns0:c r="C142" s="28"/>
      <ns0:c r="D142" s="29"/>
      <ns0:c r="E142" s="31"/>
      <ns0:c r="F142" s="32"/>
      <ns0:c r="G142" s="29"/>
      <ns0:c r="H142" s="29"/>
      <ns0:c r="I142" s="29"/>
      <ns0:c r="J142" s="29"/>
      <ns0:c r="K142" s="29"/>
    </ns0:row>
    <ns0:row r="143" ht="28" customHeight="1">
      <ns0:c r="A143" s="29"/>
      <ns0:c r="B143" s="30"/>
      <ns0:c r="C143" s="28"/>
      <ns0:c r="D143" s="29"/>
      <ns0:c r="E143" s="31"/>
      <ns0:c r="F143" s="32"/>
      <ns0:c r="G143" s="29"/>
      <ns0:c r="H143" s="29"/>
      <ns0:c r="I143" s="29"/>
      <ns0:c r="J143" s="29"/>
      <ns0:c r="K143" s="29"/>
    </ns0:row>
    <ns0:row r="144" ht="28" customHeight="1">
      <ns0:c r="A144" s="29"/>
      <ns0:c r="B144" s="30"/>
      <ns0:c r="C144" s="28"/>
      <ns0:c r="D144" s="29"/>
      <ns0:c r="E144" s="31"/>
      <ns0:c r="F144" s="32"/>
      <ns0:c r="G144" s="29"/>
      <ns0:c r="H144" s="29"/>
      <ns0:c r="I144" s="29"/>
      <ns0:c r="J144" s="29"/>
      <ns0:c r="K144" s="29"/>
    </ns0:row>
    <ns0:row r="145" ht="28" customHeight="1">
      <ns0:c r="A145" s="29"/>
      <ns0:c r="B145" s="30"/>
      <ns0:c r="C145" s="28"/>
      <ns0:c r="D145" s="29"/>
      <ns0:c r="E145" s="31"/>
      <ns0:c r="F145" s="32"/>
      <ns0:c r="G145" s="29"/>
      <ns0:c r="H145" s="29"/>
      <ns0:c r="I145" s="29"/>
      <ns0:c r="J145" s="29"/>
      <ns0:c r="K145" s="29"/>
    </ns0:row>
    <ns0:row r="146" ht="28" customHeight="1">
      <ns0:c r="A146" s="29"/>
      <ns0:c r="B146" s="30"/>
      <ns0:c r="C146" s="28"/>
      <ns0:c r="D146" s="29"/>
      <ns0:c r="E146" s="31"/>
      <ns0:c r="F146" s="32"/>
      <ns0:c r="G146" s="29"/>
      <ns0:c r="H146" s="29"/>
      <ns0:c r="I146" s="29"/>
      <ns0:c r="J146" s="29"/>
      <ns0:c r="K146" s="29"/>
    </ns0:row>
    <ns0:row r="147" ht="28" customHeight="1">
      <ns0:c r="A147" s="29"/>
      <ns0:c r="B147" s="30"/>
      <ns0:c r="C147" s="28"/>
      <ns0:c r="D147" s="29"/>
      <ns0:c r="E147" s="31"/>
      <ns0:c r="F147" s="32"/>
      <ns0:c r="G147" s="29"/>
      <ns0:c r="H147" s="29"/>
      <ns0:c r="I147" s="29"/>
      <ns0:c r="J147" s="29"/>
      <ns0:c r="K147" s="29"/>
    </ns0:row>
    <ns0:row r="148" ht="28" customHeight="1">
      <ns0:c r="A148" s="29"/>
      <ns0:c r="B148" s="30"/>
      <ns0:c r="C148" s="28"/>
      <ns0:c r="D148" s="29"/>
      <ns0:c r="E148" s="31"/>
      <ns0:c r="F148" s="32"/>
      <ns0:c r="G148" s="29"/>
      <ns0:c r="H148" s="29"/>
      <ns0:c r="I148" s="29"/>
      <ns0:c r="J148" s="29"/>
      <ns0:c r="K148" s="29"/>
    </ns0:row>
    <ns0:row r="149" ht="28" customHeight="1">
      <ns0:c r="A149" s="29"/>
      <ns0:c r="B149" s="30"/>
      <ns0:c r="C149" s="28"/>
      <ns0:c r="D149" s="29"/>
      <ns0:c r="E149" s="31"/>
      <ns0:c r="F149" s="32"/>
      <ns0:c r="G149" s="29"/>
      <ns0:c r="H149" s="29"/>
      <ns0:c r="I149" s="29"/>
      <ns0:c r="J149" s="29"/>
      <ns0:c r="K149" s="29"/>
    </ns0:row>
    <ns0:row r="150" ht="28" customHeight="1">
      <ns0:c r="A150" s="29"/>
      <ns0:c r="B150" s="30"/>
      <ns0:c r="C150" s="28"/>
      <ns0:c r="D150" s="29"/>
      <ns0:c r="E150" s="31"/>
      <ns0:c r="F150" s="32"/>
      <ns0:c r="G150" s="29"/>
      <ns0:c r="H150" s="29"/>
      <ns0:c r="I150" s="29"/>
      <ns0:c r="J150" s="29"/>
      <ns0:c r="K150" s="29"/>
    </ns0:row>
    <ns0:row r="151" ht="28" customHeight="1">
      <ns0:c r="A151" s="29"/>
      <ns0:c r="B151" s="30"/>
      <ns0:c r="C151" s="28"/>
      <ns0:c r="D151" s="29"/>
      <ns0:c r="E151" s="31"/>
      <ns0:c r="F151" s="32"/>
      <ns0:c r="G151" s="29"/>
      <ns0:c r="H151" s="29"/>
      <ns0:c r="I151" s="29"/>
      <ns0:c r="J151" s="29"/>
      <ns0:c r="K151" s="29"/>
    </ns0:row>
    <ns0:row r="152" ht="28" customHeight="1">
      <ns0:c r="A152" s="29"/>
      <ns0:c r="B152" s="30"/>
      <ns0:c r="C152" s="28"/>
      <ns0:c r="D152" s="29"/>
      <ns0:c r="E152" s="31"/>
      <ns0:c r="F152" s="32"/>
      <ns0:c r="G152" s="29"/>
      <ns0:c r="H152" s="29"/>
      <ns0:c r="I152" s="29"/>
      <ns0:c r="J152" s="29"/>
      <ns0:c r="K152" s="29"/>
    </ns0:row>
    <ns0:row r="153" ht="28" customHeight="1">
      <ns0:c r="A153" s="29"/>
      <ns0:c r="B153" s="30"/>
      <ns0:c r="C153" s="28"/>
      <ns0:c r="D153" s="29"/>
      <ns0:c r="E153" s="31"/>
      <ns0:c r="F153" s="32"/>
      <ns0:c r="G153" s="29"/>
      <ns0:c r="H153" s="29"/>
      <ns0:c r="I153" s="29"/>
      <ns0:c r="J153" s="29"/>
      <ns0:c r="K153" s="29"/>
    </ns0:row>
    <ns0:row r="154" ht="28" customHeight="1">
      <ns0:c r="A154" s="29"/>
      <ns0:c r="B154" s="30"/>
      <ns0:c r="C154" s="28"/>
      <ns0:c r="D154" s="29"/>
      <ns0:c r="E154" s="31"/>
      <ns0:c r="F154" s="32"/>
      <ns0:c r="G154" s="29"/>
      <ns0:c r="H154" s="29"/>
      <ns0:c r="I154" s="29"/>
      <ns0:c r="J154" s="29"/>
      <ns0:c r="K154" s="29"/>
    </ns0:row>
    <ns0:row r="155" ht="28" customHeight="1">
      <ns0:c r="A155" s="29"/>
      <ns0:c r="B155" s="30"/>
      <ns0:c r="C155" s="28"/>
      <ns0:c r="D155" s="29"/>
      <ns0:c r="E155" s="31"/>
      <ns0:c r="F155" s="32"/>
      <ns0:c r="G155" s="29"/>
      <ns0:c r="H155" s="29"/>
      <ns0:c r="I155" s="29"/>
      <ns0:c r="J155" s="29"/>
      <ns0:c r="K155" s="29"/>
    </ns0:row>
    <ns0:row r="156" ht="28" customHeight="1">
      <ns0:c r="A156" s="29"/>
      <ns0:c r="B156" s="30"/>
      <ns0:c r="C156" s="28"/>
      <ns0:c r="D156" s="29"/>
      <ns0:c r="E156" s="31"/>
      <ns0:c r="F156" s="32"/>
      <ns0:c r="G156" s="29"/>
      <ns0:c r="H156" s="29"/>
      <ns0:c r="I156" s="29"/>
      <ns0:c r="J156" s="29"/>
      <ns0:c r="K156" s="29"/>
    </ns0:row>
    <ns0:row r="157" ht="28" customHeight="1">
      <ns0:c r="A157" s="29"/>
      <ns0:c r="B157" s="30"/>
      <ns0:c r="C157" s="28"/>
      <ns0:c r="D157" s="29"/>
      <ns0:c r="E157" s="31"/>
      <ns0:c r="F157" s="32"/>
      <ns0:c r="G157" s="29"/>
      <ns0:c r="H157" s="29"/>
      <ns0:c r="I157" s="29"/>
      <ns0:c r="J157" s="29"/>
      <ns0:c r="K157" s="29"/>
    </ns0:row>
    <ns0:row r="158" ht="28" customHeight="1">
      <ns0:c r="A158" s="29"/>
      <ns0:c r="B158" s="30"/>
      <ns0:c r="C158" s="28"/>
      <ns0:c r="D158" s="29"/>
      <ns0:c r="E158" s="31"/>
      <ns0:c r="F158" s="32"/>
      <ns0:c r="G158" s="29"/>
      <ns0:c r="H158" s="29"/>
      <ns0:c r="I158" s="29"/>
      <ns0:c r="J158" s="29"/>
      <ns0:c r="K158" s="29"/>
    </ns0:row>
    <ns0:row r="159" ht="28" customHeight="1">
      <ns0:c r="A159" s="29"/>
      <ns0:c r="B159" s="30"/>
      <ns0:c r="C159" s="28"/>
      <ns0:c r="D159" s="29"/>
      <ns0:c r="E159" s="31"/>
      <ns0:c r="F159" s="32"/>
      <ns0:c r="G159" s="29"/>
      <ns0:c r="H159" s="29"/>
      <ns0:c r="I159" s="29"/>
      <ns0:c r="J159" s="29"/>
      <ns0:c r="K159" s="29"/>
    </ns0:row>
    <ns0:row r="160" ht="28" customHeight="1">
      <ns0:c r="A160" s="29"/>
      <ns0:c r="B160" s="30"/>
      <ns0:c r="C160" s="28"/>
      <ns0:c r="D160" s="29"/>
      <ns0:c r="E160" s="31"/>
      <ns0:c r="F160" s="32"/>
      <ns0:c r="G160" s="29"/>
      <ns0:c r="H160" s="29"/>
      <ns0:c r="I160" s="29"/>
      <ns0:c r="J160" s="29"/>
      <ns0:c r="K160" s="29"/>
    </ns0:row>
    <ns0:row r="161" ht="28" customHeight="1">
      <ns0:c r="A161" s="29"/>
      <ns0:c r="B161" s="30"/>
      <ns0:c r="C161" s="28"/>
      <ns0:c r="D161" s="29"/>
      <ns0:c r="E161" s="31"/>
      <ns0:c r="F161" s="32"/>
      <ns0:c r="G161" s="29"/>
      <ns0:c r="H161" s="29"/>
      <ns0:c r="I161" s="29"/>
      <ns0:c r="J161" s="29"/>
      <ns0:c r="K161" s="29"/>
    </ns0:row>
    <ns0:row r="162" ht="28" customHeight="1">
      <ns0:c r="A162" s="29"/>
      <ns0:c r="B162" s="30"/>
      <ns0:c r="C162" s="28"/>
      <ns0:c r="D162" s="29"/>
      <ns0:c r="E162" s="31"/>
      <ns0:c r="F162" s="32"/>
      <ns0:c r="G162" s="29"/>
      <ns0:c r="H162" s="29"/>
      <ns0:c r="I162" s="29"/>
      <ns0:c r="J162" s="29"/>
      <ns0:c r="K162" s="29"/>
    </ns0:row>
    <ns0:row r="163" ht="28" customHeight="1">
      <ns0:c r="A163" s="29"/>
      <ns0:c r="B163" s="30"/>
      <ns0:c r="C163" s="28"/>
      <ns0:c r="D163" s="29"/>
      <ns0:c r="E163" s="31"/>
      <ns0:c r="F163" s="32"/>
      <ns0:c r="G163" s="29"/>
      <ns0:c r="H163" s="29"/>
      <ns0:c r="I163" s="29"/>
      <ns0:c r="J163" s="29"/>
      <ns0:c r="K163" s="29"/>
    </ns0:row>
    <ns0:row r="164" ht="28" customHeight="1">
      <ns0:c r="A164" s="29"/>
      <ns0:c r="B164" s="30"/>
      <ns0:c r="C164" s="28"/>
      <ns0:c r="D164" s="29"/>
      <ns0:c r="E164" s="31"/>
      <ns0:c r="F164" s="32"/>
      <ns0:c r="G164" s="29"/>
      <ns0:c r="H164" s="29"/>
      <ns0:c r="I164" s="29"/>
      <ns0:c r="J164" s="29"/>
      <ns0:c r="K164" s="29"/>
    </ns0:row>
    <ns0:row r="165" ht="28" customHeight="1">
      <ns0:c r="A165" s="29"/>
      <ns0:c r="B165" s="30"/>
      <ns0:c r="C165" s="28"/>
      <ns0:c r="D165" s="29"/>
      <ns0:c r="E165" s="31"/>
      <ns0:c r="F165" s="32"/>
      <ns0:c r="G165" s="29"/>
      <ns0:c r="H165" s="29"/>
      <ns0:c r="I165" s="29"/>
      <ns0:c r="J165" s="29"/>
      <ns0:c r="K165" s="29"/>
    </ns0:row>
    <ns0:row r="166" ht="28" customHeight="1">
      <ns0:c r="A166" s="29"/>
      <ns0:c r="B166" s="30"/>
      <ns0:c r="C166" s="28"/>
      <ns0:c r="D166" s="29"/>
      <ns0:c r="E166" s="31"/>
      <ns0:c r="F166" s="32"/>
      <ns0:c r="G166" s="29"/>
      <ns0:c r="H166" s="29"/>
      <ns0:c r="I166" s="29"/>
      <ns0:c r="J166" s="29"/>
      <ns0:c r="K166" s="29"/>
    </ns0:row>
    <ns0:row r="167" ht="28" customHeight="1">
      <ns0:c r="A167" s="29"/>
      <ns0:c r="B167" s="30"/>
      <ns0:c r="C167" s="28"/>
      <ns0:c r="D167" s="29"/>
      <ns0:c r="E167" s="31"/>
      <ns0:c r="F167" s="32"/>
      <ns0:c r="G167" s="29"/>
      <ns0:c r="H167" s="29"/>
      <ns0:c r="I167" s="29"/>
      <ns0:c r="J167" s="29"/>
      <ns0:c r="K167" s="29"/>
    </ns0:row>
    <ns0:row r="168" ht="28" customHeight="1">
      <ns0:c r="A168" s="29"/>
      <ns0:c r="B168" s="30"/>
      <ns0:c r="C168" s="28"/>
      <ns0:c r="D168" s="29"/>
      <ns0:c r="E168" s="31"/>
      <ns0:c r="F168" s="32"/>
      <ns0:c r="G168" s="29"/>
      <ns0:c r="H168" s="29"/>
      <ns0:c r="I168" s="29"/>
      <ns0:c r="J168" s="29"/>
      <ns0:c r="K168" s="29"/>
    </ns0:row>
    <ns0:row r="169" ht="28" customHeight="1">
      <ns0:c r="A169" s="29"/>
      <ns0:c r="B169" s="30"/>
      <ns0:c r="C169" s="28"/>
      <ns0:c r="D169" s="29"/>
      <ns0:c r="E169" s="31"/>
      <ns0:c r="F169" s="32"/>
      <ns0:c r="G169" s="29"/>
      <ns0:c r="H169" s="29"/>
      <ns0:c r="I169" s="29"/>
      <ns0:c r="J169" s="29"/>
      <ns0:c r="K169" s="29"/>
    </ns0:row>
    <ns0:row r="170" ht="28" customHeight="1">
      <ns0:c r="A170" s="29"/>
      <ns0:c r="B170" s="30"/>
      <ns0:c r="C170" s="28"/>
      <ns0:c r="D170" s="29"/>
      <ns0:c r="E170" s="31"/>
      <ns0:c r="F170" s="32"/>
      <ns0:c r="G170" s="29"/>
      <ns0:c r="H170" s="29"/>
      <ns0:c r="I170" s="29"/>
      <ns0:c r="J170" s="29"/>
      <ns0:c r="K170" s="29"/>
    </ns0:row>
    <ns0:row r="171" ht="28" customHeight="1">
      <ns0:c r="A171" s="29"/>
      <ns0:c r="B171" s="30"/>
      <ns0:c r="C171" s="28"/>
      <ns0:c r="D171" s="29"/>
      <ns0:c r="E171" s="31"/>
      <ns0:c r="F171" s="32"/>
      <ns0:c r="G171" s="29"/>
      <ns0:c r="H171" s="29"/>
      <ns0:c r="I171" s="29"/>
      <ns0:c r="J171" s="29"/>
      <ns0:c r="K171" s="29"/>
    </ns0:row>
    <ns0:row r="172" ht="28" customHeight="1">
      <ns0:c r="A172" s="29"/>
      <ns0:c r="B172" s="30"/>
      <ns0:c r="C172" s="28"/>
      <ns0:c r="D172" s="29"/>
      <ns0:c r="E172" s="31"/>
      <ns0:c r="F172" s="32"/>
      <ns0:c r="G172" s="29"/>
      <ns0:c r="H172" s="29"/>
      <ns0:c r="I172" s="29"/>
      <ns0:c r="J172" s="29"/>
      <ns0:c r="K172" s="29"/>
    </ns0:row>
    <ns0:row r="173" ht="28" customHeight="1">
      <ns0:c r="A173" s="29"/>
      <ns0:c r="B173" s="30"/>
      <ns0:c r="C173" s="28"/>
      <ns0:c r="D173" s="29"/>
      <ns0:c r="E173" s="31"/>
      <ns0:c r="F173" s="32"/>
      <ns0:c r="G173" s="29"/>
      <ns0:c r="H173" s="29"/>
      <ns0:c r="I173" s="29"/>
      <ns0:c r="J173" s="29"/>
      <ns0:c r="K173" s="29"/>
    </ns0:row>
    <ns0:row r="174" ht="28" customHeight="1">
      <ns0:c r="A174" s="29"/>
      <ns0:c r="B174" s="30"/>
      <ns0:c r="C174" s="28"/>
      <ns0:c r="D174" s="29"/>
      <ns0:c r="E174" s="31"/>
      <ns0:c r="F174" s="32"/>
      <ns0:c r="G174" s="29"/>
      <ns0:c r="H174" s="29"/>
      <ns0:c r="I174" s="29"/>
      <ns0:c r="J174" s="29"/>
      <ns0:c r="K174" s="29"/>
    </ns0:row>
    <ns0:row r="175" ht="28" customHeight="1">
      <ns0:c r="A175" s="29"/>
      <ns0:c r="B175" s="30"/>
      <ns0:c r="C175" s="28"/>
      <ns0:c r="D175" s="29"/>
      <ns0:c r="E175" s="31"/>
      <ns0:c r="F175" s="32"/>
      <ns0:c r="G175" s="29"/>
      <ns0:c r="H175" s="29"/>
      <ns0:c r="I175" s="29"/>
      <ns0:c r="J175" s="29"/>
      <ns0:c r="K175" s="29"/>
    </ns0:row>
    <ns0:row r="176" ht="28" customHeight="1">
      <ns0:c r="A176" s="29"/>
      <ns0:c r="B176" s="30"/>
      <ns0:c r="C176" s="28"/>
      <ns0:c r="D176" s="29"/>
      <ns0:c r="E176" s="31"/>
      <ns0:c r="F176" s="32"/>
      <ns0:c r="G176" s="29"/>
      <ns0:c r="H176" s="29"/>
      <ns0:c r="I176" s="29"/>
      <ns0:c r="J176" s="29"/>
      <ns0:c r="K176" s="29"/>
    </ns0:row>
    <ns0:row r="177" ht="28" customHeight="1">
      <ns0:c r="A177" s="29"/>
      <ns0:c r="B177" s="30"/>
      <ns0:c r="C177" s="28"/>
      <ns0:c r="D177" s="29"/>
      <ns0:c r="E177" s="31"/>
      <ns0:c r="F177" s="32"/>
      <ns0:c r="G177" s="29"/>
      <ns0:c r="H177" s="29"/>
      <ns0:c r="I177" s="29"/>
      <ns0:c r="J177" s="29"/>
      <ns0:c r="K177" s="29"/>
    </ns0:row>
    <ns0:row r="178" ht="28" customHeight="1">
      <ns0:c r="A178" s="29"/>
      <ns0:c r="B178" s="30"/>
      <ns0:c r="C178" s="28"/>
      <ns0:c r="D178" s="29"/>
      <ns0:c r="E178" s="31"/>
      <ns0:c r="F178" s="32"/>
      <ns0:c r="G178" s="29"/>
      <ns0:c r="H178" s="29"/>
      <ns0:c r="I178" s="29"/>
      <ns0:c r="J178" s="29"/>
      <ns0:c r="K178" s="29"/>
    </ns0:row>
    <ns0:row r="179" ht="28" customHeight="1">
      <ns0:c r="A179" s="29"/>
      <ns0:c r="B179" s="30"/>
      <ns0:c r="C179" s="28"/>
      <ns0:c r="D179" s="29"/>
      <ns0:c r="E179" s="31"/>
      <ns0:c r="F179" s="32"/>
      <ns0:c r="G179" s="29"/>
      <ns0:c r="H179" s="29"/>
      <ns0:c r="I179" s="29"/>
      <ns0:c r="J179" s="29"/>
      <ns0:c r="K179" s="29"/>
    </ns0:row>
    <ns0:row r="180" ht="28" customHeight="1">
      <ns0:c r="A180" s="29"/>
      <ns0:c r="B180" s="30"/>
      <ns0:c r="C180" s="28"/>
      <ns0:c r="D180" s="29"/>
      <ns0:c r="E180" s="31"/>
      <ns0:c r="F180" s="32"/>
      <ns0:c r="G180" s="29"/>
      <ns0:c r="H180" s="29"/>
      <ns0:c r="I180" s="29"/>
      <ns0:c r="J180" s="29"/>
      <ns0:c r="K180" s="29"/>
    </ns0:row>
    <ns0:row r="181" ht="28" customHeight="1">
      <ns0:c r="A181" s="29"/>
      <ns0:c r="B181" s="30"/>
      <ns0:c r="C181" s="28"/>
      <ns0:c r="D181" s="29"/>
      <ns0:c r="E181" s="31"/>
      <ns0:c r="F181" s="32"/>
      <ns0:c r="G181" s="29"/>
      <ns0:c r="H181" s="29"/>
      <ns0:c r="I181" s="29"/>
      <ns0:c r="J181" s="29"/>
      <ns0:c r="K181" s="29"/>
    </ns0:row>
    <ns0:row r="182" ht="28" customHeight="1">
      <ns0:c r="A182" s="29"/>
      <ns0:c r="B182" s="30"/>
      <ns0:c r="C182" s="28"/>
      <ns0:c r="D182" s="29"/>
      <ns0:c r="E182" s="31"/>
      <ns0:c r="F182" s="32"/>
      <ns0:c r="G182" s="29"/>
      <ns0:c r="H182" s="29"/>
      <ns0:c r="I182" s="29"/>
      <ns0:c r="J182" s="29"/>
      <ns0:c r="K182" s="29"/>
    </ns0:row>
    <ns0:row r="183" ht="28" customHeight="1">
      <ns0:c r="A183" s="29"/>
      <ns0:c r="B183" s="30"/>
      <ns0:c r="C183" s="28"/>
      <ns0:c r="D183" s="29"/>
      <ns0:c r="E183" s="31"/>
      <ns0:c r="F183" s="32"/>
      <ns0:c r="G183" s="29"/>
      <ns0:c r="H183" s="29"/>
      <ns0:c r="I183" s="29"/>
      <ns0:c r="J183" s="29"/>
      <ns0:c r="K183" s="29"/>
    </ns0:row>
    <ns0:row r="184" ht="28" customHeight="1">
      <ns0:c r="A184" s="29"/>
      <ns0:c r="B184" s="30"/>
      <ns0:c r="C184" s="28"/>
      <ns0:c r="D184" s="29"/>
      <ns0:c r="E184" s="31"/>
      <ns0:c r="F184" s="32"/>
      <ns0:c r="G184" s="29"/>
      <ns0:c r="H184" s="29"/>
      <ns0:c r="I184" s="29"/>
      <ns0:c r="J184" s="29"/>
      <ns0:c r="K184" s="29"/>
    </ns0:row>
    <ns0:row r="185" ht="28" customHeight="1">
      <ns0:c r="A185" s="29"/>
      <ns0:c r="B185" s="30"/>
      <ns0:c r="C185" s="28"/>
      <ns0:c r="D185" s="29"/>
      <ns0:c r="E185" s="31"/>
      <ns0:c r="F185" s="32"/>
      <ns0:c r="G185" s="29"/>
      <ns0:c r="H185" s="29"/>
      <ns0:c r="I185" s="29"/>
      <ns0:c r="J185" s="29"/>
      <ns0:c r="K185" s="29"/>
    </ns0:row>
    <ns0:row r="186" ht="28" customHeight="1">
      <ns0:c r="A186" s="29"/>
      <ns0:c r="B186" s="30"/>
      <ns0:c r="C186" s="28"/>
      <ns0:c r="D186" s="29"/>
      <ns0:c r="E186" s="31"/>
      <ns0:c r="F186" s="32"/>
      <ns0:c r="G186" s="29"/>
      <ns0:c r="H186" s="29"/>
      <ns0:c r="I186" s="29"/>
      <ns0:c r="J186" s="29"/>
      <ns0:c r="K186" s="29"/>
    </ns0:row>
    <ns0:row r="187" ht="28" customHeight="1">
      <ns0:c r="A187" s="29"/>
      <ns0:c r="B187" s="30"/>
      <ns0:c r="C187" s="28"/>
      <ns0:c r="D187" s="29"/>
      <ns0:c r="E187" s="31"/>
      <ns0:c r="F187" s="32"/>
      <ns0:c r="G187" s="29"/>
      <ns0:c r="H187" s="29"/>
      <ns0:c r="I187" s="29"/>
      <ns0:c r="J187" s="29"/>
      <ns0:c r="K187" s="29"/>
    </ns0:row>
    <ns0:row r="188" ht="28" customHeight="1">
      <ns0:c r="A188" s="29"/>
      <ns0:c r="B188" s="30"/>
      <ns0:c r="C188" s="28"/>
      <ns0:c r="D188" s="29"/>
      <ns0:c r="E188" s="31"/>
      <ns0:c r="F188" s="32"/>
      <ns0:c r="G188" s="29"/>
      <ns0:c r="H188" s="29"/>
      <ns0:c r="I188" s="29"/>
      <ns0:c r="J188" s="29"/>
      <ns0:c r="K188" s="29"/>
    </ns0:row>
    <ns0:row r="189" ht="28" customHeight="1">
      <ns0:c r="A189" s="29"/>
      <ns0:c r="B189" s="30"/>
      <ns0:c r="C189" s="28"/>
      <ns0:c r="D189" s="29"/>
      <ns0:c r="E189" s="31"/>
      <ns0:c r="F189" s="32"/>
      <ns0:c r="G189" s="29"/>
      <ns0:c r="H189" s="29"/>
      <ns0:c r="I189" s="29"/>
      <ns0:c r="J189" s="29"/>
      <ns0:c r="K189" s="29"/>
    </ns0:row>
    <ns0:row r="190" ht="28" customHeight="1">
      <ns0:c r="A190" s="29"/>
      <ns0:c r="B190" s="30"/>
      <ns0:c r="C190" s="28"/>
      <ns0:c r="D190" s="29"/>
      <ns0:c r="E190" s="31"/>
      <ns0:c r="F190" s="32"/>
      <ns0:c r="G190" s="29"/>
      <ns0:c r="H190" s="29"/>
      <ns0:c r="I190" s="29"/>
      <ns0:c r="J190" s="29"/>
      <ns0:c r="K190" s="29"/>
    </ns0:row>
    <ns0:row r="191" ht="28" customHeight="1">
      <ns0:c r="A191" s="29"/>
      <ns0:c r="B191" s="30"/>
      <ns0:c r="C191" s="28"/>
      <ns0:c r="D191" s="29"/>
      <ns0:c r="E191" s="31"/>
      <ns0:c r="F191" s="32"/>
      <ns0:c r="G191" s="29"/>
      <ns0:c r="H191" s="29"/>
      <ns0:c r="I191" s="29"/>
      <ns0:c r="J191" s="29"/>
      <ns0:c r="K191" s="29"/>
    </ns0:row>
    <ns0:row r="192" ht="28" customHeight="1">
      <ns0:c r="A192" s="29"/>
      <ns0:c r="B192" s="30"/>
      <ns0:c r="C192" s="28"/>
      <ns0:c r="D192" s="29"/>
      <ns0:c r="E192" s="31"/>
      <ns0:c r="F192" s="32"/>
      <ns0:c r="G192" s="29"/>
      <ns0:c r="H192" s="29"/>
      <ns0:c r="I192" s="29"/>
      <ns0:c r="J192" s="29"/>
      <ns0:c r="K192" s="29"/>
    </ns0:row>
    <ns0:row r="193" ht="28" customHeight="1">
      <ns0:c r="A193" s="29"/>
      <ns0:c r="B193" s="30"/>
      <ns0:c r="C193" s="28"/>
      <ns0:c r="D193" s="29"/>
      <ns0:c r="E193" s="31"/>
      <ns0:c r="F193" s="32"/>
      <ns0:c r="G193" s="29"/>
      <ns0:c r="H193" s="29"/>
      <ns0:c r="I193" s="29"/>
      <ns0:c r="J193" s="29"/>
      <ns0:c r="K193" s="29"/>
    </ns0:row>
    <ns0:row r="194" ht="28" customHeight="1">
      <ns0:c r="A194" s="29"/>
      <ns0:c r="B194" s="30"/>
      <ns0:c r="C194" s="28"/>
      <ns0:c r="D194" s="29"/>
      <ns0:c r="E194" s="31"/>
      <ns0:c r="F194" s="32"/>
      <ns0:c r="G194" s="29"/>
      <ns0:c r="H194" s="29"/>
      <ns0:c r="I194" s="29"/>
      <ns0:c r="J194" s="29"/>
      <ns0:c r="K194" s="29"/>
    </ns0:row>
    <ns0:row r="195" ht="28" customHeight="1">
      <ns0:c r="A195" s="29"/>
      <ns0:c r="B195" s="30"/>
      <ns0:c r="C195" s="28"/>
      <ns0:c r="D195" s="29"/>
      <ns0:c r="E195" s="31"/>
      <ns0:c r="F195" s="32"/>
      <ns0:c r="G195" s="29"/>
      <ns0:c r="H195" s="29"/>
      <ns0:c r="I195" s="29"/>
      <ns0:c r="J195" s="29"/>
      <ns0:c r="K195" s="29"/>
    </ns0:row>
    <ns0:row r="196" ht="28" customHeight="1">
      <ns0:c r="A196" s="29"/>
      <ns0:c r="B196" s="30"/>
      <ns0:c r="C196" s="28"/>
      <ns0:c r="D196" s="29"/>
      <ns0:c r="E196" s="31"/>
      <ns0:c r="F196" s="32"/>
      <ns0:c r="G196" s="29"/>
      <ns0:c r="H196" s="29"/>
      <ns0:c r="I196" s="29"/>
      <ns0:c r="J196" s="29"/>
      <ns0:c r="K196" s="29"/>
    </ns0:row>
    <ns0:row r="197" ht="28" customHeight="1">
      <ns0:c r="A197" s="29"/>
      <ns0:c r="B197" s="30"/>
      <ns0:c r="C197" s="28"/>
      <ns0:c r="D197" s="29"/>
      <ns0:c r="E197" s="31"/>
      <ns0:c r="F197" s="32"/>
      <ns0:c r="G197" s="29"/>
      <ns0:c r="H197" s="29"/>
      <ns0:c r="I197" s="29"/>
      <ns0:c r="J197" s="29"/>
      <ns0:c r="K197" s="29"/>
    </ns0:row>
    <ns0:row r="198" ht="28" customHeight="1">
      <ns0:c r="A198" s="29"/>
      <ns0:c r="B198" s="30"/>
      <ns0:c r="C198" s="28"/>
      <ns0:c r="D198" s="29"/>
      <ns0:c r="E198" s="31"/>
      <ns0:c r="F198" s="32"/>
      <ns0:c r="G198" s="29"/>
      <ns0:c r="H198" s="29"/>
      <ns0:c r="I198" s="29"/>
      <ns0:c r="J198" s="29"/>
      <ns0:c r="K198" s="29"/>
    </ns0:row>
    <ns0:row r="199" ht="28" customHeight="1">
      <ns0:c r="A199" s="29"/>
      <ns0:c r="B199" s="30"/>
      <ns0:c r="C199" s="28"/>
      <ns0:c r="D199" s="29"/>
      <ns0:c r="E199" s="31"/>
      <ns0:c r="F199" s="32"/>
      <ns0:c r="G199" s="29"/>
      <ns0:c r="H199" s="29"/>
      <ns0:c r="I199" s="29"/>
      <ns0:c r="J199" s="29"/>
      <ns0:c r="K199" s="29"/>
    </ns0:row>
    <ns0:row r="200" ht="28" customHeight="1">
      <ns0:c r="A200" s="29"/>
      <ns0:c r="B200" s="30"/>
      <ns0:c r="C200" s="28"/>
      <ns0:c r="D200" s="29"/>
      <ns0:c r="E200" s="31"/>
      <ns0:c r="F200" s="32"/>
      <ns0:c r="G200" s="29"/>
      <ns0:c r="H200" s="29"/>
      <ns0:c r="I200" s="29"/>
      <ns0:c r="J200" s="29"/>
      <ns0:c r="K200" s="29"/>
    </ns0:row>
    <ns0:row r="201" ht="28" customHeight="1">
      <ns0:c r="A201" s="29"/>
      <ns0:c r="B201" s="30"/>
      <ns0:c r="C201" s="28"/>
      <ns0:c r="D201" s="29"/>
      <ns0:c r="E201" s="31"/>
      <ns0:c r="F201" s="32"/>
      <ns0:c r="G201" s="29"/>
      <ns0:c r="H201" s="29"/>
      <ns0:c r="I201" s="29"/>
      <ns0:c r="J201" s="29"/>
      <ns0:c r="K201" s="29"/>
    </ns0:row>
    <ns0:row r="202" ht="28" customHeight="1">
      <ns0:c r="A202" s="29"/>
      <ns0:c r="B202" s="30"/>
      <ns0:c r="C202" s="28"/>
      <ns0:c r="D202" s="29"/>
      <ns0:c r="E202" s="31"/>
      <ns0:c r="F202" s="32"/>
      <ns0:c r="G202" s="29"/>
      <ns0:c r="H202" s="29"/>
      <ns0:c r="I202" s="29"/>
      <ns0:c r="J202" s="29"/>
      <ns0:c r="K202" s="29"/>
    </ns0:row>
    <ns0:row r="203" ht="28" customHeight="1">
      <ns0:c r="A203" s="29"/>
      <ns0:c r="B203" s="30"/>
      <ns0:c r="C203" s="28"/>
      <ns0:c r="D203" s="29"/>
      <ns0:c r="E203" s="31"/>
      <ns0:c r="F203" s="32"/>
      <ns0:c r="G203" s="29"/>
      <ns0:c r="H203" s="29"/>
      <ns0:c r="I203" s="29"/>
      <ns0:c r="J203" s="29"/>
      <ns0:c r="K203" s="29"/>
    </ns0:row>
    <ns0:row r="204" ht="28" customHeight="1">
      <ns0:c r="A204" s="29"/>
      <ns0:c r="B204" s="30"/>
      <ns0:c r="C204" s="28"/>
      <ns0:c r="D204" s="29"/>
      <ns0:c r="E204" s="31"/>
      <ns0:c r="F204" s="32"/>
      <ns0:c r="G204" s="29"/>
      <ns0:c r="H204" s="29"/>
      <ns0:c r="I204" s="29"/>
      <ns0:c r="J204" s="29"/>
      <ns0:c r="K204" s="29"/>
    </ns0:row>
    <ns0:row r="205" ht="28" customHeight="1">
      <ns0:c r="A205" s="29"/>
      <ns0:c r="B205" s="30"/>
      <ns0:c r="C205" s="28"/>
      <ns0:c r="D205" s="29"/>
      <ns0:c r="E205" s="31"/>
      <ns0:c r="F205" s="32"/>
      <ns0:c r="G205" s="29"/>
      <ns0:c r="H205" s="29"/>
      <ns0:c r="I205" s="29"/>
      <ns0:c r="J205" s="29"/>
      <ns0:c r="K205" s="29"/>
    </ns0:row>
    <ns0:row r="206" ht="28" customHeight="1">
      <ns0:c r="A206" s="29"/>
      <ns0:c r="B206" s="30"/>
      <ns0:c r="C206" s="28"/>
      <ns0:c r="D206" s="29"/>
      <ns0:c r="E206" s="31"/>
      <ns0:c r="F206" s="32"/>
      <ns0:c r="G206" s="29"/>
      <ns0:c r="H206" s="29"/>
      <ns0:c r="I206" s="29"/>
      <ns0:c r="J206" s="29"/>
      <ns0:c r="K206" s="29"/>
    </ns0:row>
    <ns0:row r="207" ht="28" customHeight="1">
      <ns0:c r="A207" s="29"/>
      <ns0:c r="B207" s="30"/>
      <ns0:c r="C207" s="28"/>
      <ns0:c r="D207" s="29"/>
      <ns0:c r="E207" s="31"/>
      <ns0:c r="F207" s="32"/>
      <ns0:c r="G207" s="29"/>
      <ns0:c r="H207" s="29"/>
      <ns0:c r="I207" s="29"/>
      <ns0:c r="J207" s="29"/>
      <ns0:c r="K207" s="29"/>
    </ns0:row>
    <ns0:row r="208" ht="28" customHeight="1">
      <ns0:c r="A208" s="29"/>
      <ns0:c r="B208" s="30"/>
      <ns0:c r="C208" s="28"/>
      <ns0:c r="D208" s="29"/>
      <ns0:c r="E208" s="31"/>
      <ns0:c r="F208" s="32"/>
      <ns0:c r="G208" s="29"/>
      <ns0:c r="H208" s="29"/>
      <ns0:c r="I208" s="29"/>
      <ns0:c r="J208" s="29"/>
      <ns0:c r="K208" s="29"/>
    </ns0:row>
    <ns0:row r="209" ht="28" customHeight="1">
      <ns0:c r="A209" s="29"/>
      <ns0:c r="B209" s="30"/>
      <ns0:c r="C209" s="28"/>
      <ns0:c r="D209" s="29"/>
      <ns0:c r="E209" s="31"/>
      <ns0:c r="F209" s="32"/>
      <ns0:c r="G209" s="29"/>
      <ns0:c r="H209" s="29"/>
      <ns0:c r="I209" s="29"/>
      <ns0:c r="J209" s="29"/>
      <ns0:c r="K209" s="29"/>
    </ns0:row>
    <ns0:row r="210" ht="28" customHeight="1">
      <ns0:c r="A210" s="29"/>
      <ns0:c r="B210" s="30"/>
      <ns0:c r="C210" s="28"/>
      <ns0:c r="D210" s="29"/>
      <ns0:c r="E210" s="31"/>
      <ns0:c r="F210" s="32"/>
      <ns0:c r="G210" s="29"/>
      <ns0:c r="H210" s="29"/>
      <ns0:c r="I210" s="29"/>
      <ns0:c r="J210" s="29"/>
      <ns0:c r="K210" s="29"/>
    </ns0:row>
    <ns0:row r="211" ht="28" customHeight="1">
      <ns0:c r="A211" s="29"/>
      <ns0:c r="B211" s="30"/>
      <ns0:c r="C211" s="28"/>
      <ns0:c r="D211" s="29"/>
      <ns0:c r="E211" s="31"/>
      <ns0:c r="F211" s="32"/>
      <ns0:c r="G211" s="29"/>
      <ns0:c r="H211" s="29"/>
      <ns0:c r="I211" s="29"/>
      <ns0:c r="J211" s="29"/>
      <ns0:c r="K211" s="29"/>
    </ns0:row>
    <ns0:row r="212" ht="28" customHeight="1">
      <ns0:c r="A212" s="29"/>
      <ns0:c r="B212" s="30"/>
      <ns0:c r="C212" s="28"/>
      <ns0:c r="D212" s="29"/>
      <ns0:c r="E212" s="31"/>
      <ns0:c r="F212" s="32"/>
      <ns0:c r="G212" s="29"/>
      <ns0:c r="H212" s="29"/>
      <ns0:c r="I212" s="29"/>
      <ns0:c r="J212" s="29"/>
      <ns0:c r="K212" s="29"/>
    </ns0:row>
    <ns0:row r="213" ht="28" customHeight="1">
      <ns0:c r="A213" s="29"/>
      <ns0:c r="B213" s="30"/>
      <ns0:c r="C213" s="28"/>
      <ns0:c r="D213" s="29"/>
      <ns0:c r="E213" s="31"/>
      <ns0:c r="F213" s="32"/>
      <ns0:c r="G213" s="29"/>
      <ns0:c r="H213" s="29"/>
      <ns0:c r="I213" s="29"/>
      <ns0:c r="J213" s="29"/>
      <ns0:c r="K213" s="29"/>
    </ns0:row>
    <ns0:row r="214" ht="28" customHeight="1">
      <ns0:c r="A214" s="29"/>
      <ns0:c r="B214" s="30"/>
      <ns0:c r="C214" s="28"/>
      <ns0:c r="D214" s="29"/>
      <ns0:c r="E214" s="31"/>
      <ns0:c r="F214" s="32"/>
      <ns0:c r="G214" s="29"/>
      <ns0:c r="H214" s="29"/>
      <ns0:c r="I214" s="29"/>
      <ns0:c r="J214" s="29"/>
      <ns0:c r="K214" s="29"/>
    </ns0:row>
    <ns0:row r="215" ht="28" customHeight="1">
      <ns0:c r="A215" s="29"/>
      <ns0:c r="B215" s="30"/>
      <ns0:c r="C215" s="28"/>
      <ns0:c r="D215" s="29"/>
      <ns0:c r="E215" s="31"/>
      <ns0:c r="F215" s="32"/>
      <ns0:c r="G215" s="29"/>
      <ns0:c r="H215" s="29"/>
      <ns0:c r="I215" s="29"/>
      <ns0:c r="J215" s="29"/>
      <ns0:c r="K215" s="29"/>
    </ns0:row>
    <ns0:row r="216" ht="28" customHeight="1">
      <ns0:c r="A216" s="29"/>
      <ns0:c r="B216" s="30"/>
      <ns0:c r="C216" s="28"/>
      <ns0:c r="D216" s="29"/>
      <ns0:c r="E216" s="31"/>
      <ns0:c r="F216" s="32"/>
      <ns0:c r="G216" s="29"/>
      <ns0:c r="H216" s="29"/>
      <ns0:c r="I216" s="29"/>
      <ns0:c r="J216" s="29"/>
      <ns0:c r="K216" s="29"/>
    </ns0:row>
    <ns0:row r="217" ht="28" customHeight="1">
      <ns0:c r="A217" s="29"/>
      <ns0:c r="B217" s="30"/>
      <ns0:c r="C217" s="28"/>
      <ns0:c r="D217" s="29"/>
      <ns0:c r="E217" s="31"/>
      <ns0:c r="F217" s="32"/>
      <ns0:c r="G217" s="29"/>
      <ns0:c r="H217" s="29"/>
      <ns0:c r="I217" s="29"/>
      <ns0:c r="J217" s="29"/>
      <ns0:c r="K217" s="29"/>
    </ns0:row>
    <ns0:row r="218" ht="28" customHeight="1">
      <ns0:c r="A218" s="29"/>
      <ns0:c r="B218" s="30"/>
      <ns0:c r="C218" s="28"/>
      <ns0:c r="D218" s="29"/>
      <ns0:c r="E218" s="31"/>
      <ns0:c r="F218" s="32"/>
      <ns0:c r="G218" s="29"/>
      <ns0:c r="H218" s="29"/>
      <ns0:c r="I218" s="29"/>
      <ns0:c r="J218" s="29"/>
      <ns0:c r="K218" s="29"/>
    </ns0:row>
    <ns0:row r="219" ht="28" customHeight="1">
      <ns0:c r="A219" s="29"/>
      <ns0:c r="B219" s="30"/>
      <ns0:c r="C219" s="28"/>
      <ns0:c r="D219" s="29"/>
      <ns0:c r="E219" s="31"/>
      <ns0:c r="F219" s="32"/>
      <ns0:c r="G219" s="29"/>
      <ns0:c r="H219" s="29"/>
      <ns0:c r="I219" s="29"/>
      <ns0:c r="J219" s="29"/>
      <ns0:c r="K219" s="29"/>
    </ns0:row>
    <ns0:row r="220" ht="28" customHeight="1">
      <ns0:c r="A220" s="29"/>
      <ns0:c r="B220" s="30"/>
      <ns0:c r="C220" s="28"/>
      <ns0:c r="D220" s="29"/>
      <ns0:c r="E220" s="31"/>
      <ns0:c r="F220" s="32"/>
      <ns0:c r="G220" s="29"/>
      <ns0:c r="H220" s="29"/>
      <ns0:c r="I220" s="29"/>
      <ns0:c r="J220" s="29"/>
      <ns0:c r="K220" s="29"/>
    </ns0:row>
    <ns0:row r="221" ht="28" customHeight="1">
      <ns0:c r="A221" s="29"/>
      <ns0:c r="B221" s="30"/>
      <ns0:c r="C221" s="28"/>
      <ns0:c r="D221" s="29"/>
      <ns0:c r="E221" s="31"/>
      <ns0:c r="F221" s="32"/>
      <ns0:c r="G221" s="29"/>
      <ns0:c r="H221" s="29"/>
      <ns0:c r="I221" s="29"/>
      <ns0:c r="J221" s="29"/>
      <ns0:c r="K221" s="29"/>
    </ns0:row>
    <ns0:row r="222" ht="28" customHeight="1">
      <ns0:c r="A222" s="29"/>
      <ns0:c r="B222" s="30"/>
      <ns0:c r="C222" s="28"/>
      <ns0:c r="D222" s="29"/>
      <ns0:c r="E222" s="31"/>
      <ns0:c r="F222" s="32"/>
      <ns0:c r="G222" s="29"/>
      <ns0:c r="H222" s="29"/>
      <ns0:c r="I222" s="29"/>
      <ns0:c r="J222" s="29"/>
      <ns0:c r="K222" s="29"/>
    </ns0:row>
    <ns0:row r="223" ht="28" customHeight="1">
      <ns0:c r="A223" s="29"/>
      <ns0:c r="B223" s="30"/>
      <ns0:c r="C223" s="28"/>
      <ns0:c r="D223" s="29"/>
      <ns0:c r="E223" s="31"/>
      <ns0:c r="F223" s="32"/>
      <ns0:c r="G223" s="29"/>
      <ns0:c r="H223" s="29"/>
      <ns0:c r="I223" s="29"/>
      <ns0:c r="J223" s="29"/>
      <ns0:c r="K223" s="29"/>
    </ns0:row>
    <ns0:row r="224" ht="28" customHeight="1">
      <ns0:c r="A224" s="29"/>
      <ns0:c r="B224" s="30"/>
      <ns0:c r="C224" s="28"/>
      <ns0:c r="D224" s="29"/>
      <ns0:c r="E224" s="31"/>
      <ns0:c r="F224" s="32"/>
      <ns0:c r="G224" s="29"/>
      <ns0:c r="H224" s="29"/>
      <ns0:c r="I224" s="29"/>
      <ns0:c r="J224" s="29"/>
      <ns0:c r="K224" s="29"/>
    </ns0:row>
    <ns0:row r="225" ht="28" customHeight="1">
      <ns0:c r="A225" s="29"/>
      <ns0:c r="B225" s="30"/>
      <ns0:c r="C225" s="28"/>
      <ns0:c r="D225" s="29"/>
      <ns0:c r="E225" s="31"/>
      <ns0:c r="F225" s="32"/>
      <ns0:c r="G225" s="29"/>
      <ns0:c r="H225" s="29"/>
      <ns0:c r="I225" s="29"/>
      <ns0:c r="J225" s="29"/>
      <ns0:c r="K225" s="29"/>
    </ns0:row>
    <ns0:row r="226" ht="28" customHeight="1">
      <ns0:c r="A226" s="29"/>
      <ns0:c r="B226" s="30"/>
      <ns0:c r="C226" s="28"/>
      <ns0:c r="D226" s="29"/>
      <ns0:c r="E226" s="31"/>
      <ns0:c r="F226" s="32"/>
      <ns0:c r="G226" s="29"/>
      <ns0:c r="H226" s="29"/>
      <ns0:c r="I226" s="29"/>
      <ns0:c r="J226" s="29"/>
      <ns0:c r="K226" s="29"/>
    </ns0:row>
    <ns0:row r="227" ht="28" customHeight="1">
      <ns0:c r="A227" s="29"/>
      <ns0:c r="B227" s="30"/>
      <ns0:c r="C227" s="28"/>
      <ns0:c r="D227" s="29"/>
      <ns0:c r="E227" s="31"/>
      <ns0:c r="F227" s="32"/>
      <ns0:c r="G227" s="29"/>
      <ns0:c r="H227" s="29"/>
      <ns0:c r="I227" s="29"/>
      <ns0:c r="J227" s="29"/>
      <ns0:c r="K227" s="29"/>
    </ns0:row>
    <ns0:row r="228" ht="28" customHeight="1">
      <ns0:c r="A228" s="29"/>
      <ns0:c r="B228" s="30"/>
      <ns0:c r="C228" s="28"/>
      <ns0:c r="D228" s="29"/>
      <ns0:c r="E228" s="31"/>
      <ns0:c r="F228" s="32"/>
      <ns0:c r="G228" s="29"/>
      <ns0:c r="H228" s="29"/>
      <ns0:c r="I228" s="29"/>
      <ns0:c r="J228" s="29"/>
      <ns0:c r="K228" s="29"/>
    </ns0:row>
    <ns0:row r="229" ht="28" customHeight="1">
      <ns0:c r="A229" s="29"/>
      <ns0:c r="B229" s="30"/>
      <ns0:c r="C229" s="28"/>
      <ns0:c r="D229" s="29"/>
      <ns0:c r="E229" s="31"/>
      <ns0:c r="F229" s="32"/>
      <ns0:c r="G229" s="29"/>
      <ns0:c r="H229" s="29"/>
      <ns0:c r="I229" s="29"/>
      <ns0:c r="J229" s="29"/>
      <ns0:c r="K229" s="29"/>
    </ns0:row>
    <ns0:row r="230" ht="28" customHeight="1">
      <ns0:c r="A230" s="29"/>
      <ns0:c r="B230" s="30"/>
      <ns0:c r="C230" s="28"/>
      <ns0:c r="D230" s="29"/>
      <ns0:c r="E230" s="31"/>
      <ns0:c r="F230" s="32"/>
      <ns0:c r="G230" s="29"/>
      <ns0:c r="H230" s="29"/>
      <ns0:c r="I230" s="29"/>
      <ns0:c r="J230" s="29"/>
      <ns0:c r="K230" s="29"/>
    </ns0:row>
    <ns0:row r="231" ht="28" customHeight="1">
      <ns0:c r="A231" s="29"/>
      <ns0:c r="B231" s="30"/>
      <ns0:c r="C231" s="28"/>
      <ns0:c r="D231" s="29"/>
      <ns0:c r="E231" s="31"/>
      <ns0:c r="F231" s="32"/>
      <ns0:c r="G231" s="29"/>
      <ns0:c r="H231" s="29"/>
      <ns0:c r="I231" s="29"/>
      <ns0:c r="J231" s="29"/>
      <ns0:c r="K231" s="29"/>
    </ns0:row>
    <ns0:row r="232" ht="28" customHeight="1">
      <ns0:c r="A232" s="29"/>
      <ns0:c r="B232" s="30"/>
      <ns0:c r="C232" s="28"/>
      <ns0:c r="D232" s="29"/>
      <ns0:c r="E232" s="31"/>
      <ns0:c r="F232" s="32"/>
      <ns0:c r="G232" s="29"/>
      <ns0:c r="H232" s="29"/>
      <ns0:c r="I232" s="29"/>
      <ns0:c r="J232" s="29"/>
      <ns0:c r="K232" s="29"/>
    </ns0:row>
    <ns0:row r="233" ht="28" customHeight="1">
      <ns0:c r="A233" s="29"/>
      <ns0:c r="B233" s="30"/>
      <ns0:c r="C233" s="28"/>
      <ns0:c r="D233" s="29"/>
      <ns0:c r="E233" s="31"/>
      <ns0:c r="F233" s="32"/>
      <ns0:c r="G233" s="29"/>
      <ns0:c r="H233" s="29"/>
      <ns0:c r="I233" s="29"/>
      <ns0:c r="J233" s="29"/>
      <ns0:c r="K233" s="29"/>
    </ns0:row>
    <ns0:row r="234" ht="28" customHeight="1">
      <ns0:c r="A234" s="29"/>
      <ns0:c r="B234" s="30"/>
      <ns0:c r="C234" s="28"/>
      <ns0:c r="D234" s="29"/>
      <ns0:c r="E234" s="31"/>
      <ns0:c r="F234" s="32"/>
      <ns0:c r="G234" s="29"/>
      <ns0:c r="H234" s="29"/>
      <ns0:c r="I234" s="29"/>
      <ns0:c r="J234" s="29"/>
      <ns0:c r="K234" s="29"/>
    </ns0:row>
    <ns0:row r="235" ht="28" customHeight="1">
      <ns0:c r="A235" s="29"/>
      <ns0:c r="B235" s="30"/>
      <ns0:c r="C235" s="28"/>
      <ns0:c r="D235" s="29"/>
      <ns0:c r="E235" s="31"/>
      <ns0:c r="F235" s="32"/>
      <ns0:c r="G235" s="29"/>
      <ns0:c r="H235" s="29"/>
      <ns0:c r="I235" s="29"/>
      <ns0:c r="J235" s="29"/>
      <ns0:c r="K235" s="29"/>
    </ns0:row>
    <ns0:row r="236" ht="28" customHeight="1">
      <ns0:c r="A236" s="29"/>
      <ns0:c r="B236" s="30"/>
      <ns0:c r="C236" s="28"/>
      <ns0:c r="D236" s="29"/>
      <ns0:c r="E236" s="31"/>
      <ns0:c r="F236" s="32"/>
      <ns0:c r="G236" s="29"/>
      <ns0:c r="H236" s="29"/>
      <ns0:c r="I236" s="29"/>
      <ns0:c r="J236" s="29"/>
      <ns0:c r="K236" s="29"/>
    </ns0:row>
    <ns0:row r="237" ht="28" customHeight="1">
      <ns0:c r="A237" s="29"/>
      <ns0:c r="B237" s="30"/>
      <ns0:c r="C237" s="28"/>
      <ns0:c r="D237" s="29"/>
      <ns0:c r="E237" s="31"/>
      <ns0:c r="F237" s="32"/>
      <ns0:c r="G237" s="29"/>
      <ns0:c r="H237" s="29"/>
      <ns0:c r="I237" s="29"/>
      <ns0:c r="J237" s="29"/>
      <ns0:c r="K237" s="29"/>
    </ns0:row>
    <ns0:row r="238" ht="28" customHeight="1">
      <ns0:c r="A238" s="29"/>
      <ns0:c r="B238" s="30"/>
      <ns0:c r="C238" s="28"/>
      <ns0:c r="D238" s="29"/>
      <ns0:c r="E238" s="31"/>
      <ns0:c r="F238" s="32"/>
      <ns0:c r="G238" s="29"/>
      <ns0:c r="H238" s="29"/>
      <ns0:c r="I238" s="29"/>
      <ns0:c r="J238" s="29"/>
      <ns0:c r="K238" s="29"/>
    </ns0:row>
    <ns0:row r="239" ht="28" customHeight="1">
      <ns0:c r="A239" s="29"/>
      <ns0:c r="B239" s="30"/>
      <ns0:c r="C239" s="28"/>
      <ns0:c r="D239" s="29"/>
      <ns0:c r="E239" s="31"/>
      <ns0:c r="F239" s="32"/>
      <ns0:c r="G239" s="29"/>
      <ns0:c r="H239" s="29"/>
      <ns0:c r="I239" s="29"/>
      <ns0:c r="J239" s="29"/>
      <ns0:c r="K239" s="29"/>
    </ns0:row>
    <ns0:row r="240" ht="28" customHeight="1">
      <ns0:c r="A240" s="29"/>
      <ns0:c r="B240" s="30"/>
      <ns0:c r="C240" s="28"/>
      <ns0:c r="D240" s="29"/>
      <ns0:c r="E240" s="31"/>
      <ns0:c r="F240" s="32"/>
      <ns0:c r="G240" s="29"/>
      <ns0:c r="H240" s="29"/>
      <ns0:c r="I240" s="29"/>
      <ns0:c r="J240" s="29"/>
      <ns0:c r="K240" s="29"/>
    </ns0:row>
    <ns0:row r="241" ht="28" customHeight="1">
      <ns0:c r="A241" s="29"/>
      <ns0:c r="B241" s="30"/>
      <ns0:c r="C241" s="28"/>
      <ns0:c r="D241" s="29"/>
      <ns0:c r="E241" s="31"/>
      <ns0:c r="F241" s="32"/>
      <ns0:c r="G241" s="29"/>
      <ns0:c r="H241" s="29"/>
      <ns0:c r="I241" s="29"/>
      <ns0:c r="J241" s="29"/>
      <ns0:c r="K241" s="29"/>
    </ns0:row>
    <ns0:row r="242" ht="28" customHeight="1">
      <ns0:c r="A242" s="29"/>
      <ns0:c r="B242" s="30"/>
      <ns0:c r="C242" s="28"/>
      <ns0:c r="D242" s="29"/>
      <ns0:c r="E242" s="31"/>
      <ns0:c r="F242" s="32"/>
      <ns0:c r="G242" s="29"/>
      <ns0:c r="H242" s="29"/>
      <ns0:c r="I242" s="29"/>
      <ns0:c r="J242" s="29"/>
      <ns0:c r="K242" s="29"/>
    </ns0:row>
    <ns0:row r="243" ht="28" customHeight="1">
      <ns0:c r="A243" s="29"/>
      <ns0:c r="B243" s="30"/>
      <ns0:c r="C243" s="28"/>
      <ns0:c r="D243" s="29"/>
      <ns0:c r="E243" s="31"/>
      <ns0:c r="F243" s="32"/>
      <ns0:c r="G243" s="29"/>
      <ns0:c r="H243" s="29"/>
      <ns0:c r="I243" s="29"/>
      <ns0:c r="J243" s="29"/>
      <ns0:c r="K243" s="29"/>
    </ns0:row>
    <ns0:row r="244" ht="28" customHeight="1">
      <ns0:c r="A244" s="29"/>
      <ns0:c r="B244" s="30"/>
      <ns0:c r="C244" s="28"/>
      <ns0:c r="D244" s="29"/>
      <ns0:c r="E244" s="31"/>
      <ns0:c r="F244" s="32"/>
      <ns0:c r="G244" s="29"/>
      <ns0:c r="H244" s="29"/>
      <ns0:c r="I244" s="29"/>
      <ns0:c r="J244" s="29"/>
      <ns0:c r="K244" s="29"/>
    </ns0:row>
    <ns0:row r="245" ht="28" customHeight="1">
      <ns0:c r="A245" s="29"/>
      <ns0:c r="B245" s="30"/>
      <ns0:c r="C245" s="28"/>
      <ns0:c r="D245" s="29"/>
      <ns0:c r="E245" s="31"/>
      <ns0:c r="F245" s="32"/>
      <ns0:c r="G245" s="29"/>
      <ns0:c r="H245" s="29"/>
      <ns0:c r="I245" s="29"/>
      <ns0:c r="J245" s="29"/>
      <ns0:c r="K245" s="29"/>
    </ns0:row>
    <ns0:row r="246" ht="28" customHeight="1">
      <ns0:c r="A246" s="29"/>
      <ns0:c r="B246" s="30"/>
      <ns0:c r="C246" s="28"/>
      <ns0:c r="D246" s="29"/>
      <ns0:c r="E246" s="31"/>
      <ns0:c r="F246" s="32"/>
      <ns0:c r="G246" s="29"/>
      <ns0:c r="H246" s="29"/>
      <ns0:c r="I246" s="29"/>
      <ns0:c r="J246" s="29"/>
      <ns0:c r="K246" s="29"/>
    </ns0:row>
    <ns0:row r="247" ht="28" customHeight="1">
      <ns0:c r="A247" s="29"/>
      <ns0:c r="B247" s="30"/>
      <ns0:c r="C247" s="28"/>
      <ns0:c r="D247" s="29"/>
      <ns0:c r="E247" s="31"/>
      <ns0:c r="F247" s="32"/>
      <ns0:c r="G247" s="29"/>
      <ns0:c r="H247" s="29"/>
      <ns0:c r="I247" s="29"/>
      <ns0:c r="J247" s="29"/>
      <ns0:c r="K247" s="29"/>
    </ns0:row>
    <ns0:row r="248" ht="28" customHeight="1">
      <ns0:c r="A248" s="29"/>
      <ns0:c r="B248" s="30"/>
      <ns0:c r="C248" s="28"/>
      <ns0:c r="D248" s="29"/>
      <ns0:c r="E248" s="31"/>
      <ns0:c r="F248" s="32"/>
      <ns0:c r="G248" s="29"/>
      <ns0:c r="H248" s="29"/>
      <ns0:c r="I248" s="29"/>
      <ns0:c r="J248" s="29"/>
      <ns0:c r="K248" s="29"/>
    </ns0:row>
    <ns0:row r="249" ht="28" customHeight="1">
      <ns0:c r="A249" s="29"/>
      <ns0:c r="B249" s="30"/>
      <ns0:c r="C249" s="28"/>
      <ns0:c r="D249" s="29"/>
      <ns0:c r="E249" s="31"/>
      <ns0:c r="F249" s="32"/>
      <ns0:c r="G249" s="29"/>
      <ns0:c r="H249" s="29"/>
      <ns0:c r="I249" s="29"/>
      <ns0:c r="J249" s="29"/>
      <ns0:c r="K249" s="29"/>
    </ns0:row>
    <ns0:row r="250" ht="28" customHeight="1">
      <ns0:c r="A250" s="29"/>
      <ns0:c r="B250" s="30"/>
      <ns0:c r="C250" s="28"/>
      <ns0:c r="D250" s="29"/>
      <ns0:c r="E250" s="31"/>
      <ns0:c r="F250" s="32"/>
      <ns0:c r="G250" s="29"/>
      <ns0:c r="H250" s="29"/>
      <ns0:c r="I250" s="29"/>
      <ns0:c r="J250" s="29"/>
      <ns0:c r="K250" s="29"/>
    </ns0:row>
    <ns0:row r="251" ht="28" customHeight="1">
      <ns0:c r="A251" s="29"/>
      <ns0:c r="B251" s="30"/>
      <ns0:c r="C251" s="28"/>
      <ns0:c r="D251" s="29"/>
      <ns0:c r="E251" s="31"/>
      <ns0:c r="F251" s="32"/>
      <ns0:c r="G251" s="29"/>
      <ns0:c r="H251" s="29"/>
      <ns0:c r="I251" s="29"/>
      <ns0:c r="J251" s="29"/>
      <ns0:c r="K251" s="29"/>
    </ns0:row>
    <ns0:row r="252" ht="28" customHeight="1">
      <ns0:c r="A252" s="29"/>
      <ns0:c r="B252" s="30"/>
      <ns0:c r="C252" s="28"/>
      <ns0:c r="D252" s="29"/>
      <ns0:c r="E252" s="31"/>
      <ns0:c r="F252" s="32"/>
      <ns0:c r="G252" s="29"/>
      <ns0:c r="H252" s="29"/>
      <ns0:c r="I252" s="29"/>
      <ns0:c r="J252" s="29"/>
      <ns0:c r="K252" s="29"/>
    </ns0:row>
    <ns0:row r="253" ht="28" customHeight="1">
      <ns0:c r="A253" s="29"/>
      <ns0:c r="B253" s="30"/>
      <ns0:c r="C253" s="28"/>
      <ns0:c r="D253" s="29"/>
      <ns0:c r="E253" s="31"/>
      <ns0:c r="F253" s="32"/>
      <ns0:c r="G253" s="29"/>
      <ns0:c r="H253" s="29"/>
      <ns0:c r="I253" s="29"/>
      <ns0:c r="J253" s="29"/>
      <ns0:c r="K253" s="29"/>
    </ns0:row>
    <ns0:row r="254" ht="28" customHeight="1">
      <ns0:c r="A254" s="29"/>
      <ns0:c r="B254" s="30"/>
      <ns0:c r="C254" s="28"/>
      <ns0:c r="D254" s="29"/>
      <ns0:c r="E254" s="31"/>
      <ns0:c r="F254" s="32"/>
      <ns0:c r="G254" s="29"/>
      <ns0:c r="H254" s="29"/>
      <ns0:c r="I254" s="29"/>
      <ns0:c r="J254" s="29"/>
      <ns0:c r="K254" s="29"/>
    </ns0:row>
    <ns0:row r="255" ht="28" customHeight="1">
      <ns0:c r="A255" s="29"/>
      <ns0:c r="B255" s="30"/>
      <ns0:c r="C255" s="28"/>
      <ns0:c r="D255" s="29"/>
      <ns0:c r="E255" s="31"/>
      <ns0:c r="F255" s="32"/>
      <ns0:c r="G255" s="29"/>
      <ns0:c r="H255" s="29"/>
      <ns0:c r="I255" s="29"/>
      <ns0:c r="J255" s="29"/>
      <ns0:c r="K255" s="29"/>
    </ns0:row>
    <ns0:row r="256" ht="28" customHeight="1">
      <ns0:c r="A256" s="29"/>
      <ns0:c r="B256" s="30"/>
      <ns0:c r="C256" s="28"/>
      <ns0:c r="D256" s="29"/>
      <ns0:c r="E256" s="31"/>
      <ns0:c r="F256" s="32"/>
      <ns0:c r="G256" s="29"/>
      <ns0:c r="H256" s="29"/>
      <ns0:c r="I256" s="29"/>
      <ns0:c r="J256" s="29"/>
      <ns0:c r="K256" s="29"/>
    </ns0:row>
    <ns0:row r="257" ht="28" customHeight="1">
      <ns0:c r="A257" s="29"/>
      <ns0:c r="B257" s="30"/>
      <ns0:c r="C257" s="28"/>
      <ns0:c r="D257" s="29"/>
      <ns0:c r="E257" s="31"/>
      <ns0:c r="F257" s="32"/>
      <ns0:c r="G257" s="29"/>
      <ns0:c r="H257" s="29"/>
      <ns0:c r="I257" s="29"/>
      <ns0:c r="J257" s="29"/>
      <ns0:c r="K257" s="29"/>
    </ns0:row>
    <ns0:row r="258" ht="28" customHeight="1">
      <ns0:c r="A258" s="29"/>
      <ns0:c r="B258" s="30"/>
      <ns0:c r="C258" s="28"/>
      <ns0:c r="D258" s="29"/>
      <ns0:c r="E258" s="31"/>
      <ns0:c r="F258" s="32"/>
      <ns0:c r="G258" s="29"/>
      <ns0:c r="H258" s="29"/>
      <ns0:c r="I258" s="29"/>
      <ns0:c r="J258" s="29"/>
      <ns0:c r="K258" s="29"/>
    </ns0:row>
    <ns0:row r="259" ht="28" customHeight="1">
      <ns0:c r="A259" s="29"/>
      <ns0:c r="B259" s="30"/>
      <ns0:c r="C259" s="28"/>
      <ns0:c r="D259" s="29"/>
      <ns0:c r="E259" s="31"/>
      <ns0:c r="F259" s="32"/>
      <ns0:c r="G259" s="29"/>
      <ns0:c r="H259" s="29"/>
      <ns0:c r="I259" s="29"/>
      <ns0:c r="J259" s="29"/>
      <ns0:c r="K259" s="29"/>
    </ns0:row>
    <ns0:row r="260" ht="28" customHeight="1">
      <ns0:c r="A260" s="29"/>
      <ns0:c r="B260" s="30"/>
      <ns0:c r="C260" s="28"/>
      <ns0:c r="D260" s="29"/>
      <ns0:c r="E260" s="31"/>
      <ns0:c r="F260" s="32"/>
      <ns0:c r="G260" s="29"/>
      <ns0:c r="H260" s="29"/>
      <ns0:c r="I260" s="29"/>
      <ns0:c r="J260" s="29"/>
      <ns0:c r="K260" s="29"/>
    </ns0:row>
    <ns0:row r="261" ht="28" customHeight="1">
      <ns0:c r="A261" s="29"/>
      <ns0:c r="B261" s="30"/>
      <ns0:c r="C261" s="28"/>
      <ns0:c r="D261" s="29"/>
      <ns0:c r="E261" s="31"/>
      <ns0:c r="F261" s="32"/>
      <ns0:c r="G261" s="29"/>
      <ns0:c r="H261" s="29"/>
      <ns0:c r="I261" s="29"/>
      <ns0:c r="J261" s="29"/>
      <ns0:c r="K261" s="29"/>
    </ns0:row>
    <ns0:row r="262" ht="28" customHeight="1">
      <ns0:c r="A262" s="29"/>
      <ns0:c r="B262" s="30"/>
      <ns0:c r="C262" s="28"/>
      <ns0:c r="D262" s="29"/>
      <ns0:c r="E262" s="31"/>
      <ns0:c r="F262" s="32"/>
      <ns0:c r="G262" s="29"/>
      <ns0:c r="H262" s="29"/>
      <ns0:c r="I262" s="29"/>
      <ns0:c r="J262" s="29"/>
      <ns0:c r="K262" s="29"/>
    </ns0:row>
    <ns0:row r="263" ht="28" customHeight="1">
      <ns0:c r="A263" s="29"/>
      <ns0:c r="B263" s="30"/>
      <ns0:c r="C263" s="28"/>
      <ns0:c r="D263" s="29"/>
      <ns0:c r="E263" s="31"/>
      <ns0:c r="F263" s="32"/>
      <ns0:c r="G263" s="29"/>
      <ns0:c r="H263" s="29"/>
      <ns0:c r="I263" s="29"/>
      <ns0:c r="J263" s="29"/>
      <ns0:c r="K263" s="29"/>
    </ns0:row>
    <ns0:row r="264" ht="28" customHeight="1">
      <ns0:c r="A264" s="29"/>
      <ns0:c r="B264" s="30"/>
      <ns0:c r="C264" s="28"/>
      <ns0:c r="D264" s="29"/>
      <ns0:c r="E264" s="31"/>
      <ns0:c r="F264" s="32"/>
      <ns0:c r="G264" s="29"/>
      <ns0:c r="H264" s="29"/>
      <ns0:c r="I264" s="29"/>
      <ns0:c r="J264" s="29"/>
      <ns0:c r="K264" s="29"/>
    </ns0:row>
    <ns0:row r="265" ht="28" customHeight="1">
      <ns0:c r="A265" s="29"/>
      <ns0:c r="B265" s="30"/>
      <ns0:c r="C265" s="28"/>
      <ns0:c r="D265" s="29"/>
      <ns0:c r="E265" s="31"/>
      <ns0:c r="F265" s="32"/>
      <ns0:c r="G265" s="29"/>
      <ns0:c r="H265" s="29"/>
      <ns0:c r="I265" s="29"/>
      <ns0:c r="J265" s="29"/>
      <ns0:c r="K265" s="29"/>
    </ns0:row>
    <ns0:row r="266" ht="28" customHeight="1">
      <ns0:c r="A266" s="29"/>
      <ns0:c r="B266" s="30"/>
      <ns0:c r="C266" s="28"/>
      <ns0:c r="D266" s="29"/>
      <ns0:c r="E266" s="31"/>
      <ns0:c r="F266" s="32"/>
      <ns0:c r="G266" s="29"/>
      <ns0:c r="H266" s="29"/>
      <ns0:c r="I266" s="29"/>
      <ns0:c r="J266" s="29"/>
      <ns0:c r="K266" s="29"/>
    </ns0:row>
    <ns0:row r="267" ht="28" customHeight="1">
      <ns0:c r="A267" s="29"/>
      <ns0:c r="B267" s="30"/>
      <ns0:c r="C267" s="28"/>
      <ns0:c r="D267" s="29"/>
      <ns0:c r="E267" s="31"/>
      <ns0:c r="F267" s="32"/>
      <ns0:c r="G267" s="29"/>
      <ns0:c r="H267" s="29"/>
      <ns0:c r="I267" s="29"/>
      <ns0:c r="J267" s="29"/>
      <ns0:c r="K267" s="29"/>
    </ns0:row>
    <ns0:row r="268" ht="28" customHeight="1">
      <ns0:c r="A268" s="29"/>
      <ns0:c r="B268" s="30"/>
      <ns0:c r="C268" s="28"/>
      <ns0:c r="D268" s="29"/>
      <ns0:c r="E268" s="31"/>
      <ns0:c r="F268" s="32"/>
      <ns0:c r="G268" s="29"/>
      <ns0:c r="H268" s="29"/>
      <ns0:c r="I268" s="29"/>
      <ns0:c r="J268" s="29"/>
      <ns0:c r="K268" s="29"/>
    </ns0:row>
    <ns0:row r="269" ht="28" customHeight="1">
      <ns0:c r="A269" s="29"/>
      <ns0:c r="B269" s="30"/>
      <ns0:c r="C269" s="28"/>
      <ns0:c r="D269" s="29"/>
      <ns0:c r="E269" s="31"/>
      <ns0:c r="F269" s="32"/>
      <ns0:c r="G269" s="29"/>
      <ns0:c r="H269" s="29"/>
      <ns0:c r="I269" s="29"/>
      <ns0:c r="J269" s="29"/>
      <ns0:c r="K269" s="29"/>
    </ns0:row>
    <ns0:row r="270" ht="28" customHeight="1">
      <ns0:c r="A270" s="29"/>
      <ns0:c r="B270" s="30"/>
      <ns0:c r="C270" s="28"/>
      <ns0:c r="D270" s="29"/>
      <ns0:c r="E270" s="31"/>
      <ns0:c r="F270" s="32"/>
      <ns0:c r="G270" s="29"/>
      <ns0:c r="H270" s="29"/>
      <ns0:c r="I270" s="29"/>
      <ns0:c r="J270" s="29"/>
      <ns0:c r="K270" s="29"/>
    </ns0:row>
    <ns0:row r="271" ht="28" customHeight="1">
      <ns0:c r="A271" s="29"/>
      <ns0:c r="B271" s="30"/>
      <ns0:c r="C271" s="28"/>
      <ns0:c r="D271" s="29"/>
      <ns0:c r="E271" s="31"/>
      <ns0:c r="F271" s="32"/>
      <ns0:c r="G271" s="29"/>
      <ns0:c r="H271" s="29"/>
      <ns0:c r="I271" s="29"/>
      <ns0:c r="J271" s="29"/>
      <ns0:c r="K271" s="29"/>
    </ns0:row>
    <ns0:row r="272" ht="28" customHeight="1">
      <ns0:c r="A272" s="29"/>
      <ns0:c r="B272" s="30"/>
      <ns0:c r="C272" s="28"/>
      <ns0:c r="D272" s="29"/>
      <ns0:c r="E272" s="31"/>
      <ns0:c r="F272" s="32"/>
      <ns0:c r="G272" s="29"/>
      <ns0:c r="H272" s="29"/>
      <ns0:c r="I272" s="29"/>
      <ns0:c r="J272" s="29"/>
      <ns0:c r="K272" s="29"/>
    </ns0:row>
    <ns0:row r="273" ht="28" customHeight="1">
      <ns0:c r="A273" s="29"/>
      <ns0:c r="B273" s="30"/>
      <ns0:c r="C273" s="28"/>
      <ns0:c r="D273" s="29"/>
      <ns0:c r="E273" s="31"/>
      <ns0:c r="F273" s="32"/>
      <ns0:c r="G273" s="29"/>
      <ns0:c r="H273" s="29"/>
      <ns0:c r="I273" s="29"/>
      <ns0:c r="J273" s="29"/>
      <ns0:c r="K273" s="29"/>
    </ns0:row>
    <ns0:row r="274" ht="28" customHeight="1">
      <ns0:c r="A274" s="29"/>
      <ns0:c r="B274" s="30"/>
      <ns0:c r="C274" s="28"/>
      <ns0:c r="D274" s="29"/>
      <ns0:c r="E274" s="31"/>
      <ns0:c r="F274" s="32"/>
      <ns0:c r="G274" s="29"/>
      <ns0:c r="H274" s="29"/>
      <ns0:c r="I274" s="29"/>
      <ns0:c r="J274" s="29"/>
      <ns0:c r="K274" s="29"/>
    </ns0:row>
    <ns0:row r="275" ht="28" customHeight="1">
      <ns0:c r="A275" s="29"/>
      <ns0:c r="B275" s="30"/>
      <ns0:c r="C275" s="28"/>
      <ns0:c r="D275" s="29"/>
      <ns0:c r="E275" s="31"/>
      <ns0:c r="F275" s="32"/>
      <ns0:c r="G275" s="29"/>
      <ns0:c r="H275" s="29"/>
      <ns0:c r="I275" s="29"/>
      <ns0:c r="J275" s="29"/>
      <ns0:c r="K275" s="29"/>
    </ns0:row>
    <ns0:row r="276" ht="28" customHeight="1">
      <ns0:c r="A276" s="29"/>
      <ns0:c r="B276" s="30"/>
      <ns0:c r="C276" s="28"/>
      <ns0:c r="D276" s="29"/>
      <ns0:c r="E276" s="31"/>
      <ns0:c r="F276" s="32"/>
      <ns0:c r="G276" s="29"/>
      <ns0:c r="H276" s="29"/>
      <ns0:c r="I276" s="29"/>
      <ns0:c r="J276" s="29"/>
      <ns0:c r="K276" s="29"/>
    </ns0:row>
    <ns0:row r="277" ht="28" customHeight="1">
      <ns0:c r="A277" s="29"/>
      <ns0:c r="B277" s="30"/>
      <ns0:c r="C277" s="28"/>
      <ns0:c r="D277" s="29"/>
      <ns0:c r="E277" s="31"/>
      <ns0:c r="F277" s="32"/>
      <ns0:c r="G277" s="29"/>
      <ns0:c r="H277" s="29"/>
      <ns0:c r="I277" s="29"/>
      <ns0:c r="J277" s="29"/>
      <ns0:c r="K277" s="29"/>
    </ns0:row>
    <ns0:row r="278" ht="28" customHeight="1">
      <ns0:c r="A278" s="29"/>
      <ns0:c r="B278" s="30"/>
      <ns0:c r="C278" s="28"/>
      <ns0:c r="D278" s="29"/>
      <ns0:c r="E278" s="31"/>
      <ns0:c r="F278" s="32"/>
      <ns0:c r="G278" s="29"/>
      <ns0:c r="H278" s="29"/>
      <ns0:c r="I278" s="29"/>
      <ns0:c r="J278" s="29"/>
      <ns0:c r="K278" s="29"/>
    </ns0:row>
    <ns0:row r="279" ht="28" customHeight="1">
      <ns0:c r="A279" s="29"/>
      <ns0:c r="B279" s="30"/>
      <ns0:c r="C279" s="28"/>
      <ns0:c r="D279" s="29"/>
      <ns0:c r="E279" s="31"/>
      <ns0:c r="F279" s="32"/>
      <ns0:c r="G279" s="29"/>
      <ns0:c r="H279" s="29"/>
      <ns0:c r="I279" s="29"/>
      <ns0:c r="J279" s="29"/>
      <ns0:c r="K279" s="29"/>
    </ns0:row>
    <ns0:row r="280" ht="28" customHeight="1">
      <ns0:c r="A280" s="29"/>
      <ns0:c r="B280" s="30"/>
      <ns0:c r="C280" s="28"/>
      <ns0:c r="D280" s="29"/>
      <ns0:c r="E280" s="31"/>
      <ns0:c r="F280" s="32"/>
      <ns0:c r="G280" s="29"/>
      <ns0:c r="H280" s="29"/>
      <ns0:c r="I280" s="29"/>
      <ns0:c r="J280" s="29"/>
      <ns0:c r="K280" s="29"/>
    </ns0:row>
    <ns0:row r="281" ht="28" customHeight="1">
      <ns0:c r="A281" s="29"/>
      <ns0:c r="B281" s="30"/>
      <ns0:c r="C281" s="28"/>
      <ns0:c r="D281" s="29"/>
      <ns0:c r="E281" s="31"/>
      <ns0:c r="F281" s="32"/>
      <ns0:c r="G281" s="29"/>
      <ns0:c r="H281" s="29"/>
      <ns0:c r="I281" s="29"/>
      <ns0:c r="J281" s="29"/>
      <ns0:c r="K281" s="29"/>
    </ns0:row>
    <ns0:row r="282" ht="28" customHeight="1">
      <ns0:c r="A282" s="29"/>
      <ns0:c r="B282" s="30"/>
      <ns0:c r="C282" s="28"/>
      <ns0:c r="D282" s="29"/>
      <ns0:c r="E282" s="31"/>
      <ns0:c r="F282" s="32"/>
      <ns0:c r="G282" s="29"/>
      <ns0:c r="H282" s="29"/>
      <ns0:c r="I282" s="29"/>
      <ns0:c r="J282" s="29"/>
      <ns0:c r="K282" s="29"/>
    </ns0:row>
    <ns0:row r="283" ht="28" customHeight="1">
      <ns0:c r="A283" s="29"/>
      <ns0:c r="B283" s="30"/>
      <ns0:c r="C283" s="28"/>
      <ns0:c r="D283" s="29"/>
      <ns0:c r="E283" s="31"/>
      <ns0:c r="F283" s="32"/>
      <ns0:c r="G283" s="29"/>
      <ns0:c r="H283" s="29"/>
      <ns0:c r="I283" s="29"/>
      <ns0:c r="J283" s="29"/>
      <ns0:c r="K283" s="29"/>
    </ns0:row>
    <ns0:row r="284" ht="28" customHeight="1">
      <ns0:c r="A284" s="29"/>
      <ns0:c r="B284" s="30"/>
      <ns0:c r="C284" s="28"/>
      <ns0:c r="D284" s="29"/>
      <ns0:c r="E284" s="31"/>
      <ns0:c r="F284" s="32"/>
      <ns0:c r="G284" s="29"/>
      <ns0:c r="H284" s="29"/>
      <ns0:c r="I284" s="29"/>
      <ns0:c r="J284" s="29"/>
      <ns0:c r="K284" s="29"/>
    </ns0:row>
    <ns0:row r="285" ht="28" customHeight="1">
      <ns0:c r="A285" s="29"/>
      <ns0:c r="B285" s="30"/>
      <ns0:c r="C285" s="28"/>
      <ns0:c r="D285" s="29"/>
      <ns0:c r="E285" s="31"/>
      <ns0:c r="F285" s="32"/>
      <ns0:c r="G285" s="29"/>
      <ns0:c r="H285" s="29"/>
      <ns0:c r="I285" s="29"/>
      <ns0:c r="J285" s="29"/>
      <ns0:c r="K285" s="29"/>
    </ns0:row>
    <ns0:row r="286" ht="28" customHeight="1">
      <ns0:c r="A286" s="29"/>
      <ns0:c r="B286" s="30"/>
      <ns0:c r="C286" s="28"/>
      <ns0:c r="D286" s="29"/>
      <ns0:c r="E286" s="31"/>
      <ns0:c r="F286" s="32"/>
      <ns0:c r="G286" s="29"/>
      <ns0:c r="H286" s="29"/>
      <ns0:c r="I286" s="29"/>
      <ns0:c r="J286" s="29"/>
      <ns0:c r="K286" s="29"/>
    </ns0:row>
    <ns0:row r="287" ht="28" customHeight="1">
      <ns0:c r="A287" s="29"/>
      <ns0:c r="B287" s="30"/>
      <ns0:c r="C287" s="28"/>
      <ns0:c r="D287" s="29"/>
      <ns0:c r="E287" s="31"/>
      <ns0:c r="F287" s="32"/>
      <ns0:c r="G287" s="29"/>
      <ns0:c r="H287" s="29"/>
      <ns0:c r="I287" s="29"/>
      <ns0:c r="J287" s="29"/>
      <ns0:c r="K287" s="29"/>
    </ns0:row>
    <ns0:row r="288" ht="28" customHeight="1">
      <ns0:c r="A288" s="29"/>
      <ns0:c r="B288" s="30"/>
      <ns0:c r="C288" s="28"/>
      <ns0:c r="D288" s="29"/>
      <ns0:c r="E288" s="31"/>
      <ns0:c r="F288" s="32"/>
      <ns0:c r="G288" s="29"/>
      <ns0:c r="H288" s="29"/>
      <ns0:c r="I288" s="29"/>
      <ns0:c r="J288" s="29"/>
      <ns0:c r="K288" s="29"/>
    </ns0:row>
    <ns0:row r="289" ht="28" customHeight="1">
      <ns0:c r="A289" s="29"/>
      <ns0:c r="B289" s="30"/>
      <ns0:c r="C289" s="28"/>
      <ns0:c r="D289" s="29"/>
      <ns0:c r="E289" s="31"/>
      <ns0:c r="F289" s="32"/>
      <ns0:c r="G289" s="29"/>
      <ns0:c r="H289" s="29"/>
      <ns0:c r="I289" s="29"/>
      <ns0:c r="J289" s="29"/>
      <ns0:c r="K289" s="29"/>
    </ns0:row>
    <ns0:row r="290" ht="28" customHeight="1">
      <ns0:c r="A290" s="29"/>
      <ns0:c r="B290" s="30"/>
      <ns0:c r="C290" s="28"/>
      <ns0:c r="D290" s="29"/>
      <ns0:c r="E290" s="31"/>
      <ns0:c r="F290" s="32"/>
      <ns0:c r="G290" s="29"/>
      <ns0:c r="H290" s="29"/>
      <ns0:c r="I290" s="29"/>
      <ns0:c r="J290" s="29"/>
      <ns0:c r="K290" s="29"/>
    </ns0:row>
    <ns0:row r="291" ht="28" customHeight="1">
      <ns0:c r="A291" s="29"/>
      <ns0:c r="B291" s="30"/>
      <ns0:c r="C291" s="28"/>
      <ns0:c r="D291" s="29"/>
      <ns0:c r="E291" s="31"/>
      <ns0:c r="F291" s="32"/>
      <ns0:c r="G291" s="29"/>
      <ns0:c r="H291" s="29"/>
      <ns0:c r="I291" s="29"/>
      <ns0:c r="J291" s="29"/>
      <ns0:c r="K291" s="29"/>
    </ns0:row>
    <ns0:row r="292" ht="28" customHeight="1">
      <ns0:c r="A292" s="29"/>
      <ns0:c r="B292" s="30"/>
      <ns0:c r="C292" s="28"/>
      <ns0:c r="D292" s="29"/>
      <ns0:c r="E292" s="31"/>
      <ns0:c r="F292" s="32"/>
      <ns0:c r="G292" s="29"/>
      <ns0:c r="H292" s="29"/>
      <ns0:c r="I292" s="29"/>
      <ns0:c r="J292" s="29"/>
      <ns0:c r="K292" s="29"/>
    </ns0:row>
    <ns0:row r="293" ht="28" customHeight="1">
      <ns0:c r="A293" s="29"/>
      <ns0:c r="B293" s="30"/>
      <ns0:c r="C293" s="28"/>
      <ns0:c r="D293" s="29"/>
      <ns0:c r="E293" s="31"/>
      <ns0:c r="F293" s="32"/>
      <ns0:c r="G293" s="29"/>
      <ns0:c r="H293" s="29"/>
      <ns0:c r="I293" s="29"/>
      <ns0:c r="J293" s="29"/>
      <ns0:c r="K293" s="29"/>
    </ns0:row>
    <ns0:row r="294" ht="28" customHeight="1">
      <ns0:c r="A294" s="29"/>
      <ns0:c r="B294" s="30"/>
      <ns0:c r="C294" s="28"/>
      <ns0:c r="D294" s="29"/>
      <ns0:c r="E294" s="31"/>
      <ns0:c r="F294" s="32"/>
      <ns0:c r="G294" s="29"/>
      <ns0:c r="H294" s="29"/>
      <ns0:c r="I294" s="29"/>
      <ns0:c r="J294" s="29"/>
      <ns0:c r="K294" s="29"/>
    </ns0:row>
    <ns0:row r="295" ht="28" customHeight="1">
      <ns0:c r="A295" s="29"/>
      <ns0:c r="B295" s="30"/>
      <ns0:c r="C295" s="28"/>
      <ns0:c r="D295" s="29"/>
      <ns0:c r="E295" s="31"/>
      <ns0:c r="F295" s="32"/>
      <ns0:c r="G295" s="29"/>
      <ns0:c r="H295" s="29"/>
      <ns0:c r="I295" s="29"/>
      <ns0:c r="J295" s="29"/>
      <ns0:c r="K295" s="29"/>
    </ns0:row>
    <ns0:row r="296" ht="28" customHeight="1">
      <ns0:c r="A296" s="29"/>
      <ns0:c r="B296" s="30"/>
      <ns0:c r="C296" s="28"/>
      <ns0:c r="D296" s="29"/>
      <ns0:c r="E296" s="31"/>
      <ns0:c r="F296" s="32"/>
      <ns0:c r="G296" s="29"/>
      <ns0:c r="H296" s="29"/>
      <ns0:c r="I296" s="29"/>
      <ns0:c r="J296" s="29"/>
      <ns0:c r="K296" s="29"/>
    </ns0:row>
    <ns0:row r="297" ht="28" customHeight="1">
      <ns0:c r="A297" s="29"/>
      <ns0:c r="B297" s="30"/>
      <ns0:c r="C297" s="28"/>
      <ns0:c r="D297" s="29"/>
      <ns0:c r="E297" s="31"/>
      <ns0:c r="F297" s="32"/>
      <ns0:c r="G297" s="29"/>
      <ns0:c r="H297" s="29"/>
      <ns0:c r="I297" s="29"/>
      <ns0:c r="J297" s="29"/>
      <ns0:c r="K297" s="29"/>
    </ns0:row>
    <ns0:row r="298" ht="28" customHeight="1">
      <ns0:c r="A298" s="29"/>
      <ns0:c r="B298" s="30"/>
      <ns0:c r="C298" s="28"/>
      <ns0:c r="D298" s="29"/>
      <ns0:c r="E298" s="31"/>
      <ns0:c r="F298" s="32"/>
      <ns0:c r="G298" s="29"/>
      <ns0:c r="H298" s="29"/>
      <ns0:c r="I298" s="29"/>
      <ns0:c r="J298" s="29"/>
      <ns0:c r="K298" s="29"/>
    </ns0:row>
    <ns0:row r="299" ht="28" customHeight="1">
      <ns0:c r="A299" s="29"/>
      <ns0:c r="B299" s="30"/>
      <ns0:c r="C299" s="28"/>
      <ns0:c r="D299" s="29"/>
      <ns0:c r="E299" s="31"/>
      <ns0:c r="F299" s="32"/>
      <ns0:c r="G299" s="29"/>
      <ns0:c r="H299" s="29"/>
      <ns0:c r="I299" s="29"/>
      <ns0:c r="J299" s="29"/>
      <ns0:c r="K299" s="29"/>
    </ns0:row>
    <ns0:row r="300" ht="28" customHeight="1">
      <ns0:c r="A300" s="29"/>
      <ns0:c r="B300" s="30"/>
      <ns0:c r="C300" s="28"/>
      <ns0:c r="D300" s="29"/>
      <ns0:c r="E300" s="31"/>
      <ns0:c r="F300" s="32"/>
      <ns0:c r="G300" s="29"/>
      <ns0:c r="H300" s="29"/>
      <ns0:c r="I300" s="29"/>
      <ns0:c r="J300" s="29"/>
      <ns0:c r="K300" s="29"/>
    </ns0:row>
    <ns0:row r="301" ht="28" customHeight="1">
      <ns0:c r="A301" s="29"/>
      <ns0:c r="B301" s="30"/>
      <ns0:c r="C301" s="28"/>
      <ns0:c r="D301" s="29"/>
      <ns0:c r="E301" s="31"/>
      <ns0:c r="F301" s="32"/>
      <ns0:c r="G301" s="29"/>
      <ns0:c r="H301" s="29"/>
      <ns0:c r="I301" s="29"/>
      <ns0:c r="J301" s="29"/>
      <ns0:c r="K301" s="29"/>
    </ns0:row>
    <ns0:row r="302" ht="28" customHeight="1">
      <ns0:c r="A302" s="29"/>
      <ns0:c r="B302" s="30"/>
      <ns0:c r="C302" s="28"/>
      <ns0:c r="D302" s="29"/>
      <ns0:c r="E302" s="31"/>
      <ns0:c r="F302" s="32"/>
      <ns0:c r="G302" s="29"/>
      <ns0:c r="H302" s="29"/>
      <ns0:c r="I302" s="29"/>
      <ns0:c r="J302" s="29"/>
      <ns0:c r="K302" s="29"/>
    </ns0:row>
    <ns0:row r="303" ht="28" customHeight="1">
      <ns0:c r="A303" s="29"/>
      <ns0:c r="B303" s="30"/>
      <ns0:c r="C303" s="28"/>
      <ns0:c r="D303" s="29"/>
      <ns0:c r="E303" s="31"/>
      <ns0:c r="F303" s="32"/>
      <ns0:c r="G303" s="29"/>
      <ns0:c r="H303" s="29"/>
      <ns0:c r="I303" s="29"/>
      <ns0:c r="J303" s="29"/>
      <ns0:c r="K303" s="29"/>
    </ns0:row>
    <ns0:row r="304" ht="28" customHeight="1">
      <ns0:c r="A304" s="29"/>
      <ns0:c r="B304" s="30"/>
      <ns0:c r="C304" s="28"/>
      <ns0:c r="D304" s="29"/>
      <ns0:c r="E304" s="31"/>
      <ns0:c r="F304" s="32"/>
      <ns0:c r="G304" s="29"/>
      <ns0:c r="H304" s="29"/>
      <ns0:c r="I304" s="29"/>
      <ns0:c r="J304" s="29"/>
      <ns0:c r="K304" s="29"/>
    </ns0:row>
    <ns0:row r="305" ht="28" customHeight="1">
      <ns0:c r="A305" s="29"/>
      <ns0:c r="B305" s="30"/>
      <ns0:c r="C305" s="28"/>
      <ns0:c r="D305" s="29"/>
      <ns0:c r="E305" s="31"/>
      <ns0:c r="F305" s="32"/>
      <ns0:c r="G305" s="29"/>
      <ns0:c r="H305" s="29"/>
      <ns0:c r="I305" s="29"/>
      <ns0:c r="J305" s="29"/>
      <ns0:c r="K305" s="29"/>
    </ns0:row>
    <ns0:row r="306" ht="28" customHeight="1">
      <ns0:c r="A306" s="29"/>
      <ns0:c r="B306" s="30"/>
      <ns0:c r="C306" s="28"/>
      <ns0:c r="D306" s="29"/>
      <ns0:c r="E306" s="31"/>
      <ns0:c r="F306" s="32"/>
      <ns0:c r="G306" s="29"/>
      <ns0:c r="H306" s="29"/>
      <ns0:c r="I306" s="29"/>
      <ns0:c r="J306" s="29"/>
      <ns0:c r="K306" s="29"/>
    </ns0:row>
    <ns0:row r="307" ht="28" customHeight="1">
      <ns0:c r="A307" s="29"/>
      <ns0:c r="B307" s="30"/>
      <ns0:c r="C307" s="28"/>
      <ns0:c r="D307" s="29"/>
      <ns0:c r="E307" s="31"/>
      <ns0:c r="F307" s="32"/>
      <ns0:c r="G307" s="29"/>
      <ns0:c r="H307" s="29"/>
      <ns0:c r="I307" s="29"/>
      <ns0:c r="J307" s="29"/>
      <ns0:c r="K307" s="29"/>
    </ns0:row>
    <ns0:row r="308" ht="28" customHeight="1">
      <ns0:c r="A308" s="29"/>
      <ns0:c r="B308" s="30"/>
      <ns0:c r="C308" s="28"/>
      <ns0:c r="D308" s="29"/>
      <ns0:c r="E308" s="31"/>
      <ns0:c r="F308" s="32"/>
      <ns0:c r="G308" s="29"/>
      <ns0:c r="H308" s="29"/>
      <ns0:c r="I308" s="29"/>
      <ns0:c r="J308" s="29"/>
      <ns0:c r="K308" s="29"/>
    </ns0:row>
    <ns0:row r="309" ht="28" customHeight="1">
      <ns0:c r="A309" s="29"/>
      <ns0:c r="B309" s="30"/>
      <ns0:c r="C309" s="28"/>
      <ns0:c r="D309" s="29"/>
      <ns0:c r="E309" s="31"/>
      <ns0:c r="F309" s="32"/>
      <ns0:c r="G309" s="29"/>
      <ns0:c r="H309" s="29"/>
      <ns0:c r="I309" s="29"/>
      <ns0:c r="J309" s="29"/>
      <ns0:c r="K309" s="29"/>
    </ns0:row>
    <ns0:row r="310" ht="28" customHeight="1">
      <ns0:c r="A310" s="29"/>
      <ns0:c r="B310" s="30"/>
      <ns0:c r="C310" s="28"/>
      <ns0:c r="D310" s="29"/>
      <ns0:c r="E310" s="31"/>
      <ns0:c r="F310" s="32"/>
      <ns0:c r="G310" s="29"/>
      <ns0:c r="H310" s="29"/>
      <ns0:c r="I310" s="29"/>
      <ns0:c r="J310" s="29"/>
      <ns0:c r="K310" s="29"/>
    </ns0:row>
    <ns0:row r="311" ht="28" customHeight="1">
      <ns0:c r="A311" s="29"/>
      <ns0:c r="B311" s="30"/>
      <ns0:c r="C311" s="28"/>
      <ns0:c r="D311" s="29"/>
      <ns0:c r="E311" s="31"/>
      <ns0:c r="F311" s="32"/>
      <ns0:c r="G311" s="29"/>
      <ns0:c r="H311" s="29"/>
      <ns0:c r="I311" s="29"/>
      <ns0:c r="J311" s="29"/>
      <ns0:c r="K311" s="29"/>
    </ns0:row>
    <ns0:row r="312" ht="28" customHeight="1">
      <ns0:c r="A312" s="29"/>
      <ns0:c r="B312" s="30"/>
      <ns0:c r="C312" s="28"/>
      <ns0:c r="D312" s="29"/>
      <ns0:c r="E312" s="31"/>
      <ns0:c r="F312" s="32"/>
      <ns0:c r="G312" s="29"/>
      <ns0:c r="H312" s="29"/>
      <ns0:c r="I312" s="29"/>
      <ns0:c r="J312" s="29"/>
      <ns0:c r="K312" s="29"/>
    </ns0:row>
    <ns0:row r="313" ht="28" customHeight="1">
      <ns0:c r="A313" s="29"/>
      <ns0:c r="B313" s="30"/>
      <ns0:c r="C313" s="28"/>
      <ns0:c r="D313" s="29"/>
      <ns0:c r="E313" s="31"/>
      <ns0:c r="F313" s="32"/>
      <ns0:c r="G313" s="29"/>
      <ns0:c r="H313" s="29"/>
      <ns0:c r="I313" s="29"/>
      <ns0:c r="J313" s="29"/>
      <ns0:c r="K313" s="29"/>
    </ns0:row>
    <ns0:row r="314" ht="28" customHeight="1">
      <ns0:c r="A314" s="29"/>
      <ns0:c r="B314" s="30"/>
      <ns0:c r="C314" s="28"/>
      <ns0:c r="D314" s="29"/>
      <ns0:c r="E314" s="31"/>
      <ns0:c r="F314" s="32"/>
      <ns0:c r="G314" s="29"/>
      <ns0:c r="H314" s="29"/>
      <ns0:c r="I314" s="29"/>
      <ns0:c r="J314" s="29"/>
      <ns0:c r="K314" s="29"/>
    </ns0:row>
    <ns0:row r="315" ht="28" customHeight="1">
      <ns0:c r="A315" s="29"/>
      <ns0:c r="B315" s="30"/>
      <ns0:c r="C315" s="28"/>
      <ns0:c r="D315" s="29"/>
      <ns0:c r="E315" s="31"/>
      <ns0:c r="F315" s="32"/>
      <ns0:c r="G315" s="29"/>
      <ns0:c r="H315" s="29"/>
      <ns0:c r="I315" s="29"/>
      <ns0:c r="J315" s="29"/>
      <ns0:c r="K315" s="29"/>
    </ns0:row>
    <ns0:row r="316" ht="28" customHeight="1">
      <ns0:c r="A316" s="29"/>
      <ns0:c r="B316" s="30"/>
      <ns0:c r="C316" s="28"/>
      <ns0:c r="D316" s="29"/>
      <ns0:c r="E316" s="31"/>
      <ns0:c r="F316" s="32"/>
      <ns0:c r="G316" s="29"/>
      <ns0:c r="H316" s="29"/>
      <ns0:c r="I316" s="29"/>
      <ns0:c r="J316" s="29"/>
      <ns0:c r="K316" s="29"/>
    </ns0:row>
    <ns0:row r="317" ht="28" customHeight="1">
      <ns0:c r="A317" s="29"/>
      <ns0:c r="B317" s="30"/>
      <ns0:c r="C317" s="28"/>
      <ns0:c r="D317" s="29"/>
      <ns0:c r="E317" s="31"/>
      <ns0:c r="F317" s="32"/>
      <ns0:c r="G317" s="29"/>
      <ns0:c r="H317" s="29"/>
      <ns0:c r="I317" s="29"/>
      <ns0:c r="J317" s="29"/>
      <ns0:c r="K317" s="29"/>
    </ns0:row>
    <ns0:row r="318" ht="28" customHeight="1">
      <ns0:c r="A318" s="29"/>
      <ns0:c r="B318" s="30"/>
      <ns0:c r="C318" s="28"/>
      <ns0:c r="D318" s="29"/>
      <ns0:c r="E318" s="31"/>
      <ns0:c r="F318" s="32"/>
      <ns0:c r="G318" s="29"/>
      <ns0:c r="H318" s="29"/>
      <ns0:c r="I318" s="29"/>
      <ns0:c r="J318" s="29"/>
      <ns0:c r="K318" s="29"/>
    </ns0:row>
    <ns0:row r="319" ht="28" customHeight="1">
      <ns0:c r="A319" s="29"/>
      <ns0:c r="B319" s="30"/>
      <ns0:c r="C319" s="28"/>
      <ns0:c r="D319" s="29"/>
      <ns0:c r="E319" s="31"/>
      <ns0:c r="F319" s="32"/>
      <ns0:c r="G319" s="29"/>
      <ns0:c r="H319" s="29"/>
      <ns0:c r="I319" s="29"/>
      <ns0:c r="J319" s="29"/>
      <ns0:c r="K319" s="29"/>
    </ns0:row>
    <ns0:row r="320" ht="28" customHeight="1">
      <ns0:c r="A320" s="29"/>
      <ns0:c r="B320" s="30"/>
      <ns0:c r="C320" s="28"/>
      <ns0:c r="D320" s="29"/>
      <ns0:c r="E320" s="31"/>
      <ns0:c r="F320" s="32"/>
      <ns0:c r="G320" s="29"/>
      <ns0:c r="H320" s="29"/>
      <ns0:c r="I320" s="29"/>
      <ns0:c r="J320" s="29"/>
      <ns0:c r="K320" s="29"/>
    </ns0:row>
    <ns0:row r="321" ht="28" customHeight="1">
      <ns0:c r="A321" s="29"/>
      <ns0:c r="B321" s="30"/>
      <ns0:c r="C321" s="28"/>
      <ns0:c r="D321" s="29"/>
      <ns0:c r="E321" s="31"/>
      <ns0:c r="F321" s="32"/>
      <ns0:c r="G321" s="29"/>
      <ns0:c r="H321" s="29"/>
      <ns0:c r="I321" s="29"/>
      <ns0:c r="J321" s="29"/>
      <ns0:c r="K321" s="29"/>
    </ns0:row>
    <ns0:row r="322" ht="28" customHeight="1">
      <ns0:c r="A322" s="29"/>
      <ns0:c r="B322" s="30"/>
      <ns0:c r="C322" s="28"/>
      <ns0:c r="D322" s="29"/>
      <ns0:c r="E322" s="31"/>
      <ns0:c r="F322" s="32"/>
      <ns0:c r="G322" s="29"/>
      <ns0:c r="H322" s="29"/>
      <ns0:c r="I322" s="29"/>
      <ns0:c r="J322" s="29"/>
      <ns0:c r="K322" s="29"/>
    </ns0:row>
    <ns0:row r="323" ht="28" customHeight="1">
      <ns0:c r="A323" s="29"/>
      <ns0:c r="B323" s="30"/>
      <ns0:c r="C323" s="28"/>
      <ns0:c r="D323" s="29"/>
      <ns0:c r="E323" s="31"/>
      <ns0:c r="F323" s="32"/>
      <ns0:c r="G323" s="29"/>
      <ns0:c r="H323" s="29"/>
      <ns0:c r="I323" s="29"/>
      <ns0:c r="J323" s="29"/>
      <ns0:c r="K323" s="29"/>
    </ns0:row>
    <ns0:row r="324" ht="28" customHeight="1">
      <ns0:c r="A324" s="29"/>
      <ns0:c r="B324" s="30"/>
      <ns0:c r="C324" s="28"/>
      <ns0:c r="D324" s="29"/>
      <ns0:c r="E324" s="31"/>
      <ns0:c r="F324" s="32"/>
      <ns0:c r="G324" s="29"/>
      <ns0:c r="H324" s="29"/>
      <ns0:c r="I324" s="29"/>
      <ns0:c r="J324" s="29"/>
      <ns0:c r="K324" s="29"/>
    </ns0:row>
    <ns0:row r="325" ht="28" customHeight="1">
      <ns0:c r="A325" s="29"/>
      <ns0:c r="B325" s="30"/>
      <ns0:c r="C325" s="28"/>
      <ns0:c r="D325" s="29"/>
      <ns0:c r="E325" s="31"/>
      <ns0:c r="F325" s="32"/>
      <ns0:c r="G325" s="29"/>
      <ns0:c r="H325" s="29"/>
      <ns0:c r="I325" s="29"/>
      <ns0:c r="J325" s="29"/>
      <ns0:c r="K325" s="29"/>
    </ns0:row>
    <ns0:row r="326" ht="28" customHeight="1">
      <ns0:c r="A326" s="29"/>
      <ns0:c r="B326" s="30"/>
      <ns0:c r="C326" s="28"/>
      <ns0:c r="D326" s="29"/>
      <ns0:c r="E326" s="31"/>
      <ns0:c r="F326" s="32"/>
      <ns0:c r="G326" s="29"/>
      <ns0:c r="H326" s="29"/>
      <ns0:c r="I326" s="29"/>
      <ns0:c r="J326" s="29"/>
      <ns0:c r="K326" s="29"/>
    </ns0:row>
    <ns0:row r="327" ht="28" customHeight="1">
      <ns0:c r="A327" s="29"/>
      <ns0:c r="B327" s="30"/>
      <ns0:c r="C327" s="28"/>
      <ns0:c r="D327" s="29"/>
      <ns0:c r="E327" s="31"/>
      <ns0:c r="F327" s="32"/>
      <ns0:c r="G327" s="29"/>
      <ns0:c r="H327" s="29"/>
      <ns0:c r="I327" s="29"/>
      <ns0:c r="J327" s="29"/>
      <ns0:c r="K327" s="29"/>
    </ns0:row>
    <ns0:row r="328" ht="28" customHeight="1">
      <ns0:c r="A328" s="29"/>
      <ns0:c r="B328" s="30"/>
      <ns0:c r="C328" s="28"/>
      <ns0:c r="D328" s="29"/>
      <ns0:c r="E328" s="31"/>
      <ns0:c r="F328" s="32"/>
      <ns0:c r="G328" s="29"/>
      <ns0:c r="H328" s="29"/>
      <ns0:c r="I328" s="29"/>
      <ns0:c r="J328" s="29"/>
      <ns0:c r="K328" s="29"/>
    </ns0:row>
    <ns0:row r="329" ht="28" customHeight="1">
      <ns0:c r="A329" s="29"/>
      <ns0:c r="B329" s="30"/>
      <ns0:c r="C329" s="28"/>
      <ns0:c r="D329" s="29"/>
      <ns0:c r="E329" s="31"/>
      <ns0:c r="F329" s="32"/>
      <ns0:c r="G329" s="29"/>
      <ns0:c r="H329" s="29"/>
      <ns0:c r="I329" s="29"/>
      <ns0:c r="J329" s="29"/>
      <ns0:c r="K329" s="29"/>
    </ns0:row>
    <ns0:row r="330" ht="28" customHeight="1">
      <ns0:c r="A330" s="29"/>
      <ns0:c r="B330" s="30"/>
      <ns0:c r="C330" s="28"/>
      <ns0:c r="D330" s="29"/>
      <ns0:c r="E330" s="31"/>
      <ns0:c r="F330" s="32"/>
      <ns0:c r="G330" s="29"/>
      <ns0:c r="H330" s="29"/>
      <ns0:c r="I330" s="29"/>
      <ns0:c r="J330" s="29"/>
      <ns0:c r="K330" s="29"/>
    </ns0:row>
    <ns0:row r="331" ht="28" customHeight="1">
      <ns0:c r="A331" s="29"/>
      <ns0:c r="B331" s="30"/>
      <ns0:c r="C331" s="28"/>
      <ns0:c r="D331" s="29"/>
      <ns0:c r="E331" s="31"/>
      <ns0:c r="F331" s="32"/>
      <ns0:c r="G331" s="29"/>
      <ns0:c r="H331" s="29"/>
      <ns0:c r="I331" s="29"/>
      <ns0:c r="J331" s="29"/>
      <ns0:c r="K331" s="29"/>
    </ns0:row>
    <ns0:row r="332" ht="28" customHeight="1">
      <ns0:c r="A332" s="29"/>
      <ns0:c r="B332" s="30"/>
      <ns0:c r="C332" s="28"/>
      <ns0:c r="D332" s="29"/>
      <ns0:c r="E332" s="31"/>
      <ns0:c r="F332" s="32"/>
      <ns0:c r="G332" s="29"/>
      <ns0:c r="H332" s="29"/>
      <ns0:c r="I332" s="29"/>
      <ns0:c r="J332" s="29"/>
      <ns0:c r="K332" s="29"/>
    </ns0:row>
    <ns0:row r="333" ht="28" customHeight="1">
      <ns0:c r="A333" s="29"/>
      <ns0:c r="B333" s="30"/>
      <ns0:c r="C333" s="28"/>
      <ns0:c r="D333" s="29"/>
      <ns0:c r="E333" s="31"/>
      <ns0:c r="F333" s="32"/>
      <ns0:c r="G333" s="29"/>
      <ns0:c r="H333" s="29"/>
      <ns0:c r="I333" s="29"/>
      <ns0:c r="J333" s="29"/>
      <ns0:c r="K333" s="29"/>
    </ns0:row>
    <ns0:row r="334" ht="28" customHeight="1">
      <ns0:c r="A334" s="29"/>
      <ns0:c r="B334" s="30"/>
      <ns0:c r="C334" s="28"/>
      <ns0:c r="D334" s="29"/>
      <ns0:c r="E334" s="31"/>
      <ns0:c r="F334" s="32"/>
      <ns0:c r="G334" s="29"/>
      <ns0:c r="H334" s="29"/>
      <ns0:c r="I334" s="29"/>
      <ns0:c r="J334" s="29"/>
      <ns0:c r="K334" s="29"/>
    </ns0:row>
    <ns0:row r="335" ht="28" customHeight="1">
      <ns0:c r="A335" s="29"/>
      <ns0:c r="B335" s="30"/>
      <ns0:c r="C335" s="28"/>
      <ns0:c r="D335" s="29"/>
      <ns0:c r="E335" s="31"/>
      <ns0:c r="F335" s="32"/>
      <ns0:c r="G335" s="29"/>
      <ns0:c r="H335" s="29"/>
      <ns0:c r="I335" s="29"/>
      <ns0:c r="J335" s="29"/>
      <ns0:c r="K335" s="29"/>
    </ns0:row>
    <ns0:row r="336" ht="28" customHeight="1">
      <ns0:c r="A336" s="29"/>
      <ns0:c r="B336" s="30"/>
      <ns0:c r="C336" s="28"/>
      <ns0:c r="D336" s="29"/>
      <ns0:c r="E336" s="31"/>
      <ns0:c r="F336" s="32"/>
      <ns0:c r="G336" s="29"/>
      <ns0:c r="H336" s="29"/>
      <ns0:c r="I336" s="29"/>
      <ns0:c r="J336" s="29"/>
      <ns0:c r="K336" s="29"/>
    </ns0:row>
    <ns0:row r="337" ht="28" customHeight="1">
      <ns0:c r="A337" s="29"/>
      <ns0:c r="B337" s="30"/>
      <ns0:c r="C337" s="28"/>
      <ns0:c r="D337" s="29"/>
      <ns0:c r="E337" s="31"/>
      <ns0:c r="F337" s="32"/>
      <ns0:c r="G337" s="29"/>
      <ns0:c r="H337" s="29"/>
      <ns0:c r="I337" s="29"/>
      <ns0:c r="J337" s="29"/>
      <ns0:c r="K337" s="29"/>
    </ns0:row>
    <ns0:row r="338" ht="28" customHeight="1">
      <ns0:c r="A338" s="29"/>
      <ns0:c r="B338" s="30"/>
      <ns0:c r="C338" s="28"/>
      <ns0:c r="D338" s="29"/>
      <ns0:c r="E338" s="31"/>
      <ns0:c r="F338" s="32"/>
      <ns0:c r="G338" s="29"/>
      <ns0:c r="H338" s="29"/>
      <ns0:c r="I338" s="29"/>
      <ns0:c r="J338" s="29"/>
      <ns0:c r="K338" s="29"/>
    </ns0:row>
    <ns0:row r="339" ht="28" customHeight="1">
      <ns0:c r="A339" s="29"/>
      <ns0:c r="B339" s="30"/>
      <ns0:c r="C339" s="28"/>
      <ns0:c r="D339" s="29"/>
      <ns0:c r="E339" s="31"/>
      <ns0:c r="F339" s="32"/>
      <ns0:c r="G339" s="29"/>
      <ns0:c r="H339" s="29"/>
      <ns0:c r="I339" s="29"/>
      <ns0:c r="J339" s="29"/>
      <ns0:c r="K339" s="29"/>
    </ns0:row>
    <ns0:row r="340" ht="28" customHeight="1">
      <ns0:c r="A340" s="29"/>
      <ns0:c r="B340" s="30"/>
      <ns0:c r="C340" s="28"/>
      <ns0:c r="D340" s="29"/>
      <ns0:c r="E340" s="31"/>
      <ns0:c r="F340" s="32"/>
      <ns0:c r="G340" s="29"/>
      <ns0:c r="H340" s="29"/>
      <ns0:c r="I340" s="29"/>
      <ns0:c r="J340" s="29"/>
      <ns0:c r="K340" s="29"/>
    </ns0:row>
    <ns0:row r="341" ht="28" customHeight="1">
      <ns0:c r="A341" s="29"/>
      <ns0:c r="B341" s="30"/>
      <ns0:c r="C341" s="28"/>
      <ns0:c r="D341" s="29"/>
      <ns0:c r="E341" s="31"/>
      <ns0:c r="F341" s="32"/>
      <ns0:c r="G341" s="29"/>
      <ns0:c r="H341" s="29"/>
      <ns0:c r="I341" s="29"/>
      <ns0:c r="J341" s="29"/>
      <ns0:c r="K341" s="29"/>
    </ns0:row>
    <ns0:row r="342" ht="28" customHeight="1">
      <ns0:c r="A342" s="29"/>
      <ns0:c r="B342" s="30"/>
      <ns0:c r="C342" s="28"/>
      <ns0:c r="D342" s="29"/>
      <ns0:c r="E342" s="31"/>
      <ns0:c r="F342" s="32"/>
      <ns0:c r="G342" s="29"/>
      <ns0:c r="H342" s="29"/>
      <ns0:c r="I342" s="29"/>
      <ns0:c r="J342" s="29"/>
      <ns0:c r="K342" s="29"/>
    </ns0:row>
    <ns0:row r="343" ht="28" customHeight="1">
      <ns0:c r="A343" s="29"/>
      <ns0:c r="B343" s="30"/>
      <ns0:c r="C343" s="28"/>
      <ns0:c r="D343" s="29"/>
      <ns0:c r="E343" s="31"/>
      <ns0:c r="F343" s="32"/>
      <ns0:c r="G343" s="29"/>
      <ns0:c r="H343" s="29"/>
      <ns0:c r="I343" s="29"/>
      <ns0:c r="J343" s="29"/>
      <ns0:c r="K343" s="29"/>
    </ns0:row>
    <ns0:row r="344" ht="28" customHeight="1">
      <ns0:c r="A344" s="29"/>
      <ns0:c r="B344" s="30"/>
      <ns0:c r="C344" s="28"/>
      <ns0:c r="D344" s="29"/>
      <ns0:c r="E344" s="31"/>
      <ns0:c r="F344" s="32"/>
      <ns0:c r="G344" s="29"/>
      <ns0:c r="H344" s="29"/>
      <ns0:c r="I344" s="29"/>
      <ns0:c r="J344" s="29"/>
      <ns0:c r="K344" s="29"/>
    </ns0:row>
    <ns0:row r="345" ht="28" customHeight="1">
      <ns0:c r="A345" s="29"/>
      <ns0:c r="B345" s="30"/>
      <ns0:c r="C345" s="28"/>
      <ns0:c r="D345" s="29"/>
      <ns0:c r="E345" s="31"/>
      <ns0:c r="F345" s="32"/>
      <ns0:c r="G345" s="29"/>
      <ns0:c r="H345" s="29"/>
      <ns0:c r="I345" s="29"/>
      <ns0:c r="J345" s="29"/>
      <ns0:c r="K345" s="29"/>
    </ns0:row>
    <ns0:row r="346" ht="28" customHeight="1">
      <ns0:c r="A346" s="29"/>
      <ns0:c r="B346" s="30"/>
      <ns0:c r="C346" s="28"/>
      <ns0:c r="D346" s="29"/>
      <ns0:c r="E346" s="31"/>
      <ns0:c r="F346" s="32"/>
      <ns0:c r="G346" s="29"/>
      <ns0:c r="H346" s="29"/>
      <ns0:c r="I346" s="29"/>
      <ns0:c r="J346" s="29"/>
      <ns0:c r="K346" s="29"/>
    </ns0:row>
    <ns0:row r="347" ht="28" customHeight="1">
      <ns0:c r="A347" s="29"/>
      <ns0:c r="B347" s="30"/>
      <ns0:c r="C347" s="28"/>
      <ns0:c r="D347" s="29"/>
      <ns0:c r="E347" s="31"/>
      <ns0:c r="F347" s="32"/>
      <ns0:c r="G347" s="29"/>
      <ns0:c r="H347" s="29"/>
      <ns0:c r="I347" s="29"/>
      <ns0:c r="J347" s="29"/>
      <ns0:c r="K347" s="29"/>
    </ns0:row>
    <ns0:row r="348" ht="28" customHeight="1">
      <ns0:c r="A348" s="29"/>
      <ns0:c r="B348" s="30"/>
      <ns0:c r="C348" s="28"/>
      <ns0:c r="D348" s="29"/>
      <ns0:c r="E348" s="31"/>
      <ns0:c r="F348" s="32"/>
      <ns0:c r="G348" s="29"/>
      <ns0:c r="H348" s="29"/>
      <ns0:c r="I348" s="29"/>
      <ns0:c r="J348" s="29"/>
      <ns0:c r="K348" s="29"/>
    </ns0:row>
    <ns0:row r="349" ht="28" customHeight="1">
      <ns0:c r="A349" s="29"/>
      <ns0:c r="B349" s="30"/>
      <ns0:c r="C349" s="28"/>
      <ns0:c r="D349" s="29"/>
      <ns0:c r="E349" s="31"/>
      <ns0:c r="F349" s="32"/>
      <ns0:c r="G349" s="29"/>
      <ns0:c r="H349" s="29"/>
      <ns0:c r="I349" s="29"/>
      <ns0:c r="J349" s="29"/>
      <ns0:c r="K349" s="29"/>
    </ns0:row>
    <ns0:row r="350" ht="28" customHeight="1">
      <ns0:c r="A350" s="29"/>
      <ns0:c r="B350" s="30"/>
      <ns0:c r="C350" s="28"/>
      <ns0:c r="D350" s="29"/>
      <ns0:c r="E350" s="31"/>
      <ns0:c r="F350" s="32"/>
      <ns0:c r="G350" s="29"/>
      <ns0:c r="H350" s="29"/>
      <ns0:c r="I350" s="29"/>
      <ns0:c r="J350" s="29"/>
      <ns0:c r="K350" s="29"/>
    </ns0:row>
    <ns0:row r="351" ht="28" customHeight="1">
      <ns0:c r="A351" s="29"/>
      <ns0:c r="B351" s="30"/>
      <ns0:c r="C351" s="28"/>
      <ns0:c r="D351" s="29"/>
      <ns0:c r="E351" s="31"/>
      <ns0:c r="F351" s="32"/>
      <ns0:c r="G351" s="29"/>
      <ns0:c r="H351" s="29"/>
      <ns0:c r="I351" s="29"/>
      <ns0:c r="J351" s="29"/>
      <ns0:c r="K351" s="29"/>
    </ns0:row>
    <ns0:row r="352" ht="28" customHeight="1">
      <ns0:c r="A352" s="29"/>
      <ns0:c r="B352" s="30"/>
      <ns0:c r="C352" s="28"/>
      <ns0:c r="D352" s="29"/>
      <ns0:c r="E352" s="31"/>
      <ns0:c r="F352" s="32"/>
      <ns0:c r="G352" s="29"/>
      <ns0:c r="H352" s="29"/>
      <ns0:c r="I352" s="29"/>
      <ns0:c r="J352" s="29"/>
      <ns0:c r="K352" s="29"/>
    </ns0:row>
    <ns0:row r="353" ht="28" customHeight="1">
      <ns0:c r="A353" s="29"/>
      <ns0:c r="B353" s="30"/>
      <ns0:c r="C353" s="28"/>
      <ns0:c r="D353" s="29"/>
      <ns0:c r="E353" s="31"/>
      <ns0:c r="F353" s="32"/>
      <ns0:c r="G353" s="29"/>
      <ns0:c r="H353" s="29"/>
      <ns0:c r="I353" s="29"/>
      <ns0:c r="J353" s="29"/>
      <ns0:c r="K353" s="29"/>
    </ns0:row>
    <ns0:row r="354" ht="28" customHeight="1">
      <ns0:c r="A354" s="29"/>
      <ns0:c r="B354" s="30"/>
      <ns0:c r="C354" s="28"/>
      <ns0:c r="D354" s="29"/>
      <ns0:c r="E354" s="31"/>
      <ns0:c r="F354" s="32"/>
      <ns0:c r="G354" s="29"/>
      <ns0:c r="H354" s="29"/>
      <ns0:c r="I354" s="29"/>
      <ns0:c r="J354" s="29"/>
      <ns0:c r="K354" s="29"/>
    </ns0:row>
    <ns0:row r="355" ht="28" customHeight="1">
      <ns0:c r="A355" s="29"/>
      <ns0:c r="B355" s="30"/>
      <ns0:c r="C355" s="28"/>
      <ns0:c r="D355" s="29"/>
      <ns0:c r="E355" s="31"/>
      <ns0:c r="F355" s="32"/>
      <ns0:c r="G355" s="29"/>
      <ns0:c r="H355" s="29"/>
      <ns0:c r="I355" s="29"/>
      <ns0:c r="J355" s="29"/>
      <ns0:c r="K355" s="29"/>
    </ns0:row>
    <ns0:row r="356" ht="28" customHeight="1">
      <ns0:c r="A356" s="29"/>
      <ns0:c r="B356" s="30"/>
      <ns0:c r="C356" s="28"/>
      <ns0:c r="D356" s="29"/>
      <ns0:c r="E356" s="31"/>
      <ns0:c r="F356" s="32"/>
      <ns0:c r="G356" s="29"/>
      <ns0:c r="H356" s="29"/>
      <ns0:c r="I356" s="29"/>
      <ns0:c r="J356" s="29"/>
      <ns0:c r="K356" s="29"/>
    </ns0:row>
    <ns0:row r="357" ht="28" customHeight="1">
      <ns0:c r="A357" s="29"/>
      <ns0:c r="B357" s="30"/>
      <ns0:c r="C357" s="28"/>
      <ns0:c r="D357" s="29"/>
      <ns0:c r="E357" s="31"/>
      <ns0:c r="F357" s="32"/>
      <ns0:c r="G357" s="29"/>
      <ns0:c r="H357" s="29"/>
      <ns0:c r="I357" s="29"/>
      <ns0:c r="J357" s="29"/>
      <ns0:c r="K357" s="29"/>
    </ns0:row>
    <ns0:row r="358" ht="28" customHeight="1">
      <ns0:c r="A358" s="29"/>
      <ns0:c r="B358" s="30"/>
      <ns0:c r="C358" s="28"/>
      <ns0:c r="D358" s="29"/>
      <ns0:c r="E358" s="31"/>
      <ns0:c r="F358" s="32"/>
      <ns0:c r="G358" s="29"/>
      <ns0:c r="H358" s="29"/>
      <ns0:c r="I358" s="29"/>
      <ns0:c r="J358" s="29"/>
      <ns0:c r="K358" s="29"/>
    </ns0:row>
    <ns0:row r="359" ht="28" customHeight="1">
      <ns0:c r="A359" s="29"/>
      <ns0:c r="B359" s="30"/>
      <ns0:c r="C359" s="28"/>
      <ns0:c r="D359" s="29"/>
      <ns0:c r="E359" s="31"/>
      <ns0:c r="F359" s="32"/>
      <ns0:c r="G359" s="29"/>
      <ns0:c r="H359" s="29"/>
      <ns0:c r="I359" s="29"/>
      <ns0:c r="J359" s="29"/>
      <ns0:c r="K359" s="29"/>
    </ns0:row>
    <ns0:row r="360" ht="28" customHeight="1">
      <ns0:c r="A360" s="29"/>
      <ns0:c r="B360" s="30"/>
      <ns0:c r="C360" s="28"/>
      <ns0:c r="D360" s="29"/>
      <ns0:c r="E360" s="31"/>
      <ns0:c r="F360" s="32"/>
      <ns0:c r="G360" s="29"/>
      <ns0:c r="H360" s="29"/>
      <ns0:c r="I360" s="29"/>
      <ns0:c r="J360" s="29"/>
      <ns0:c r="K360" s="29"/>
    </ns0:row>
    <ns0:row r="361" ht="28" customHeight="1">
      <ns0:c r="A361" s="29"/>
      <ns0:c r="B361" s="30"/>
      <ns0:c r="C361" s="28"/>
      <ns0:c r="D361" s="29"/>
      <ns0:c r="E361" s="31"/>
      <ns0:c r="F361" s="32"/>
      <ns0:c r="G361" s="29"/>
      <ns0:c r="H361" s="29"/>
      <ns0:c r="I361" s="29"/>
      <ns0:c r="J361" s="29"/>
      <ns0:c r="K361" s="29"/>
    </ns0:row>
    <ns0:row r="362" ht="28" customHeight="1">
      <ns0:c r="A362" s="29"/>
      <ns0:c r="B362" s="30"/>
      <ns0:c r="C362" s="28"/>
      <ns0:c r="D362" s="29"/>
      <ns0:c r="E362" s="31"/>
      <ns0:c r="F362" s="32"/>
      <ns0:c r="G362" s="29"/>
      <ns0:c r="H362" s="29"/>
      <ns0:c r="I362" s="29"/>
      <ns0:c r="J362" s="29"/>
      <ns0:c r="K362" s="29"/>
    </ns0:row>
    <ns0:row r="363" ht="28" customHeight="1">
      <ns0:c r="A363" s="29"/>
      <ns0:c r="B363" s="30"/>
      <ns0:c r="C363" s="28"/>
      <ns0:c r="D363" s="29"/>
      <ns0:c r="E363" s="31"/>
      <ns0:c r="F363" s="32"/>
      <ns0:c r="G363" s="29"/>
      <ns0:c r="H363" s="29"/>
      <ns0:c r="I363" s="29"/>
      <ns0:c r="J363" s="29"/>
      <ns0:c r="K363" s="29"/>
    </ns0:row>
    <ns0:row r="364" ht="28" customHeight="1">
      <ns0:c r="A364" s="29"/>
      <ns0:c r="B364" s="30"/>
      <ns0:c r="C364" s="28"/>
      <ns0:c r="D364" s="29"/>
      <ns0:c r="E364" s="31"/>
      <ns0:c r="F364" s="32"/>
      <ns0:c r="G364" s="29"/>
      <ns0:c r="H364" s="29"/>
      <ns0:c r="I364" s="29"/>
      <ns0:c r="J364" s="29"/>
      <ns0:c r="K364" s="29"/>
    </ns0:row>
    <ns0:row r="365" ht="28" customHeight="1">
      <ns0:c r="A365" s="29"/>
      <ns0:c r="B365" s="30"/>
      <ns0:c r="C365" s="28"/>
      <ns0:c r="D365" s="29"/>
      <ns0:c r="E365" s="31"/>
      <ns0:c r="F365" s="32"/>
      <ns0:c r="G365" s="29"/>
      <ns0:c r="H365" s="29"/>
      <ns0:c r="I365" s="29"/>
      <ns0:c r="J365" s="29"/>
      <ns0:c r="K365" s="29"/>
    </ns0:row>
    <ns0:row r="366" ht="28" customHeight="1">
      <ns0:c r="A366" s="29"/>
      <ns0:c r="B366" s="30"/>
      <ns0:c r="C366" s="28"/>
      <ns0:c r="D366" s="29"/>
      <ns0:c r="E366" s="31"/>
      <ns0:c r="F366" s="32"/>
      <ns0:c r="G366" s="29"/>
      <ns0:c r="H366" s="29"/>
      <ns0:c r="I366" s="29"/>
      <ns0:c r="J366" s="29"/>
      <ns0:c r="K366" s="29"/>
    </ns0:row>
    <ns0:row r="367" ht="28" customHeight="1">
      <ns0:c r="A367" s="29"/>
      <ns0:c r="B367" s="30"/>
      <ns0:c r="C367" s="28"/>
      <ns0:c r="D367" s="29"/>
      <ns0:c r="E367" s="31"/>
      <ns0:c r="F367" s="32"/>
      <ns0:c r="G367" s="29"/>
      <ns0:c r="H367" s="29"/>
      <ns0:c r="I367" s="29"/>
      <ns0:c r="J367" s="29"/>
      <ns0:c r="K367" s="29"/>
    </ns0:row>
    <ns0:row r="368" ht="28" customHeight="1">
      <ns0:c r="A368" s="29"/>
      <ns0:c r="B368" s="30"/>
      <ns0:c r="C368" s="28"/>
      <ns0:c r="D368" s="29"/>
      <ns0:c r="E368" s="31"/>
      <ns0:c r="F368" s="32"/>
      <ns0:c r="G368" s="29"/>
      <ns0:c r="H368" s="29"/>
      <ns0:c r="I368" s="29"/>
      <ns0:c r="J368" s="29"/>
      <ns0:c r="K368" s="29"/>
    </ns0:row>
    <ns0:row r="369" ht="28" customHeight="1">
      <ns0:c r="A369" s="29"/>
      <ns0:c r="B369" s="30"/>
      <ns0:c r="C369" s="28"/>
      <ns0:c r="D369" s="29"/>
      <ns0:c r="E369" s="31"/>
      <ns0:c r="F369" s="32"/>
      <ns0:c r="G369" s="29"/>
      <ns0:c r="H369" s="29"/>
      <ns0:c r="I369" s="29"/>
      <ns0:c r="J369" s="29"/>
      <ns0:c r="K369" s="29"/>
    </ns0:row>
    <ns0:row r="370" ht="28" customHeight="1">
      <ns0:c r="A370" s="29"/>
      <ns0:c r="B370" s="30"/>
      <ns0:c r="C370" s="28"/>
      <ns0:c r="D370" s="29"/>
      <ns0:c r="E370" s="31"/>
      <ns0:c r="F370" s="32"/>
      <ns0:c r="G370" s="29"/>
      <ns0:c r="H370" s="29"/>
      <ns0:c r="I370" s="29"/>
      <ns0:c r="J370" s="29"/>
      <ns0:c r="K370" s="29"/>
    </ns0:row>
    <ns0:row r="371" ht="28" customHeight="1">
      <ns0:c r="A371" s="29"/>
      <ns0:c r="B371" s="30"/>
      <ns0:c r="C371" s="28"/>
      <ns0:c r="D371" s="29"/>
      <ns0:c r="E371" s="31"/>
      <ns0:c r="F371" s="32"/>
      <ns0:c r="G371" s="29"/>
      <ns0:c r="H371" s="29"/>
      <ns0:c r="I371" s="29"/>
      <ns0:c r="J371" s="29"/>
      <ns0:c r="K371" s="29"/>
    </ns0:row>
    <ns0:row r="372" ht="28" customHeight="1">
      <ns0:c r="A372" s="29"/>
      <ns0:c r="B372" s="30"/>
      <ns0:c r="C372" s="28"/>
      <ns0:c r="D372" s="29"/>
      <ns0:c r="E372" s="31"/>
      <ns0:c r="F372" s="32"/>
      <ns0:c r="G372" s="29"/>
      <ns0:c r="H372" s="29"/>
      <ns0:c r="I372" s="29"/>
      <ns0:c r="J372" s="29"/>
      <ns0:c r="K372" s="29"/>
    </ns0:row>
    <ns0:row r="373" ht="28" customHeight="1">
      <ns0:c r="A373" s="29"/>
      <ns0:c r="B373" s="30"/>
      <ns0:c r="C373" s="28"/>
      <ns0:c r="D373" s="29"/>
      <ns0:c r="E373" s="31"/>
      <ns0:c r="F373" s="32"/>
      <ns0:c r="G373" s="29"/>
      <ns0:c r="H373" s="29"/>
      <ns0:c r="I373" s="29"/>
      <ns0:c r="J373" s="29"/>
      <ns0:c r="K373" s="29"/>
    </ns0:row>
    <ns0:row r="374" ht="28" customHeight="1">
      <ns0:c r="A374" s="29"/>
      <ns0:c r="B374" s="30"/>
      <ns0:c r="C374" s="28"/>
      <ns0:c r="D374" s="29"/>
      <ns0:c r="E374" s="31"/>
      <ns0:c r="F374" s="32"/>
      <ns0:c r="G374" s="29"/>
      <ns0:c r="H374" s="29"/>
      <ns0:c r="I374" s="29"/>
      <ns0:c r="J374" s="29"/>
      <ns0:c r="K374" s="29"/>
    </ns0:row>
    <ns0:row r="375" ht="28" customHeight="1">
      <ns0:c r="A375" s="29"/>
      <ns0:c r="B375" s="30"/>
      <ns0:c r="C375" s="28"/>
      <ns0:c r="D375" s="29"/>
      <ns0:c r="E375" s="31"/>
      <ns0:c r="F375" s="32"/>
      <ns0:c r="G375" s="29"/>
      <ns0:c r="H375" s="29"/>
      <ns0:c r="I375" s="29"/>
      <ns0:c r="J375" s="29"/>
      <ns0:c r="K375" s="29"/>
    </ns0:row>
    <ns0:row r="376" ht="28" customHeight="1">
      <ns0:c r="A376" s="29"/>
      <ns0:c r="B376" s="30"/>
      <ns0:c r="C376" s="28"/>
      <ns0:c r="D376" s="29"/>
      <ns0:c r="E376" s="31"/>
      <ns0:c r="F376" s="32"/>
      <ns0:c r="G376" s="29"/>
      <ns0:c r="H376" s="29"/>
      <ns0:c r="I376" s="29"/>
      <ns0:c r="J376" s="29"/>
      <ns0:c r="K376" s="29"/>
    </ns0:row>
    <ns0:row r="377" ht="28" customHeight="1">
      <ns0:c r="A377" s="29"/>
      <ns0:c r="B377" s="30"/>
      <ns0:c r="C377" s="28"/>
      <ns0:c r="D377" s="29"/>
      <ns0:c r="E377" s="31"/>
      <ns0:c r="F377" s="32"/>
      <ns0:c r="G377" s="29"/>
      <ns0:c r="H377" s="29"/>
      <ns0:c r="I377" s="29"/>
      <ns0:c r="J377" s="29"/>
      <ns0:c r="K377" s="29"/>
    </ns0:row>
    <ns0:row r="378" ht="28" customHeight="1">
      <ns0:c r="A378" s="29"/>
      <ns0:c r="B378" s="30"/>
      <ns0:c r="C378" s="28"/>
      <ns0:c r="D378" s="29"/>
      <ns0:c r="E378" s="31"/>
      <ns0:c r="F378" s="32"/>
      <ns0:c r="G378" s="29"/>
      <ns0:c r="H378" s="29"/>
      <ns0:c r="I378" s="29"/>
      <ns0:c r="J378" s="29"/>
      <ns0:c r="K378" s="29"/>
    </ns0:row>
    <ns0:row r="379" ht="28" customHeight="1">
      <ns0:c r="A379" s="29"/>
      <ns0:c r="B379" s="30"/>
      <ns0:c r="C379" s="28"/>
      <ns0:c r="D379" s="29"/>
      <ns0:c r="E379" s="31"/>
      <ns0:c r="F379" s="32"/>
      <ns0:c r="G379" s="29"/>
      <ns0:c r="H379" s="29"/>
      <ns0:c r="I379" s="29"/>
      <ns0:c r="J379" s="29"/>
      <ns0:c r="K379" s="29"/>
    </ns0:row>
    <ns0:row r="380" ht="28" customHeight="1">
      <ns0:c r="A380" s="29"/>
      <ns0:c r="B380" s="30"/>
      <ns0:c r="C380" s="28"/>
      <ns0:c r="D380" s="29"/>
      <ns0:c r="E380" s="31"/>
      <ns0:c r="F380" s="32"/>
      <ns0:c r="G380" s="29"/>
      <ns0:c r="H380" s="29"/>
      <ns0:c r="I380" s="29"/>
      <ns0:c r="J380" s="29"/>
      <ns0:c r="K380" s="29"/>
    </ns0:row>
    <ns0:row r="381" ht="28" customHeight="1">
      <ns0:c r="A381" s="29"/>
      <ns0:c r="B381" s="30"/>
      <ns0:c r="C381" s="28"/>
      <ns0:c r="D381" s="29"/>
      <ns0:c r="E381" s="31"/>
      <ns0:c r="F381" s="32"/>
      <ns0:c r="G381" s="29"/>
      <ns0:c r="H381" s="29"/>
      <ns0:c r="I381" s="29"/>
      <ns0:c r="J381" s="29"/>
      <ns0:c r="K381" s="29"/>
    </ns0:row>
    <ns0:row r="382" ht="28" customHeight="1">
      <ns0:c r="A382" s="29"/>
      <ns0:c r="B382" s="30"/>
      <ns0:c r="C382" s="28"/>
      <ns0:c r="D382" s="29"/>
      <ns0:c r="E382" s="31"/>
      <ns0:c r="F382" s="32"/>
      <ns0:c r="G382" s="29"/>
      <ns0:c r="H382" s="29"/>
      <ns0:c r="I382" s="29"/>
      <ns0:c r="J382" s="29"/>
      <ns0:c r="K382" s="29"/>
    </ns0:row>
    <ns0:row r="383" ht="28" customHeight="1">
      <ns0:c r="A383" s="29"/>
      <ns0:c r="B383" s="30"/>
      <ns0:c r="C383" s="28"/>
      <ns0:c r="D383" s="29"/>
      <ns0:c r="E383" s="31"/>
      <ns0:c r="F383" s="32"/>
      <ns0:c r="G383" s="29"/>
      <ns0:c r="H383" s="29"/>
      <ns0:c r="I383" s="29"/>
      <ns0:c r="J383" s="29"/>
      <ns0:c r="K383" s="29"/>
    </ns0:row>
    <ns0:row r="384" ht="28" customHeight="1">
      <ns0:c r="A384" s="29"/>
      <ns0:c r="B384" s="30"/>
      <ns0:c r="C384" s="28"/>
      <ns0:c r="D384" s="29"/>
      <ns0:c r="E384" s="31"/>
      <ns0:c r="F384" s="32"/>
      <ns0:c r="G384" s="29"/>
      <ns0:c r="H384" s="29"/>
      <ns0:c r="I384" s="29"/>
      <ns0:c r="J384" s="29"/>
      <ns0:c r="K384" s="29"/>
    </ns0:row>
    <ns0:row r="385" ht="28" customHeight="1">
      <ns0:c r="A385" s="29"/>
      <ns0:c r="B385" s="30"/>
      <ns0:c r="C385" s="28"/>
      <ns0:c r="D385" s="29"/>
      <ns0:c r="E385" s="31"/>
      <ns0:c r="F385" s="32"/>
      <ns0:c r="G385" s="29"/>
      <ns0:c r="H385" s="29"/>
      <ns0:c r="I385" s="29"/>
      <ns0:c r="J385" s="29"/>
      <ns0:c r="K385" s="29"/>
    </ns0:row>
    <ns0:row r="386" ht="28" customHeight="1">
      <ns0:c r="A386" s="29"/>
      <ns0:c r="B386" s="30"/>
      <ns0:c r="C386" s="28"/>
      <ns0:c r="D386" s="29"/>
      <ns0:c r="E386" s="31"/>
      <ns0:c r="F386" s="32"/>
      <ns0:c r="G386" s="29"/>
      <ns0:c r="H386" s="29"/>
      <ns0:c r="I386" s="29"/>
      <ns0:c r="J386" s="29"/>
      <ns0:c r="K386" s="29"/>
    </ns0:row>
    <ns0:row r="387" ht="28" customHeight="1">
      <ns0:c r="A387" s="29"/>
      <ns0:c r="B387" s="30"/>
      <ns0:c r="C387" s="28"/>
      <ns0:c r="D387" s="29"/>
      <ns0:c r="E387" s="31"/>
      <ns0:c r="F387" s="32"/>
      <ns0:c r="G387" s="29"/>
      <ns0:c r="H387" s="29"/>
      <ns0:c r="I387" s="29"/>
      <ns0:c r="J387" s="29"/>
      <ns0:c r="K387" s="29"/>
    </ns0:row>
    <ns0:row r="388" ht="28" customHeight="1">
      <ns0:c r="A388" s="29"/>
      <ns0:c r="B388" s="30"/>
      <ns0:c r="C388" s="28"/>
      <ns0:c r="D388" s="29"/>
      <ns0:c r="E388" s="31"/>
      <ns0:c r="F388" s="32"/>
      <ns0:c r="G388" s="29"/>
      <ns0:c r="H388" s="29"/>
      <ns0:c r="I388" s="29"/>
      <ns0:c r="J388" s="29"/>
      <ns0:c r="K388" s="29"/>
    </ns0:row>
    <ns0:row r="389" ht="28" customHeight="1">
      <ns0:c r="A389" s="29"/>
      <ns0:c r="B389" s="30"/>
      <ns0:c r="C389" s="28"/>
      <ns0:c r="D389" s="29"/>
      <ns0:c r="E389" s="31"/>
      <ns0:c r="F389" s="32"/>
      <ns0:c r="G389" s="29"/>
      <ns0:c r="H389" s="29"/>
      <ns0:c r="I389" s="29"/>
      <ns0:c r="J389" s="29"/>
      <ns0:c r="K389" s="29"/>
    </ns0:row>
    <ns0:row r="390" ht="28" customHeight="1">
      <ns0:c r="A390" s="29"/>
      <ns0:c r="B390" s="30"/>
      <ns0:c r="C390" s="28"/>
      <ns0:c r="D390" s="29"/>
      <ns0:c r="E390" s="31"/>
      <ns0:c r="F390" s="32"/>
      <ns0:c r="G390" s="29"/>
      <ns0:c r="H390" s="29"/>
      <ns0:c r="I390" s="29"/>
      <ns0:c r="J390" s="29"/>
      <ns0:c r="K390" s="29"/>
    </ns0:row>
    <ns0:row r="391" ht="28" customHeight="1">
      <ns0:c r="A391" s="29"/>
      <ns0:c r="B391" s="30"/>
      <ns0:c r="C391" s="28"/>
      <ns0:c r="D391" s="29"/>
      <ns0:c r="E391" s="31"/>
      <ns0:c r="F391" s="32"/>
      <ns0:c r="G391" s="29"/>
      <ns0:c r="H391" s="29"/>
      <ns0:c r="I391" s="29"/>
      <ns0:c r="J391" s="29"/>
      <ns0:c r="K391" s="29"/>
    </ns0:row>
    <ns0:row r="392" ht="28" customHeight="1">
      <ns0:c r="A392" s="29"/>
      <ns0:c r="B392" s="30"/>
      <ns0:c r="C392" s="28"/>
      <ns0:c r="D392" s="29"/>
      <ns0:c r="E392" s="31"/>
      <ns0:c r="F392" s="32"/>
      <ns0:c r="G392" s="29"/>
      <ns0:c r="H392" s="29"/>
      <ns0:c r="I392" s="29"/>
      <ns0:c r="J392" s="29"/>
      <ns0:c r="K392" s="29"/>
    </ns0:row>
    <ns0:row r="393" ht="28" customHeight="1">
      <ns0:c r="A393" s="29"/>
      <ns0:c r="B393" s="30"/>
      <ns0:c r="C393" s="28"/>
      <ns0:c r="D393" s="29"/>
      <ns0:c r="E393" s="31"/>
      <ns0:c r="F393" s="32"/>
      <ns0:c r="G393" s="29"/>
      <ns0:c r="H393" s="29"/>
      <ns0:c r="I393" s="29"/>
      <ns0:c r="J393" s="29"/>
      <ns0:c r="K393" s="29"/>
    </ns0:row>
    <ns0:row r="394" ht="28" customHeight="1">
      <ns0:c r="A394" s="29"/>
      <ns0:c r="B394" s="30"/>
      <ns0:c r="C394" s="28"/>
      <ns0:c r="D394" s="29"/>
      <ns0:c r="E394" s="31"/>
      <ns0:c r="F394" s="32"/>
      <ns0:c r="G394" s="29"/>
      <ns0:c r="H394" s="29"/>
      <ns0:c r="I394" s="29"/>
      <ns0:c r="J394" s="29"/>
      <ns0:c r="K394" s="29"/>
    </ns0:row>
    <ns0:row r="395" ht="28" customHeight="1">
      <ns0:c r="A395" s="29"/>
      <ns0:c r="B395" s="30"/>
      <ns0:c r="C395" s="28"/>
      <ns0:c r="D395" s="29"/>
      <ns0:c r="E395" s="31"/>
      <ns0:c r="F395" s="32"/>
      <ns0:c r="G395" s="29"/>
      <ns0:c r="H395" s="29"/>
      <ns0:c r="I395" s="29"/>
      <ns0:c r="J395" s="29"/>
      <ns0:c r="K395" s="29"/>
    </ns0:row>
    <ns0:row r="396" ht="28" customHeight="1">
      <ns0:c r="A396" s="29"/>
      <ns0:c r="B396" s="30"/>
      <ns0:c r="C396" s="28"/>
      <ns0:c r="D396" s="29"/>
      <ns0:c r="E396" s="31"/>
      <ns0:c r="F396" s="32"/>
      <ns0:c r="G396" s="29"/>
      <ns0:c r="H396" s="29"/>
      <ns0:c r="I396" s="29"/>
      <ns0:c r="J396" s="29"/>
      <ns0:c r="K396" s="29"/>
    </ns0:row>
    <ns0:row r="397" ht="28" customHeight="1">
      <ns0:c r="A397" s="29"/>
      <ns0:c r="B397" s="30"/>
      <ns0:c r="C397" s="28"/>
      <ns0:c r="D397" s="29"/>
      <ns0:c r="E397" s="31"/>
      <ns0:c r="F397" s="32"/>
      <ns0:c r="G397" s="29"/>
      <ns0:c r="H397" s="29"/>
      <ns0:c r="I397" s="29"/>
      <ns0:c r="J397" s="29"/>
      <ns0:c r="K397" s="29"/>
    </ns0:row>
    <ns0:row r="398" ht="28" customHeight="1">
      <ns0:c r="A398" s="29"/>
      <ns0:c r="B398" s="30"/>
      <ns0:c r="C398" s="28"/>
      <ns0:c r="D398" s="29"/>
      <ns0:c r="E398" s="31"/>
      <ns0:c r="F398" s="32"/>
      <ns0:c r="G398" s="29"/>
      <ns0:c r="H398" s="29"/>
      <ns0:c r="I398" s="29"/>
      <ns0:c r="J398" s="29"/>
      <ns0:c r="K398" s="29"/>
    </ns0:row>
    <ns0:row r="399" ht="28" customHeight="1">
      <ns0:c r="A399" s="29"/>
      <ns0:c r="B399" s="30"/>
      <ns0:c r="C399" s="28"/>
      <ns0:c r="D399" s="29"/>
      <ns0:c r="E399" s="31"/>
      <ns0:c r="F399" s="32"/>
      <ns0:c r="G399" s="29"/>
      <ns0:c r="H399" s="29"/>
      <ns0:c r="I399" s="29"/>
      <ns0:c r="J399" s="29"/>
      <ns0:c r="K399" s="29"/>
    </ns0:row>
    <ns0:row r="400" ht="28" customHeight="1">
      <ns0:c r="A400" s="29"/>
      <ns0:c r="B400" s="30"/>
      <ns0:c r="C400" s="28"/>
      <ns0:c r="D400" s="29"/>
      <ns0:c r="E400" s="31"/>
      <ns0:c r="F400" s="32"/>
      <ns0:c r="G400" s="29"/>
      <ns0:c r="H400" s="29"/>
      <ns0:c r="I400" s="29"/>
      <ns0:c r="J400" s="29"/>
      <ns0:c r="K400" s="29"/>
    </ns0:row>
    <ns0:row r="401" ht="28" customHeight="1">
      <ns0:c r="A401" s="29"/>
      <ns0:c r="B401" s="30"/>
      <ns0:c r="C401" s="28"/>
      <ns0:c r="D401" s="29"/>
      <ns0:c r="E401" s="31"/>
      <ns0:c r="F401" s="32"/>
      <ns0:c r="G401" s="29"/>
      <ns0:c r="H401" s="29"/>
      <ns0:c r="I401" s="29"/>
      <ns0:c r="J401" s="29"/>
      <ns0:c r="K401" s="29"/>
    </ns0:row>
    <ns0:row r="402" ht="28" customHeight="1">
      <ns0:c r="A402" s="29"/>
      <ns0:c r="B402" s="30"/>
      <ns0:c r="C402" s="28"/>
      <ns0:c r="D402" s="29"/>
      <ns0:c r="E402" s="31"/>
      <ns0:c r="F402" s="32"/>
      <ns0:c r="G402" s="29"/>
      <ns0:c r="H402" s="29"/>
      <ns0:c r="I402" s="29"/>
      <ns0:c r="J402" s="29"/>
      <ns0:c r="K402" s="29"/>
    </ns0:row>
    <ns0:row r="403" ht="28" customHeight="1">
      <ns0:c r="A403" s="29"/>
      <ns0:c r="B403" s="30"/>
      <ns0:c r="C403" s="28"/>
      <ns0:c r="D403" s="29"/>
      <ns0:c r="E403" s="31"/>
      <ns0:c r="F403" s="32"/>
      <ns0:c r="G403" s="29"/>
      <ns0:c r="H403" s="29"/>
      <ns0:c r="I403" s="29"/>
      <ns0:c r="J403" s="29"/>
      <ns0:c r="K403" s="29"/>
    </ns0:row>
    <ns0:row r="404" ht="28" customHeight="1">
      <ns0:c r="A404" s="29"/>
      <ns0:c r="B404" s="30"/>
      <ns0:c r="C404" s="28"/>
      <ns0:c r="D404" s="29"/>
      <ns0:c r="E404" s="31"/>
      <ns0:c r="F404" s="32"/>
      <ns0:c r="G404" s="29"/>
      <ns0:c r="H404" s="29"/>
      <ns0:c r="I404" s="29"/>
      <ns0:c r="J404" s="29"/>
      <ns0:c r="K404" s="29"/>
    </ns0:row>
    <ns0:row r="405" ht="28" customHeight="1">
      <ns0:c r="A405" s="29"/>
      <ns0:c r="B405" s="30"/>
      <ns0:c r="C405" s="28"/>
      <ns0:c r="D405" s="29"/>
      <ns0:c r="E405" s="31"/>
      <ns0:c r="F405" s="32"/>
      <ns0:c r="G405" s="29"/>
      <ns0:c r="H405" s="29"/>
      <ns0:c r="I405" s="29"/>
      <ns0:c r="J405" s="29"/>
      <ns0:c r="K405" s="29"/>
    </ns0:row>
    <ns0:row r="406" ht="28" customHeight="1">
      <ns0:c r="A406" s="29"/>
      <ns0:c r="B406" s="30"/>
      <ns0:c r="C406" s="28"/>
      <ns0:c r="D406" s="29"/>
      <ns0:c r="E406" s="31"/>
      <ns0:c r="F406" s="32"/>
      <ns0:c r="G406" s="29"/>
      <ns0:c r="H406" s="29"/>
      <ns0:c r="I406" s="29"/>
      <ns0:c r="J406" s="29"/>
      <ns0:c r="K406" s="29"/>
    </ns0:row>
    <ns0:row r="407" ht="28" customHeight="1">
      <ns0:c r="A407" s="29"/>
      <ns0:c r="B407" s="30"/>
      <ns0:c r="C407" s="28"/>
      <ns0:c r="D407" s="29"/>
      <ns0:c r="E407" s="31"/>
      <ns0:c r="F407" s="32"/>
      <ns0:c r="G407" s="29"/>
      <ns0:c r="H407" s="29"/>
      <ns0:c r="I407" s="29"/>
      <ns0:c r="J407" s="29"/>
      <ns0:c r="K407" s="29"/>
    </ns0:row>
    <ns0:row r="408" ht="28" customHeight="1">
      <ns0:c r="A408" s="29"/>
      <ns0:c r="B408" s="30"/>
      <ns0:c r="C408" s="28"/>
      <ns0:c r="D408" s="29"/>
      <ns0:c r="E408" s="31"/>
      <ns0:c r="F408" s="32"/>
      <ns0:c r="G408" s="29"/>
      <ns0:c r="H408" s="29"/>
      <ns0:c r="I408" s="29"/>
      <ns0:c r="J408" s="29"/>
      <ns0:c r="K408" s="29"/>
    </ns0:row>
    <ns0:row r="409" ht="28" customHeight="1">
      <ns0:c r="A409" s="29"/>
      <ns0:c r="B409" s="30"/>
      <ns0:c r="C409" s="28"/>
      <ns0:c r="D409" s="29"/>
      <ns0:c r="E409" s="31"/>
      <ns0:c r="F409" s="32"/>
      <ns0:c r="G409" s="29"/>
      <ns0:c r="H409" s="29"/>
      <ns0:c r="I409" s="29"/>
      <ns0:c r="J409" s="29"/>
      <ns0:c r="K409" s="29"/>
    </ns0:row>
    <ns0:row r="410" ht="28" customHeight="1">
      <ns0:c r="A410" s="29"/>
      <ns0:c r="B410" s="30"/>
      <ns0:c r="C410" s="28"/>
      <ns0:c r="D410" s="29"/>
      <ns0:c r="E410" s="31"/>
      <ns0:c r="F410" s="32"/>
      <ns0:c r="G410" s="29"/>
      <ns0:c r="H410" s="29"/>
      <ns0:c r="I410" s="29"/>
      <ns0:c r="J410" s="29"/>
      <ns0:c r="K410" s="29"/>
    </ns0:row>
    <ns0:row r="411" ht="28" customHeight="1">
      <ns0:c r="A411" s="29"/>
      <ns0:c r="B411" s="30"/>
      <ns0:c r="C411" s="28"/>
      <ns0:c r="D411" s="29"/>
      <ns0:c r="E411" s="31"/>
      <ns0:c r="F411" s="32"/>
      <ns0:c r="G411" s="29"/>
      <ns0:c r="H411" s="29"/>
      <ns0:c r="I411" s="29"/>
      <ns0:c r="J411" s="29"/>
      <ns0:c r="K411" s="29"/>
    </ns0:row>
    <ns0:row r="412" ht="28" customHeight="1">
      <ns0:c r="A412" s="29"/>
      <ns0:c r="B412" s="30"/>
      <ns0:c r="C412" s="28"/>
      <ns0:c r="D412" s="29"/>
      <ns0:c r="E412" s="31"/>
      <ns0:c r="F412" s="32"/>
      <ns0:c r="G412" s="29"/>
      <ns0:c r="H412" s="29"/>
      <ns0:c r="I412" s="29"/>
      <ns0:c r="J412" s="29"/>
      <ns0:c r="K412" s="29"/>
    </ns0:row>
    <ns0:row r="413" ht="28" customHeight="1">
      <ns0:c r="A413" s="29"/>
      <ns0:c r="B413" s="30"/>
      <ns0:c r="C413" s="28"/>
      <ns0:c r="D413" s="29"/>
      <ns0:c r="E413" s="31"/>
      <ns0:c r="F413" s="32"/>
      <ns0:c r="G413" s="29"/>
      <ns0:c r="H413" s="29"/>
      <ns0:c r="I413" s="29"/>
      <ns0:c r="J413" s="29"/>
      <ns0:c r="K413" s="29"/>
    </ns0:row>
    <ns0:row r="414" ht="28" customHeight="1">
      <ns0:c r="A414" s="29"/>
      <ns0:c r="B414" s="30"/>
      <ns0:c r="C414" s="28"/>
      <ns0:c r="D414" s="29"/>
      <ns0:c r="E414" s="31"/>
      <ns0:c r="F414" s="32"/>
      <ns0:c r="G414" s="29"/>
      <ns0:c r="H414" s="29"/>
      <ns0:c r="I414" s="29"/>
      <ns0:c r="J414" s="29"/>
      <ns0:c r="K414" s="29"/>
    </ns0:row>
    <ns0:row r="415" ht="28" customHeight="1">
      <ns0:c r="A415" s="29"/>
      <ns0:c r="B415" s="30"/>
      <ns0:c r="C415" s="28"/>
      <ns0:c r="D415" s="29"/>
      <ns0:c r="E415" s="31"/>
      <ns0:c r="F415" s="32"/>
      <ns0:c r="G415" s="29"/>
      <ns0:c r="H415" s="29"/>
      <ns0:c r="I415" s="29"/>
      <ns0:c r="J415" s="29"/>
      <ns0:c r="K415" s="29"/>
    </ns0:row>
    <ns0:row r="416" ht="28" customHeight="1">
      <ns0:c r="A416" s="29"/>
      <ns0:c r="B416" s="30"/>
      <ns0:c r="C416" s="28"/>
      <ns0:c r="D416" s="29"/>
      <ns0:c r="E416" s="31"/>
      <ns0:c r="F416" s="32"/>
      <ns0:c r="G416" s="29"/>
      <ns0:c r="H416" s="29"/>
      <ns0:c r="I416" s="29"/>
      <ns0:c r="J416" s="29"/>
      <ns0:c r="K416" s="29"/>
    </ns0:row>
    <ns0:row r="417" ht="28" customHeight="1">
      <ns0:c r="A417" s="29"/>
      <ns0:c r="B417" s="30"/>
      <ns0:c r="C417" s="28"/>
      <ns0:c r="D417" s="29"/>
      <ns0:c r="E417" s="31"/>
      <ns0:c r="F417" s="32"/>
      <ns0:c r="G417" s="29"/>
      <ns0:c r="H417" s="29"/>
      <ns0:c r="I417" s="29"/>
      <ns0:c r="J417" s="29"/>
      <ns0:c r="K417" s="29"/>
    </ns0:row>
    <ns0:row r="418" ht="28" customHeight="1">
      <ns0:c r="A418" s="29"/>
      <ns0:c r="B418" s="30"/>
      <ns0:c r="C418" s="28"/>
      <ns0:c r="D418" s="29"/>
      <ns0:c r="E418" s="31"/>
      <ns0:c r="F418" s="32"/>
      <ns0:c r="G418" s="29"/>
      <ns0:c r="H418" s="29"/>
      <ns0:c r="I418" s="29"/>
      <ns0:c r="J418" s="29"/>
      <ns0:c r="K418" s="29"/>
    </ns0:row>
    <ns0:row r="419" ht="28" customHeight="1">
      <ns0:c r="A419" s="29"/>
      <ns0:c r="B419" s="30"/>
      <ns0:c r="C419" s="28"/>
      <ns0:c r="D419" s="29"/>
      <ns0:c r="E419" s="31"/>
      <ns0:c r="F419" s="32"/>
      <ns0:c r="G419" s="29"/>
      <ns0:c r="H419" s="29"/>
      <ns0:c r="I419" s="29"/>
      <ns0:c r="J419" s="29"/>
      <ns0:c r="K419" s="29"/>
    </ns0:row>
    <ns0:row r="420" ht="28" customHeight="1">
      <ns0:c r="A420" s="29"/>
      <ns0:c r="B420" s="30"/>
      <ns0:c r="C420" s="28"/>
      <ns0:c r="D420" s="29"/>
      <ns0:c r="E420" s="31"/>
      <ns0:c r="F420" s="32"/>
      <ns0:c r="G420" s="29"/>
      <ns0:c r="H420" s="29"/>
      <ns0:c r="I420" s="29"/>
      <ns0:c r="J420" s="29"/>
      <ns0:c r="K420" s="29"/>
    </ns0:row>
    <ns0:row r="421" ht="28" customHeight="1">
      <ns0:c r="A421" s="29"/>
      <ns0:c r="B421" s="30"/>
      <ns0:c r="C421" s="28"/>
      <ns0:c r="D421" s="29"/>
      <ns0:c r="E421" s="31"/>
      <ns0:c r="F421" s="32"/>
      <ns0:c r="G421" s="29"/>
      <ns0:c r="H421" s="29"/>
      <ns0:c r="I421" s="29"/>
      <ns0:c r="J421" s="29"/>
      <ns0:c r="K421" s="29"/>
    </ns0:row>
    <ns0:row r="422" ht="28" customHeight="1">
      <ns0:c r="A422" s="29"/>
      <ns0:c r="B422" s="30"/>
      <ns0:c r="C422" s="28"/>
      <ns0:c r="D422" s="29"/>
      <ns0:c r="E422" s="31"/>
      <ns0:c r="F422" s="32"/>
      <ns0:c r="G422" s="29"/>
      <ns0:c r="H422" s="29"/>
      <ns0:c r="I422" s="29"/>
      <ns0:c r="J422" s="29"/>
      <ns0:c r="K422" s="29"/>
    </ns0:row>
    <ns0:row r="423" ht="28" customHeight="1">
      <ns0:c r="A423" s="29"/>
      <ns0:c r="B423" s="30"/>
      <ns0:c r="C423" s="28"/>
      <ns0:c r="D423" s="29"/>
      <ns0:c r="E423" s="31"/>
      <ns0:c r="F423" s="32"/>
      <ns0:c r="G423" s="29"/>
      <ns0:c r="H423" s="29"/>
      <ns0:c r="I423" s="29"/>
      <ns0:c r="J423" s="29"/>
      <ns0:c r="K423" s="29"/>
    </ns0:row>
    <ns0:row r="424" ht="28" customHeight="1">
      <ns0:c r="A424" s="29"/>
      <ns0:c r="B424" s="30"/>
      <ns0:c r="C424" s="28"/>
      <ns0:c r="D424" s="29"/>
      <ns0:c r="E424" s="31"/>
      <ns0:c r="F424" s="32"/>
      <ns0:c r="G424" s="29"/>
      <ns0:c r="H424" s="29"/>
      <ns0:c r="I424" s="29"/>
      <ns0:c r="J424" s="29"/>
      <ns0:c r="K424" s="29"/>
    </ns0:row>
    <ns0:row r="425" ht="28" customHeight="1">
      <ns0:c r="A425" s="29"/>
      <ns0:c r="B425" s="30"/>
      <ns0:c r="C425" s="28"/>
      <ns0:c r="D425" s="29"/>
      <ns0:c r="E425" s="31"/>
      <ns0:c r="F425" s="32"/>
      <ns0:c r="G425" s="29"/>
      <ns0:c r="H425" s="29"/>
      <ns0:c r="I425" s="29"/>
      <ns0:c r="J425" s="29"/>
      <ns0:c r="K425" s="29"/>
    </ns0:row>
    <ns0:row r="426" ht="28" customHeight="1">
      <ns0:c r="A426" s="29"/>
      <ns0:c r="B426" s="30"/>
      <ns0:c r="C426" s="28"/>
      <ns0:c r="D426" s="29"/>
      <ns0:c r="E426" s="31"/>
      <ns0:c r="F426" s="32"/>
      <ns0:c r="G426" s="29"/>
      <ns0:c r="H426" s="29"/>
      <ns0:c r="I426" s="29"/>
      <ns0:c r="J426" s="29"/>
      <ns0:c r="K426" s="29"/>
    </ns0:row>
    <ns0:row r="427" ht="28" customHeight="1">
      <ns0:c r="A427" s="29"/>
      <ns0:c r="B427" s="30"/>
      <ns0:c r="C427" s="28"/>
      <ns0:c r="D427" s="29"/>
      <ns0:c r="E427" s="31"/>
      <ns0:c r="F427" s="32"/>
      <ns0:c r="G427" s="29"/>
      <ns0:c r="H427" s="29"/>
      <ns0:c r="I427" s="29"/>
      <ns0:c r="J427" s="29"/>
      <ns0:c r="K427" s="29"/>
    </ns0:row>
    <ns0:row r="428" ht="28" customHeight="1">
      <ns0:c r="A428" s="29"/>
      <ns0:c r="B428" s="30"/>
      <ns0:c r="C428" s="28"/>
      <ns0:c r="D428" s="29"/>
      <ns0:c r="E428" s="31"/>
      <ns0:c r="F428" s="32"/>
      <ns0:c r="G428" s="29"/>
      <ns0:c r="H428" s="29"/>
      <ns0:c r="I428" s="29"/>
      <ns0:c r="J428" s="29"/>
      <ns0:c r="K428" s="29"/>
    </ns0:row>
    <ns0:row r="429" ht="28" customHeight="1">
      <ns0:c r="A429" s="29"/>
      <ns0:c r="B429" s="30"/>
      <ns0:c r="C429" s="28"/>
      <ns0:c r="D429" s="29"/>
      <ns0:c r="E429" s="31"/>
      <ns0:c r="F429" s="32"/>
      <ns0:c r="G429" s="29"/>
      <ns0:c r="H429" s="29"/>
      <ns0:c r="I429" s="29"/>
      <ns0:c r="J429" s="29"/>
      <ns0:c r="K429" s="29"/>
    </ns0:row>
    <ns0:row r="430" ht="28" customHeight="1">
      <ns0:c r="A430" s="29"/>
      <ns0:c r="B430" s="30"/>
      <ns0:c r="C430" s="28"/>
      <ns0:c r="D430" s="29"/>
      <ns0:c r="E430" s="31"/>
      <ns0:c r="F430" s="32"/>
      <ns0:c r="G430" s="29"/>
      <ns0:c r="H430" s="29"/>
      <ns0:c r="I430" s="29"/>
      <ns0:c r="J430" s="29"/>
      <ns0:c r="K430" s="29"/>
    </ns0:row>
    <ns0:row r="431" ht="28" customHeight="1">
      <ns0:c r="A431" s="29"/>
      <ns0:c r="B431" s="30"/>
      <ns0:c r="C431" s="28"/>
      <ns0:c r="D431" s="29"/>
      <ns0:c r="E431" s="31"/>
      <ns0:c r="F431" s="32"/>
      <ns0:c r="G431" s="29"/>
      <ns0:c r="H431" s="29"/>
      <ns0:c r="I431" s="29"/>
      <ns0:c r="J431" s="29"/>
      <ns0:c r="K431" s="29"/>
    </ns0:row>
    <ns0:row r="432" ht="28" customHeight="1">
      <ns0:c r="A432" s="29"/>
      <ns0:c r="B432" s="30"/>
      <ns0:c r="C432" s="28"/>
      <ns0:c r="D432" s="29"/>
      <ns0:c r="E432" s="31"/>
      <ns0:c r="F432" s="32"/>
      <ns0:c r="G432" s="29"/>
      <ns0:c r="H432" s="29"/>
      <ns0:c r="I432" s="29"/>
      <ns0:c r="J432" s="29"/>
      <ns0:c r="K432" s="29"/>
    </ns0:row>
    <ns0:row r="433" ht="28" customHeight="1">
      <ns0:c r="A433" s="29"/>
      <ns0:c r="B433" s="30"/>
      <ns0:c r="C433" s="28"/>
      <ns0:c r="D433" s="29"/>
      <ns0:c r="E433" s="31"/>
      <ns0:c r="F433" s="32"/>
      <ns0:c r="G433" s="29"/>
      <ns0:c r="H433" s="29"/>
      <ns0:c r="I433" s="29"/>
      <ns0:c r="J433" s="29"/>
      <ns0:c r="K433" s="29"/>
    </ns0:row>
    <ns0:row r="434" ht="28" customHeight="1">
      <ns0:c r="A434" s="29"/>
      <ns0:c r="B434" s="30"/>
      <ns0:c r="C434" s="28"/>
      <ns0:c r="D434" s="29"/>
      <ns0:c r="E434" s="31"/>
      <ns0:c r="F434" s="32"/>
      <ns0:c r="G434" s="29"/>
      <ns0:c r="H434" s="29"/>
      <ns0:c r="I434" s="29"/>
      <ns0:c r="J434" s="29"/>
      <ns0:c r="K434" s="29"/>
    </ns0:row>
    <ns0:row r="435" ht="28" customHeight="1">
      <ns0:c r="A435" s="29"/>
      <ns0:c r="B435" s="30"/>
      <ns0:c r="C435" s="28"/>
      <ns0:c r="D435" s="29"/>
      <ns0:c r="E435" s="31"/>
      <ns0:c r="F435" s="32"/>
      <ns0:c r="G435" s="29"/>
      <ns0:c r="H435" s="29"/>
      <ns0:c r="I435" s="29"/>
      <ns0:c r="J435" s="29"/>
      <ns0:c r="K435" s="29"/>
    </ns0:row>
    <ns0:row r="436" ht="28" customHeight="1">
      <ns0:c r="A436" s="29"/>
      <ns0:c r="B436" s="30"/>
      <ns0:c r="C436" s="28"/>
      <ns0:c r="D436" s="29"/>
      <ns0:c r="E436" s="31"/>
      <ns0:c r="F436" s="32"/>
      <ns0:c r="G436" s="29"/>
      <ns0:c r="H436" s="29"/>
      <ns0:c r="I436" s="29"/>
      <ns0:c r="J436" s="29"/>
      <ns0:c r="K436" s="29"/>
    </ns0:row>
    <ns0:row r="437" ht="28" customHeight="1">
      <ns0:c r="A437" s="29"/>
      <ns0:c r="B437" s="30"/>
      <ns0:c r="C437" s="28"/>
      <ns0:c r="D437" s="29"/>
      <ns0:c r="E437" s="31"/>
      <ns0:c r="F437" s="32"/>
      <ns0:c r="G437" s="29"/>
      <ns0:c r="H437" s="29"/>
      <ns0:c r="I437" s="29"/>
      <ns0:c r="J437" s="29"/>
      <ns0:c r="K437" s="29"/>
    </ns0:row>
    <ns0:row r="438" ht="28" customHeight="1">
      <ns0:c r="A438" s="29"/>
      <ns0:c r="B438" s="30"/>
      <ns0:c r="C438" s="28"/>
      <ns0:c r="D438" s="29"/>
      <ns0:c r="E438" s="31"/>
      <ns0:c r="F438" s="32"/>
      <ns0:c r="G438" s="29"/>
      <ns0:c r="H438" s="29"/>
      <ns0:c r="I438" s="29"/>
      <ns0:c r="J438" s="29"/>
      <ns0:c r="K438" s="29"/>
    </ns0:row>
    <ns0:row r="439" ht="28" customHeight="1">
      <ns0:c r="A439" s="29"/>
      <ns0:c r="B439" s="30"/>
      <ns0:c r="C439" s="28"/>
      <ns0:c r="D439" s="29"/>
      <ns0:c r="E439" s="31"/>
      <ns0:c r="F439" s="32"/>
      <ns0:c r="G439" s="29"/>
      <ns0:c r="H439" s="29"/>
      <ns0:c r="I439" s="29"/>
      <ns0:c r="J439" s="29"/>
      <ns0:c r="K439" s="29"/>
    </ns0:row>
    <ns0:row r="440" ht="28" customHeight="1">
      <ns0:c r="A440" s="29"/>
      <ns0:c r="B440" s="30"/>
      <ns0:c r="C440" s="28"/>
      <ns0:c r="D440" s="29"/>
      <ns0:c r="E440" s="31"/>
      <ns0:c r="F440" s="32"/>
      <ns0:c r="G440" s="29"/>
      <ns0:c r="H440" s="29"/>
      <ns0:c r="I440" s="29"/>
      <ns0:c r="J440" s="29"/>
      <ns0:c r="K440" s="29"/>
    </ns0:row>
    <ns0:row r="441" ht="28" customHeight="1">
      <ns0:c r="A441" s="29"/>
      <ns0:c r="B441" s="30"/>
      <ns0:c r="C441" s="28"/>
      <ns0:c r="D441" s="29"/>
      <ns0:c r="E441" s="31"/>
      <ns0:c r="F441" s="32"/>
      <ns0:c r="G441" s="29"/>
      <ns0:c r="H441" s="29"/>
      <ns0:c r="I441" s="29"/>
      <ns0:c r="J441" s="29"/>
      <ns0:c r="K441" s="29"/>
    </ns0:row>
    <ns0:row r="442" ht="28" customHeight="1">
      <ns0:c r="A442" s="29"/>
      <ns0:c r="B442" s="30"/>
      <ns0:c r="C442" s="28"/>
      <ns0:c r="D442" s="29"/>
      <ns0:c r="E442" s="31"/>
      <ns0:c r="F442" s="32"/>
      <ns0:c r="G442" s="29"/>
      <ns0:c r="H442" s="29"/>
      <ns0:c r="I442" s="29"/>
      <ns0:c r="J442" s="29"/>
      <ns0:c r="K442" s="29"/>
    </ns0:row>
    <ns0:row r="443" ht="28" customHeight="1">
      <ns0:c r="A443" s="29"/>
      <ns0:c r="B443" s="30"/>
      <ns0:c r="C443" s="28"/>
      <ns0:c r="D443" s="29"/>
      <ns0:c r="E443" s="31"/>
      <ns0:c r="F443" s="32"/>
      <ns0:c r="G443" s="29"/>
      <ns0:c r="H443" s="29"/>
      <ns0:c r="I443" s="29"/>
      <ns0:c r="J443" s="29"/>
      <ns0:c r="K443" s="29"/>
    </ns0:row>
    <ns0:row r="444" ht="28" customHeight="1">
      <ns0:c r="A444" s="29"/>
      <ns0:c r="B444" s="30"/>
      <ns0:c r="C444" s="28"/>
      <ns0:c r="D444" s="29"/>
      <ns0:c r="E444" s="31"/>
      <ns0:c r="F444" s="32"/>
      <ns0:c r="G444" s="29"/>
      <ns0:c r="H444" s="29"/>
      <ns0:c r="I444" s="29"/>
      <ns0:c r="J444" s="29"/>
      <ns0:c r="K444" s="29"/>
    </ns0:row>
    <ns0:row r="445" ht="28" customHeight="1">
      <ns0:c r="A445" s="29"/>
      <ns0:c r="B445" s="30"/>
      <ns0:c r="C445" s="28"/>
      <ns0:c r="D445" s="29"/>
      <ns0:c r="E445" s="31"/>
      <ns0:c r="F445" s="32"/>
      <ns0:c r="G445" s="29"/>
      <ns0:c r="H445" s="29"/>
      <ns0:c r="I445" s="29"/>
      <ns0:c r="J445" s="29"/>
      <ns0:c r="K445" s="29"/>
    </ns0:row>
    <ns0:row r="446" ht="28" customHeight="1">
      <ns0:c r="A446" s="29"/>
      <ns0:c r="B446" s="30"/>
      <ns0:c r="C446" s="28"/>
      <ns0:c r="D446" s="29"/>
      <ns0:c r="E446" s="31"/>
      <ns0:c r="F446" s="32"/>
      <ns0:c r="G446" s="29"/>
      <ns0:c r="H446" s="29"/>
      <ns0:c r="I446" s="29"/>
      <ns0:c r="J446" s="29"/>
      <ns0:c r="K446" s="29"/>
    </ns0:row>
    <ns0:row r="447" ht="28" customHeight="1">
      <ns0:c r="A447" s="29"/>
      <ns0:c r="B447" s="30"/>
      <ns0:c r="C447" s="28"/>
      <ns0:c r="D447" s="29"/>
      <ns0:c r="E447" s="31"/>
      <ns0:c r="F447" s="32"/>
      <ns0:c r="G447" s="29"/>
      <ns0:c r="H447" s="29"/>
      <ns0:c r="I447" s="29"/>
      <ns0:c r="J447" s="29"/>
      <ns0:c r="K447" s="29"/>
    </ns0:row>
    <ns0:row r="448" ht="28" customHeight="1">
      <ns0:c r="A448" s="29"/>
      <ns0:c r="B448" s="30"/>
      <ns0:c r="C448" s="28"/>
      <ns0:c r="D448" s="29"/>
      <ns0:c r="E448" s="31"/>
      <ns0:c r="F448" s="32"/>
      <ns0:c r="G448" s="29"/>
      <ns0:c r="H448" s="29"/>
      <ns0:c r="I448" s="29"/>
      <ns0:c r="J448" s="29"/>
      <ns0:c r="K448" s="29"/>
    </ns0:row>
    <ns0:row r="449" ht="28" customHeight="1">
      <ns0:c r="A449" s="29"/>
      <ns0:c r="B449" s="30"/>
      <ns0:c r="C449" s="28"/>
      <ns0:c r="D449" s="29"/>
      <ns0:c r="E449" s="31"/>
      <ns0:c r="F449" s="32"/>
      <ns0:c r="G449" s="29"/>
      <ns0:c r="H449" s="29"/>
      <ns0:c r="I449" s="29"/>
      <ns0:c r="J449" s="29"/>
      <ns0:c r="K449" s="29"/>
    </ns0:row>
    <ns0:row r="450" ht="28" customHeight="1">
      <ns0:c r="A450" s="29"/>
      <ns0:c r="B450" s="30"/>
      <ns0:c r="C450" s="28"/>
      <ns0:c r="D450" s="29"/>
      <ns0:c r="E450" s="31"/>
      <ns0:c r="F450" s="32"/>
      <ns0:c r="G450" s="29"/>
      <ns0:c r="H450" s="29"/>
      <ns0:c r="I450" s="29"/>
      <ns0:c r="J450" s="29"/>
      <ns0:c r="K450" s="29"/>
    </ns0:row>
    <ns0:row r="451" ht="28" customHeight="1">
      <ns0:c r="A451" s="29"/>
      <ns0:c r="B451" s="30"/>
      <ns0:c r="C451" s="28"/>
      <ns0:c r="D451" s="29"/>
      <ns0:c r="E451" s="31"/>
      <ns0:c r="F451" s="32"/>
      <ns0:c r="G451" s="29"/>
      <ns0:c r="H451" s="29"/>
      <ns0:c r="I451" s="29"/>
      <ns0:c r="J451" s="29"/>
      <ns0:c r="K451" s="29"/>
    </ns0:row>
    <ns0:row r="452" ht="28" customHeight="1">
      <ns0:c r="A452" s="29"/>
      <ns0:c r="B452" s="30"/>
      <ns0:c r="C452" s="28"/>
      <ns0:c r="D452" s="29"/>
      <ns0:c r="E452" s="31"/>
      <ns0:c r="F452" s="32"/>
      <ns0:c r="G452" s="29"/>
      <ns0:c r="H452" s="29"/>
      <ns0:c r="I452" s="29"/>
      <ns0:c r="J452" s="29"/>
      <ns0:c r="K452" s="29"/>
    </ns0:row>
    <ns0:row r="453" ht="28" customHeight="1">
      <ns0:c r="A453" s="29"/>
      <ns0:c r="B453" s="30"/>
      <ns0:c r="C453" s="28"/>
      <ns0:c r="D453" s="29"/>
      <ns0:c r="E453" s="31"/>
      <ns0:c r="F453" s="32"/>
      <ns0:c r="G453" s="29"/>
      <ns0:c r="H453" s="29"/>
      <ns0:c r="I453" s="29"/>
      <ns0:c r="J453" s="29"/>
      <ns0:c r="K453" s="29"/>
    </ns0:row>
    <ns0:row r="454" ht="28" customHeight="1">
      <ns0:c r="A454" s="29"/>
      <ns0:c r="B454" s="30"/>
      <ns0:c r="C454" s="28"/>
      <ns0:c r="D454" s="29"/>
      <ns0:c r="E454" s="31"/>
      <ns0:c r="F454" s="32"/>
      <ns0:c r="G454" s="29"/>
      <ns0:c r="H454" s="29"/>
      <ns0:c r="I454" s="29"/>
      <ns0:c r="J454" s="29"/>
      <ns0:c r="K454" s="29"/>
    </ns0:row>
    <ns0:row r="455" ht="28" customHeight="1">
      <ns0:c r="A455" s="29"/>
      <ns0:c r="B455" s="30"/>
      <ns0:c r="C455" s="28"/>
      <ns0:c r="D455" s="29"/>
      <ns0:c r="E455" s="31"/>
      <ns0:c r="F455" s="32"/>
      <ns0:c r="G455" s="29"/>
      <ns0:c r="H455" s="29"/>
      <ns0:c r="I455" s="29"/>
      <ns0:c r="J455" s="29"/>
      <ns0:c r="K455" s="29"/>
    </ns0:row>
    <ns0:row r="456" ht="28" customHeight="1">
      <ns0:c r="A456" s="29"/>
      <ns0:c r="B456" s="30"/>
      <ns0:c r="C456" s="28"/>
      <ns0:c r="D456" s="29"/>
      <ns0:c r="E456" s="31"/>
      <ns0:c r="F456" s="32"/>
      <ns0:c r="G456" s="29"/>
      <ns0:c r="H456" s="29"/>
      <ns0:c r="I456" s="29"/>
      <ns0:c r="J456" s="29"/>
      <ns0:c r="K456" s="29"/>
    </ns0:row>
    <ns0:row r="457" ht="28" customHeight="1">
      <ns0:c r="A457" s="29"/>
      <ns0:c r="B457" s="30"/>
      <ns0:c r="C457" s="28"/>
      <ns0:c r="D457" s="29"/>
      <ns0:c r="E457" s="31"/>
      <ns0:c r="F457" s="32"/>
      <ns0:c r="G457" s="29"/>
      <ns0:c r="H457" s="29"/>
      <ns0:c r="I457" s="29"/>
      <ns0:c r="J457" s="29"/>
      <ns0:c r="K457" s="29"/>
    </ns0:row>
    <ns0:row r="458" ht="28" customHeight="1">
      <ns0:c r="A458" s="29"/>
      <ns0:c r="B458" s="30"/>
      <ns0:c r="C458" s="28"/>
      <ns0:c r="D458" s="29"/>
      <ns0:c r="E458" s="31"/>
      <ns0:c r="F458" s="32"/>
      <ns0:c r="G458" s="29"/>
      <ns0:c r="H458" s="29"/>
      <ns0:c r="I458" s="29"/>
      <ns0:c r="J458" s="29"/>
      <ns0:c r="K458" s="29"/>
    </ns0:row>
    <ns0:row r="459" ht="28" customHeight="1">
      <ns0:c r="A459" s="29"/>
      <ns0:c r="B459" s="30"/>
      <ns0:c r="C459" s="28"/>
      <ns0:c r="D459" s="29"/>
      <ns0:c r="E459" s="31"/>
      <ns0:c r="F459" s="32"/>
      <ns0:c r="G459" s="29"/>
      <ns0:c r="H459" s="29"/>
      <ns0:c r="I459" s="29"/>
      <ns0:c r="J459" s="29"/>
      <ns0:c r="K459" s="29"/>
    </ns0:row>
    <ns0:row r="460" ht="28" customHeight="1">
      <ns0:c r="A460" s="29"/>
      <ns0:c r="B460" s="30"/>
      <ns0:c r="C460" s="28"/>
      <ns0:c r="D460" s="29"/>
      <ns0:c r="E460" s="31"/>
      <ns0:c r="F460" s="32"/>
      <ns0:c r="G460" s="29"/>
      <ns0:c r="H460" s="29"/>
      <ns0:c r="I460" s="29"/>
      <ns0:c r="J460" s="29"/>
      <ns0:c r="K460" s="29"/>
    </ns0:row>
    <ns0:row r="461" ht="28" customHeight="1">
      <ns0:c r="A461" s="29"/>
      <ns0:c r="B461" s="30"/>
      <ns0:c r="C461" s="28"/>
      <ns0:c r="D461" s="29"/>
      <ns0:c r="E461" s="31"/>
      <ns0:c r="F461" s="32"/>
      <ns0:c r="G461" s="29"/>
      <ns0:c r="H461" s="29"/>
      <ns0:c r="I461" s="29"/>
      <ns0:c r="J461" s="29"/>
      <ns0:c r="K461" s="29"/>
    </ns0:row>
    <ns0:row r="462" ht="28" customHeight="1">
      <ns0:c r="A462" s="29"/>
      <ns0:c r="B462" s="30"/>
      <ns0:c r="C462" s="28"/>
      <ns0:c r="D462" s="29"/>
      <ns0:c r="E462" s="31"/>
      <ns0:c r="F462" s="32"/>
      <ns0:c r="G462" s="29"/>
      <ns0:c r="H462" s="29"/>
      <ns0:c r="I462" s="29"/>
      <ns0:c r="J462" s="29"/>
      <ns0:c r="K462" s="29"/>
    </ns0:row>
    <ns0:row r="463" ht="28" customHeight="1">
      <ns0:c r="A463" s="29"/>
      <ns0:c r="B463" s="30"/>
      <ns0:c r="C463" s="28"/>
      <ns0:c r="D463" s="29"/>
      <ns0:c r="E463" s="31"/>
      <ns0:c r="F463" s="32"/>
      <ns0:c r="G463" s="29"/>
      <ns0:c r="H463" s="29"/>
      <ns0:c r="I463" s="29"/>
      <ns0:c r="J463" s="29"/>
      <ns0:c r="K463" s="29"/>
    </ns0:row>
    <ns0:row r="464" ht="28" customHeight="1">
      <ns0:c r="A464" s="29"/>
      <ns0:c r="B464" s="30"/>
      <ns0:c r="C464" s="28"/>
      <ns0:c r="D464" s="29"/>
      <ns0:c r="E464" s="31"/>
      <ns0:c r="F464" s="32"/>
      <ns0:c r="G464" s="29"/>
      <ns0:c r="H464" s="29"/>
      <ns0:c r="I464" s="29"/>
      <ns0:c r="J464" s="29"/>
      <ns0:c r="K464" s="29"/>
    </ns0:row>
    <ns0:row r="465" ht="28" customHeight="1">
      <ns0:c r="A465" s="29"/>
      <ns0:c r="B465" s="30"/>
      <ns0:c r="C465" s="28"/>
      <ns0:c r="D465" s="29"/>
      <ns0:c r="E465" s="31"/>
      <ns0:c r="F465" s="32"/>
      <ns0:c r="G465" s="29"/>
      <ns0:c r="H465" s="29"/>
      <ns0:c r="I465" s="29"/>
      <ns0:c r="J465" s="29"/>
      <ns0:c r="K465" s="29"/>
    </ns0:row>
    <ns0:row r="466" ht="28" customHeight="1">
      <ns0:c r="A466" s="29"/>
      <ns0:c r="B466" s="30"/>
      <ns0:c r="C466" s="28"/>
      <ns0:c r="D466" s="29"/>
      <ns0:c r="E466" s="31"/>
      <ns0:c r="F466" s="32"/>
      <ns0:c r="G466" s="29"/>
      <ns0:c r="H466" s="29"/>
      <ns0:c r="I466" s="29"/>
      <ns0:c r="J466" s="29"/>
      <ns0:c r="K466" s="29"/>
    </ns0:row>
    <ns0:row r="467" ht="28" customHeight="1">
      <ns0:c r="A467" s="29"/>
      <ns0:c r="B467" s="30"/>
      <ns0:c r="C467" s="28"/>
      <ns0:c r="D467" s="29"/>
      <ns0:c r="E467" s="31"/>
      <ns0:c r="F467" s="32"/>
      <ns0:c r="G467" s="29"/>
      <ns0:c r="H467" s="29"/>
      <ns0:c r="I467" s="29"/>
      <ns0:c r="J467" s="29"/>
      <ns0:c r="K467" s="29"/>
    </ns0:row>
    <ns0:row r="468" ht="28" customHeight="1">
      <ns0:c r="A468" s="29"/>
      <ns0:c r="B468" s="30"/>
      <ns0:c r="C468" s="28"/>
      <ns0:c r="D468" s="29"/>
      <ns0:c r="E468" s="31"/>
      <ns0:c r="F468" s="32"/>
      <ns0:c r="G468" s="29"/>
      <ns0:c r="H468" s="29"/>
      <ns0:c r="I468" s="29"/>
      <ns0:c r="J468" s="29"/>
      <ns0:c r="K468" s="29"/>
    </ns0:row>
    <ns0:row r="469" ht="28" customHeight="1">
      <ns0:c r="A469" s="29"/>
      <ns0:c r="B469" s="30"/>
      <ns0:c r="C469" s="28"/>
      <ns0:c r="D469" s="29"/>
      <ns0:c r="E469" s="31"/>
      <ns0:c r="F469" s="32"/>
      <ns0:c r="G469" s="29"/>
      <ns0:c r="H469" s="29"/>
      <ns0:c r="I469" s="29"/>
      <ns0:c r="J469" s="29"/>
      <ns0:c r="K469" s="29"/>
    </ns0:row>
    <ns0:row r="470" ht="28" customHeight="1">
      <ns0:c r="A470" s="29"/>
      <ns0:c r="B470" s="30"/>
      <ns0:c r="C470" s="28"/>
      <ns0:c r="D470" s="29"/>
      <ns0:c r="E470" s="31"/>
      <ns0:c r="F470" s="32"/>
      <ns0:c r="G470" s="29"/>
      <ns0:c r="H470" s="29"/>
      <ns0:c r="I470" s="29"/>
      <ns0:c r="J470" s="29"/>
      <ns0:c r="K470" s="29"/>
    </ns0:row>
    <ns0:row r="471" ht="28" customHeight="1">
      <ns0:c r="A471" s="29"/>
      <ns0:c r="B471" s="30"/>
      <ns0:c r="C471" s="28"/>
      <ns0:c r="D471" s="29"/>
      <ns0:c r="E471" s="31"/>
      <ns0:c r="F471" s="32"/>
      <ns0:c r="G471" s="29"/>
      <ns0:c r="H471" s="29"/>
      <ns0:c r="I471" s="29"/>
      <ns0:c r="J471" s="29"/>
      <ns0:c r="K471" s="29"/>
    </ns0:row>
    <ns0:row r="472" ht="28" customHeight="1">
      <ns0:c r="A472" s="29"/>
      <ns0:c r="B472" s="30"/>
      <ns0:c r="C472" s="28"/>
      <ns0:c r="D472" s="29"/>
      <ns0:c r="E472" s="31"/>
      <ns0:c r="F472" s="32"/>
      <ns0:c r="G472" s="29"/>
      <ns0:c r="H472" s="29"/>
      <ns0:c r="I472" s="29"/>
      <ns0:c r="J472" s="29"/>
      <ns0:c r="K472" s="29"/>
    </ns0:row>
    <ns0:row r="473" ht="28" customHeight="1">
      <ns0:c r="A473" s="29"/>
      <ns0:c r="B473" s="30"/>
      <ns0:c r="C473" s="28"/>
      <ns0:c r="D473" s="29"/>
      <ns0:c r="E473" s="31"/>
      <ns0:c r="F473" s="32"/>
      <ns0:c r="G473" s="29"/>
      <ns0:c r="H473" s="29"/>
      <ns0:c r="I473" s="29"/>
      <ns0:c r="J473" s="29"/>
      <ns0:c r="K473" s="29"/>
    </ns0:row>
    <ns0:row r="474" ht="28" customHeight="1">
      <ns0:c r="A474" s="29"/>
      <ns0:c r="B474" s="30"/>
      <ns0:c r="C474" s="28"/>
      <ns0:c r="D474" s="29"/>
      <ns0:c r="E474" s="31"/>
      <ns0:c r="F474" s="32"/>
      <ns0:c r="G474" s="29"/>
      <ns0:c r="H474" s="29"/>
      <ns0:c r="I474" s="29"/>
      <ns0:c r="J474" s="29"/>
      <ns0:c r="K474" s="29"/>
    </ns0:row>
    <ns0:row r="475" ht="28" customHeight="1">
      <ns0:c r="A475" s="29"/>
      <ns0:c r="B475" s="30"/>
      <ns0:c r="C475" s="28"/>
      <ns0:c r="D475" s="29"/>
      <ns0:c r="E475" s="31"/>
      <ns0:c r="F475" s="32"/>
      <ns0:c r="G475" s="29"/>
      <ns0:c r="H475" s="29"/>
      <ns0:c r="I475" s="29"/>
      <ns0:c r="J475" s="29"/>
      <ns0:c r="K475" s="29"/>
    </ns0:row>
    <ns0:row r="476" ht="28" customHeight="1">
      <ns0:c r="A476" s="29"/>
      <ns0:c r="B476" s="30"/>
      <ns0:c r="C476" s="28"/>
      <ns0:c r="D476" s="29"/>
      <ns0:c r="E476" s="31"/>
      <ns0:c r="F476" s="32"/>
      <ns0:c r="G476" s="29"/>
      <ns0:c r="H476" s="29"/>
      <ns0:c r="I476" s="29"/>
      <ns0:c r="J476" s="29"/>
      <ns0:c r="K476" s="29"/>
    </ns0:row>
    <ns0:row r="477" ht="28" customHeight="1">
      <ns0:c r="A477" s="29"/>
      <ns0:c r="B477" s="30"/>
      <ns0:c r="C477" s="28"/>
      <ns0:c r="D477" s="29"/>
      <ns0:c r="E477" s="31"/>
      <ns0:c r="F477" s="32"/>
      <ns0:c r="G477" s="29"/>
      <ns0:c r="H477" s="29"/>
      <ns0:c r="I477" s="29"/>
      <ns0:c r="J477" s="29"/>
      <ns0:c r="K477" s="29"/>
    </ns0:row>
    <ns0:row r="478" ht="28" customHeight="1">
      <ns0:c r="A478" s="29"/>
      <ns0:c r="B478" s="30"/>
      <ns0:c r="C478" s="28"/>
      <ns0:c r="D478" s="29"/>
      <ns0:c r="E478" s="31"/>
      <ns0:c r="F478" s="32"/>
      <ns0:c r="G478" s="29"/>
      <ns0:c r="H478" s="29"/>
      <ns0:c r="I478" s="29"/>
      <ns0:c r="J478" s="29"/>
      <ns0:c r="K478" s="29"/>
    </ns0:row>
    <ns0:row r="479" ht="28" customHeight="1">
      <ns0:c r="A479" s="29"/>
      <ns0:c r="B479" s="30"/>
      <ns0:c r="C479" s="28"/>
      <ns0:c r="D479" s="29"/>
      <ns0:c r="E479" s="31"/>
      <ns0:c r="F479" s="32"/>
      <ns0:c r="G479" s="29"/>
      <ns0:c r="H479" s="29"/>
      <ns0:c r="I479" s="29"/>
      <ns0:c r="J479" s="29"/>
      <ns0:c r="K479" s="29"/>
    </ns0:row>
    <ns0:row r="480" ht="28" customHeight="1">
      <ns0:c r="A480" s="29"/>
      <ns0:c r="B480" s="30"/>
      <ns0:c r="C480" s="28"/>
      <ns0:c r="D480" s="29"/>
      <ns0:c r="E480" s="31"/>
      <ns0:c r="F480" s="32"/>
      <ns0:c r="G480" s="29"/>
      <ns0:c r="H480" s="29"/>
      <ns0:c r="I480" s="29"/>
      <ns0:c r="J480" s="29"/>
      <ns0:c r="K480" s="29"/>
    </ns0:row>
    <ns0:row r="481" ht="28" customHeight="1">
      <ns0:c r="A481" s="29"/>
      <ns0:c r="B481" s="30"/>
      <ns0:c r="C481" s="28"/>
      <ns0:c r="D481" s="29"/>
      <ns0:c r="E481" s="31"/>
      <ns0:c r="F481" s="32"/>
      <ns0:c r="G481" s="29"/>
      <ns0:c r="H481" s="29"/>
      <ns0:c r="I481" s="29"/>
      <ns0:c r="J481" s="29"/>
      <ns0:c r="K481" s="29"/>
    </ns0:row>
    <ns0:row r="482" ht="28" customHeight="1">
      <ns0:c r="A482" s="29"/>
      <ns0:c r="B482" s="30"/>
      <ns0:c r="C482" s="28"/>
      <ns0:c r="D482" s="29"/>
      <ns0:c r="E482" s="31"/>
      <ns0:c r="F482" s="32"/>
      <ns0:c r="G482" s="29"/>
      <ns0:c r="H482" s="29"/>
      <ns0:c r="I482" s="29"/>
      <ns0:c r="J482" s="29"/>
      <ns0:c r="K482" s="29"/>
    </ns0:row>
    <ns0:row r="483" ht="28" customHeight="1">
      <ns0:c r="A483" s="29"/>
      <ns0:c r="B483" s="30"/>
      <ns0:c r="C483" s="28"/>
      <ns0:c r="D483" s="29"/>
      <ns0:c r="E483" s="31"/>
      <ns0:c r="F483" s="32"/>
      <ns0:c r="G483" s="29"/>
      <ns0:c r="H483" s="29"/>
      <ns0:c r="I483" s="29"/>
      <ns0:c r="J483" s="29"/>
      <ns0:c r="K483" s="29"/>
    </ns0:row>
    <ns0:row r="484" ht="28" customHeight="1">
      <ns0:c r="A484" s="29"/>
      <ns0:c r="B484" s="30"/>
      <ns0:c r="C484" s="28"/>
      <ns0:c r="D484" s="29"/>
      <ns0:c r="E484" s="31"/>
      <ns0:c r="F484" s="32"/>
      <ns0:c r="G484" s="29"/>
      <ns0:c r="H484" s="29"/>
      <ns0:c r="I484" s="29"/>
      <ns0:c r="J484" s="29"/>
      <ns0:c r="K484" s="29"/>
    </ns0:row>
    <ns0:row r="485" ht="28" customHeight="1">
      <ns0:c r="A485" s="29"/>
      <ns0:c r="B485" s="30"/>
      <ns0:c r="C485" s="28"/>
      <ns0:c r="D485" s="29"/>
      <ns0:c r="E485" s="31"/>
      <ns0:c r="F485" s="32"/>
      <ns0:c r="G485" s="29"/>
      <ns0:c r="H485" s="29"/>
      <ns0:c r="I485" s="29"/>
      <ns0:c r="J485" s="29"/>
      <ns0:c r="K485" s="29"/>
    </ns0:row>
    <ns0:row r="486" ht="28" customHeight="1">
      <ns0:c r="A486" s="29"/>
      <ns0:c r="B486" s="30"/>
      <ns0:c r="C486" s="28"/>
      <ns0:c r="D486" s="29"/>
      <ns0:c r="E486" s="31"/>
      <ns0:c r="F486" s="32"/>
      <ns0:c r="G486" s="29"/>
      <ns0:c r="H486" s="29"/>
      <ns0:c r="I486" s="29"/>
      <ns0:c r="J486" s="29"/>
      <ns0:c r="K486" s="29"/>
    </ns0:row>
    <ns0:row r="487" ht="28" customHeight="1">
      <ns0:c r="A487" s="29"/>
      <ns0:c r="B487" s="30"/>
      <ns0:c r="C487" s="28"/>
      <ns0:c r="D487" s="29"/>
      <ns0:c r="E487" s="31"/>
      <ns0:c r="F487" s="32"/>
      <ns0:c r="G487" s="29"/>
      <ns0:c r="H487" s="29"/>
      <ns0:c r="I487" s="29"/>
      <ns0:c r="J487" s="29"/>
      <ns0:c r="K487" s="29"/>
    </ns0:row>
    <ns0:row r="488" ht="28" customHeight="1">
      <ns0:c r="A488" s="29"/>
      <ns0:c r="B488" s="30"/>
      <ns0:c r="C488" s="28"/>
      <ns0:c r="D488" s="29"/>
      <ns0:c r="E488" s="31"/>
      <ns0:c r="F488" s="32"/>
      <ns0:c r="G488" s="29"/>
      <ns0:c r="H488" s="29"/>
      <ns0:c r="I488" s="29"/>
      <ns0:c r="J488" s="29"/>
      <ns0:c r="K488" s="29"/>
    </ns0:row>
    <ns0:row r="489" ht="28" customHeight="1">
      <ns0:c r="A489" s="29"/>
      <ns0:c r="B489" s="30"/>
      <ns0:c r="C489" s="28"/>
      <ns0:c r="D489" s="29"/>
      <ns0:c r="E489" s="31"/>
      <ns0:c r="F489" s="32"/>
      <ns0:c r="G489" s="29"/>
      <ns0:c r="H489" s="29"/>
      <ns0:c r="I489" s="29"/>
      <ns0:c r="J489" s="29"/>
      <ns0:c r="K489" s="29"/>
    </ns0:row>
    <ns0:row r="490" ht="28" customHeight="1">
      <ns0:c r="A490" s="29"/>
      <ns0:c r="B490" s="30"/>
      <ns0:c r="C490" s="28"/>
      <ns0:c r="D490" s="29"/>
      <ns0:c r="E490" s="31"/>
      <ns0:c r="F490" s="32"/>
      <ns0:c r="G490" s="29"/>
      <ns0:c r="H490" s="29"/>
      <ns0:c r="I490" s="29"/>
      <ns0:c r="J490" s="29"/>
      <ns0:c r="K490" s="29"/>
    </ns0:row>
    <ns0:row r="491" ht="28" customHeight="1">
      <ns0:c r="A491" s="29"/>
      <ns0:c r="B491" s="30"/>
      <ns0:c r="C491" s="28"/>
      <ns0:c r="D491" s="29"/>
      <ns0:c r="E491" s="31"/>
      <ns0:c r="F491" s="32"/>
      <ns0:c r="G491" s="29"/>
      <ns0:c r="H491" s="29"/>
      <ns0:c r="I491" s="29"/>
      <ns0:c r="J491" s="29"/>
      <ns0:c r="K491" s="29"/>
    </ns0:row>
    <ns0:row r="492" ht="28" customHeight="1">
      <ns0:c r="A492" s="29"/>
      <ns0:c r="B492" s="30"/>
      <ns0:c r="C492" s="28"/>
      <ns0:c r="D492" s="29"/>
      <ns0:c r="E492" s="31"/>
      <ns0:c r="F492" s="32"/>
      <ns0:c r="G492" s="29"/>
      <ns0:c r="H492" s="29"/>
      <ns0:c r="I492" s="29"/>
      <ns0:c r="J492" s="29"/>
      <ns0:c r="K492" s="29"/>
    </ns0:row>
    <ns0:row r="493" ht="28" customHeight="1">
      <ns0:c r="A493" s="29"/>
      <ns0:c r="B493" s="30"/>
      <ns0:c r="C493" s="28"/>
      <ns0:c r="D493" s="29"/>
      <ns0:c r="E493" s="31"/>
      <ns0:c r="F493" s="32"/>
      <ns0:c r="G493" s="29"/>
      <ns0:c r="H493" s="29"/>
      <ns0:c r="I493" s="29"/>
      <ns0:c r="J493" s="29"/>
      <ns0:c r="K493" s="29"/>
    </ns0:row>
    <ns0:row r="494" ht="28" customHeight="1">
      <ns0:c r="A494" s="29"/>
      <ns0:c r="B494" s="30"/>
      <ns0:c r="C494" s="28"/>
      <ns0:c r="D494" s="29"/>
      <ns0:c r="E494" s="31"/>
      <ns0:c r="F494" s="32"/>
      <ns0:c r="G494" s="29"/>
      <ns0:c r="H494" s="29"/>
      <ns0:c r="I494" s="29"/>
      <ns0:c r="J494" s="29"/>
      <ns0:c r="K494" s="29"/>
    </ns0:row>
    <ns0:row r="495" ht="28" customHeight="1">
      <ns0:c r="A495" s="29"/>
      <ns0:c r="B495" s="30"/>
      <ns0:c r="C495" s="28"/>
      <ns0:c r="D495" s="29"/>
      <ns0:c r="E495" s="31"/>
      <ns0:c r="F495" s="32"/>
      <ns0:c r="G495" s="29"/>
      <ns0:c r="H495" s="29"/>
      <ns0:c r="I495" s="29"/>
      <ns0:c r="J495" s="29"/>
      <ns0:c r="K495" s="29"/>
    </ns0:row>
    <ns0:row r="496" ht="28" customHeight="1">
      <ns0:c r="A496" s="29"/>
      <ns0:c r="B496" s="30"/>
      <ns0:c r="C496" s="28"/>
      <ns0:c r="D496" s="29"/>
      <ns0:c r="E496" s="31"/>
      <ns0:c r="F496" s="32"/>
      <ns0:c r="G496" s="29"/>
      <ns0:c r="H496" s="29"/>
      <ns0:c r="I496" s="29"/>
      <ns0:c r="J496" s="29"/>
      <ns0:c r="K496" s="29"/>
    </ns0:row>
    <ns0:row r="497" ht="28" customHeight="1">
      <ns0:c r="A497" s="29"/>
      <ns0:c r="B497" s="30"/>
      <ns0:c r="C497" s="28"/>
      <ns0:c r="D497" s="29"/>
      <ns0:c r="E497" s="31"/>
      <ns0:c r="F497" s="32"/>
      <ns0:c r="G497" s="29"/>
      <ns0:c r="H497" s="29"/>
      <ns0:c r="I497" s="29"/>
      <ns0:c r="J497" s="29"/>
      <ns0:c r="K497" s="29"/>
    </ns0:row>
    <ns0:row r="498" ht="28" customHeight="1">
      <ns0:c r="A498" s="29"/>
      <ns0:c r="B498" s="30"/>
      <ns0:c r="C498" s="28"/>
      <ns0:c r="D498" s="29"/>
      <ns0:c r="E498" s="31"/>
      <ns0:c r="F498" s="32"/>
      <ns0:c r="G498" s="29"/>
      <ns0:c r="H498" s="29"/>
      <ns0:c r="I498" s="29"/>
      <ns0:c r="J498" s="29"/>
      <ns0:c r="K498" s="29"/>
    </ns0:row>
    <ns0:row r="499" ht="28" customHeight="1">
      <ns0:c r="A499" s="29"/>
      <ns0:c r="B499" s="30"/>
      <ns0:c r="C499" s="28"/>
      <ns0:c r="D499" s="29"/>
      <ns0:c r="E499" s="31"/>
      <ns0:c r="F499" s="32"/>
      <ns0:c r="G499" s="29"/>
      <ns0:c r="H499" s="29"/>
      <ns0:c r="I499" s="29"/>
      <ns0:c r="J499" s="29"/>
      <ns0:c r="K499" s="29"/>
    </ns0:row>
    <ns0:row r="500" ht="28" customHeight="1">
      <ns0:c r="A500" s="29"/>
      <ns0:c r="B500" s="30"/>
      <ns0:c r="C500" s="28"/>
      <ns0:c r="D500" s="29"/>
      <ns0:c r="E500" s="31"/>
      <ns0:c r="F500" s="32"/>
      <ns0:c r="G500" s="29"/>
      <ns0:c r="H500" s="29"/>
      <ns0:c r="I500" s="29"/>
      <ns0:c r="J500" s="29"/>
      <ns0:c r="K500" s="29"/>
    </ns0:row>
    <ns0:row r="501" ht="28" customHeight="1">
      <ns0:c r="A501" s="29"/>
      <ns0:c r="B501" s="30"/>
      <ns0:c r="C501" s="28"/>
      <ns0:c r="D501" s="29"/>
      <ns0:c r="E501" s="31"/>
      <ns0:c r="F501" s="32"/>
      <ns0:c r="G501" s="29"/>
      <ns0:c r="H501" s="29"/>
      <ns0:c r="I501" s="29"/>
      <ns0:c r="J501" s="29"/>
      <ns0:c r="K501" s="29"/>
    </ns0:row>
    <ns0:row r="502" ht="28" customHeight="1">
      <ns0:c r="A502" s="29"/>
      <ns0:c r="B502" s="30"/>
      <ns0:c r="C502" s="28"/>
      <ns0:c r="D502" s="29"/>
      <ns0:c r="E502" s="31"/>
      <ns0:c r="F502" s="32"/>
      <ns0:c r="G502" s="29"/>
      <ns0:c r="H502" s="29"/>
      <ns0:c r="I502" s="29"/>
      <ns0:c r="J502" s="29"/>
      <ns0:c r="K502" s="29"/>
    </ns0:row>
    <ns0:row r="503" ht="28" customHeight="1">
      <ns0:c r="A503" s="29"/>
      <ns0:c r="B503" s="30"/>
      <ns0:c r="C503" s="28"/>
      <ns0:c r="D503" s="29"/>
      <ns0:c r="E503" s="31"/>
      <ns0:c r="F503" s="32"/>
      <ns0:c r="G503" s="29"/>
      <ns0:c r="H503" s="29"/>
      <ns0:c r="I503" s="29"/>
      <ns0:c r="J503" s="29"/>
      <ns0:c r="K503" s="29"/>
    </ns0:row>
    <ns0:row r="504" ht="28" customHeight="1">
      <ns0:c r="A504" s="29"/>
      <ns0:c r="B504" s="30"/>
      <ns0:c r="C504" s="28"/>
      <ns0:c r="D504" s="29"/>
      <ns0:c r="E504" s="31"/>
      <ns0:c r="F504" s="32"/>
      <ns0:c r="G504" s="29"/>
      <ns0:c r="H504" s="29"/>
      <ns0:c r="I504" s="29"/>
      <ns0:c r="J504" s="29"/>
      <ns0:c r="K504" s="29"/>
    </ns0:row>
    <ns0:row r="505" ht="28" customHeight="1">
      <ns0:c r="A505" s="29"/>
      <ns0:c r="B505" s="30"/>
      <ns0:c r="C505" s="28"/>
      <ns0:c r="D505" s="29"/>
      <ns0:c r="E505" s="31"/>
      <ns0:c r="F505" s="32"/>
      <ns0:c r="G505" s="29"/>
      <ns0:c r="H505" s="29"/>
      <ns0:c r="I505" s="29"/>
      <ns0:c r="J505" s="29"/>
      <ns0:c r="K505" s="29"/>
    </ns0:row>
    <ns0:row r="506" ht="28" customHeight="1">
      <ns0:c r="A506" s="29"/>
      <ns0:c r="B506" s="30"/>
      <ns0:c r="C506" s="28"/>
      <ns0:c r="D506" s="29"/>
      <ns0:c r="E506" s="31"/>
      <ns0:c r="F506" s="32"/>
      <ns0:c r="G506" s="29"/>
      <ns0:c r="H506" s="29"/>
      <ns0:c r="I506" s="29"/>
      <ns0:c r="J506" s="29"/>
      <ns0:c r="K506" s="29"/>
    </ns0:row>
    <ns0:row r="507" ht="28" customHeight="1">
      <ns0:c r="A507" s="29"/>
      <ns0:c r="B507" s="30"/>
      <ns0:c r="C507" s="28"/>
      <ns0:c r="D507" s="29"/>
      <ns0:c r="E507" s="31"/>
      <ns0:c r="F507" s="32"/>
      <ns0:c r="G507" s="29"/>
      <ns0:c r="H507" s="29"/>
      <ns0:c r="I507" s="29"/>
      <ns0:c r="J507" s="29"/>
      <ns0:c r="K507" s="29"/>
    </ns0:row>
    <ns0:row r="508" ht="28" customHeight="1">
      <ns0:c r="A508" s="29"/>
      <ns0:c r="B508" s="30"/>
      <ns0:c r="C508" s="28"/>
      <ns0:c r="D508" s="29"/>
      <ns0:c r="E508" s="31"/>
      <ns0:c r="F508" s="32"/>
      <ns0:c r="G508" s="29"/>
      <ns0:c r="H508" s="29"/>
      <ns0:c r="I508" s="29"/>
      <ns0:c r="J508" s="29"/>
      <ns0:c r="K508" s="29"/>
    </ns0:row>
    <ns0:row r="509" ht="28" customHeight="1">
      <ns0:c r="A509" s="29"/>
      <ns0:c r="B509" s="30"/>
      <ns0:c r="C509" s="28"/>
      <ns0:c r="D509" s="29"/>
      <ns0:c r="E509" s="31"/>
      <ns0:c r="F509" s="32"/>
      <ns0:c r="G509" s="29"/>
      <ns0:c r="H509" s="29"/>
      <ns0:c r="I509" s="29"/>
      <ns0:c r="J509" s="29"/>
      <ns0:c r="K509" s="29"/>
    </ns0:row>
    <ns0:row r="510" ht="28" customHeight="1">
      <ns0:c r="A510" s="29"/>
      <ns0:c r="B510" s="30"/>
      <ns0:c r="C510" s="28"/>
      <ns0:c r="D510" s="29"/>
      <ns0:c r="E510" s="31"/>
      <ns0:c r="F510" s="32"/>
      <ns0:c r="G510" s="29"/>
      <ns0:c r="H510" s="29"/>
      <ns0:c r="I510" s="29"/>
      <ns0:c r="J510" s="29"/>
      <ns0:c r="K510" s="29"/>
    </ns0:row>
    <ns0:row r="511" ht="28" customHeight="1">
      <ns0:c r="A511" s="29"/>
      <ns0:c r="B511" s="30"/>
      <ns0:c r="C511" s="28"/>
      <ns0:c r="D511" s="29"/>
      <ns0:c r="E511" s="31"/>
      <ns0:c r="F511" s="32"/>
      <ns0:c r="G511" s="29"/>
      <ns0:c r="H511" s="29"/>
      <ns0:c r="I511" s="29"/>
      <ns0:c r="J511" s="29"/>
      <ns0:c r="K511" s="29"/>
    </ns0:row>
    <ns0:row r="512" ht="28" customHeight="1">
      <ns0:c r="A512" s="29"/>
      <ns0:c r="B512" s="30"/>
      <ns0:c r="C512" s="28"/>
      <ns0:c r="D512" s="29"/>
      <ns0:c r="E512" s="31"/>
      <ns0:c r="F512" s="32"/>
      <ns0:c r="G512" s="29"/>
      <ns0:c r="H512" s="29"/>
      <ns0:c r="I512" s="29"/>
      <ns0:c r="J512" s="29"/>
      <ns0:c r="K512" s="29"/>
    </ns0:row>
    <ns0:row r="513" ht="28" customHeight="1">
      <ns0:c r="A513" s="29"/>
      <ns0:c r="B513" s="30"/>
      <ns0:c r="C513" s="28"/>
      <ns0:c r="D513" s="29"/>
      <ns0:c r="E513" s="31"/>
      <ns0:c r="F513" s="32"/>
      <ns0:c r="G513" s="29"/>
      <ns0:c r="H513" s="29"/>
      <ns0:c r="I513" s="29"/>
      <ns0:c r="J513" s="29"/>
      <ns0:c r="K513" s="29"/>
    </ns0:row>
    <ns0:row r="514" ht="28" customHeight="1">
      <ns0:c r="A514" s="29"/>
      <ns0:c r="B514" s="30"/>
      <ns0:c r="C514" s="28"/>
      <ns0:c r="D514" s="29"/>
      <ns0:c r="E514" s="31"/>
      <ns0:c r="F514" s="32"/>
      <ns0:c r="G514" s="29"/>
      <ns0:c r="H514" s="29"/>
      <ns0:c r="I514" s="29"/>
      <ns0:c r="J514" s="29"/>
      <ns0:c r="K514" s="29"/>
    </ns0:row>
    <ns0:row r="515" ht="28" customHeight="1">
      <ns0:c r="A515" s="29"/>
      <ns0:c r="B515" s="30"/>
      <ns0:c r="C515" s="28"/>
      <ns0:c r="D515" s="29"/>
      <ns0:c r="E515" s="31"/>
      <ns0:c r="F515" s="32"/>
      <ns0:c r="G515" s="29"/>
      <ns0:c r="H515" s="29"/>
      <ns0:c r="I515" s="29"/>
      <ns0:c r="J515" s="29"/>
      <ns0:c r="K515" s="29"/>
    </ns0:row>
    <ns0:row r="516" ht="28" customHeight="1">
      <ns0:c r="A516" s="29"/>
      <ns0:c r="B516" s="30"/>
      <ns0:c r="C516" s="28"/>
      <ns0:c r="D516" s="29"/>
      <ns0:c r="E516" s="31"/>
      <ns0:c r="F516" s="32"/>
      <ns0:c r="G516" s="29"/>
      <ns0:c r="H516" s="29"/>
      <ns0:c r="I516" s="29"/>
      <ns0:c r="J516" s="29"/>
      <ns0:c r="K516" s="29"/>
    </ns0:row>
    <ns0:row r="517" ht="28" customHeight="1">
      <ns0:c r="A517" s="29"/>
      <ns0:c r="B517" s="30"/>
      <ns0:c r="C517" s="28"/>
      <ns0:c r="D517" s="29"/>
      <ns0:c r="E517" s="31"/>
      <ns0:c r="F517" s="32"/>
      <ns0:c r="G517" s="29"/>
      <ns0:c r="H517" s="29"/>
      <ns0:c r="I517" s="29"/>
      <ns0:c r="J517" s="29"/>
      <ns0:c r="K517" s="29"/>
    </ns0:row>
    <ns0:row r="518" ht="28" customHeight="1">
      <ns0:c r="A518" s="29"/>
      <ns0:c r="B518" s="30"/>
      <ns0:c r="C518" s="28"/>
      <ns0:c r="D518" s="29"/>
      <ns0:c r="E518" s="31"/>
      <ns0:c r="F518" s="32"/>
      <ns0:c r="G518" s="29"/>
      <ns0:c r="H518" s="29"/>
      <ns0:c r="I518" s="29"/>
      <ns0:c r="J518" s="29"/>
      <ns0:c r="K518" s="29"/>
    </ns0:row>
    <ns0:row r="519" ht="28" customHeight="1">
      <ns0:c r="A519" s="29"/>
      <ns0:c r="B519" s="30"/>
      <ns0:c r="C519" s="28"/>
      <ns0:c r="D519" s="29"/>
      <ns0:c r="E519" s="31"/>
      <ns0:c r="F519" s="32"/>
      <ns0:c r="G519" s="29"/>
      <ns0:c r="H519" s="29"/>
      <ns0:c r="I519" s="29"/>
      <ns0:c r="J519" s="29"/>
      <ns0:c r="K519" s="29"/>
    </ns0:row>
    <ns0:row r="520" ht="28" customHeight="1">
      <ns0:c r="A520" s="29"/>
      <ns0:c r="B520" s="30"/>
      <ns0:c r="C520" s="28"/>
      <ns0:c r="D520" s="29"/>
      <ns0:c r="E520" s="31"/>
      <ns0:c r="F520" s="32"/>
      <ns0:c r="G520" s="29"/>
      <ns0:c r="H520" s="29"/>
      <ns0:c r="I520" s="29"/>
      <ns0:c r="J520" s="29"/>
      <ns0:c r="K520" s="29"/>
    </ns0:row>
    <ns0:row r="521" ht="28" customHeight="1">
      <ns0:c r="A521" s="29"/>
      <ns0:c r="B521" s="30"/>
      <ns0:c r="C521" s="28"/>
      <ns0:c r="D521" s="29"/>
      <ns0:c r="E521" s="31"/>
      <ns0:c r="F521" s="32"/>
      <ns0:c r="G521" s="29"/>
      <ns0:c r="H521" s="29"/>
      <ns0:c r="I521" s="29"/>
      <ns0:c r="J521" s="29"/>
      <ns0:c r="K521" s="29"/>
    </ns0:row>
    <ns0:row r="522" ht="28" customHeight="1">
      <ns0:c r="A522" s="29"/>
      <ns0:c r="B522" s="30"/>
      <ns0:c r="C522" s="28"/>
      <ns0:c r="D522" s="29"/>
      <ns0:c r="E522" s="31"/>
      <ns0:c r="F522" s="32"/>
      <ns0:c r="G522" s="29"/>
      <ns0:c r="H522" s="29"/>
      <ns0:c r="I522" s="29"/>
      <ns0:c r="J522" s="29"/>
      <ns0:c r="K522" s="29"/>
    </ns0:row>
    <ns0:row r="523" ht="28" customHeight="1">
      <ns0:c r="A523" s="29"/>
      <ns0:c r="B523" s="30"/>
      <ns0:c r="C523" s="28"/>
      <ns0:c r="D523" s="29"/>
      <ns0:c r="E523" s="31"/>
      <ns0:c r="F523" s="32"/>
      <ns0:c r="G523" s="29"/>
      <ns0:c r="H523" s="29"/>
      <ns0:c r="I523" s="29"/>
      <ns0:c r="J523" s="29"/>
      <ns0:c r="K523" s="29"/>
    </ns0:row>
    <ns0:row r="524" ht="28" customHeight="1">
      <ns0:c r="A524" s="29"/>
      <ns0:c r="B524" s="30"/>
      <ns0:c r="C524" s="28"/>
      <ns0:c r="D524" s="29"/>
      <ns0:c r="E524" s="31"/>
      <ns0:c r="F524" s="32"/>
      <ns0:c r="G524" s="29"/>
      <ns0:c r="H524" s="29"/>
      <ns0:c r="I524" s="29"/>
      <ns0:c r="J524" s="29"/>
      <ns0:c r="K524" s="29"/>
    </ns0:row>
    <ns0:row r="525" ht="28" customHeight="1">
      <ns0:c r="A525" s="29"/>
      <ns0:c r="B525" s="30"/>
      <ns0:c r="C525" s="28"/>
      <ns0:c r="D525" s="29"/>
      <ns0:c r="E525" s="31"/>
      <ns0:c r="F525" s="32"/>
      <ns0:c r="G525" s="29"/>
      <ns0:c r="H525" s="29"/>
      <ns0:c r="I525" s="29"/>
      <ns0:c r="J525" s="29"/>
      <ns0:c r="K525" s="29"/>
    </ns0:row>
    <ns0:row r="526" ht="28" customHeight="1">
      <ns0:c r="A526" s="29"/>
      <ns0:c r="B526" s="30"/>
      <ns0:c r="C526" s="28"/>
      <ns0:c r="D526" s="29"/>
      <ns0:c r="E526" s="31"/>
      <ns0:c r="F526" s="32"/>
      <ns0:c r="G526" s="29"/>
      <ns0:c r="H526" s="29"/>
      <ns0:c r="I526" s="29"/>
      <ns0:c r="J526" s="29"/>
      <ns0:c r="K526" s="29"/>
    </ns0:row>
    <ns0:row r="527" ht="28" customHeight="1">
      <ns0:c r="A527" s="29"/>
      <ns0:c r="B527" s="30"/>
      <ns0:c r="C527" s="28"/>
      <ns0:c r="D527" s="29"/>
      <ns0:c r="E527" s="31"/>
      <ns0:c r="F527" s="32"/>
      <ns0:c r="G527" s="29"/>
      <ns0:c r="H527" s="29"/>
      <ns0:c r="I527" s="29"/>
      <ns0:c r="J527" s="29"/>
      <ns0:c r="K527" s="29"/>
    </ns0:row>
    <ns0:row r="528" ht="28" customHeight="1">
      <ns0:c r="A528" s="29"/>
      <ns0:c r="B528" s="30"/>
      <ns0:c r="C528" s="28"/>
      <ns0:c r="D528" s="29"/>
      <ns0:c r="E528" s="31"/>
      <ns0:c r="F528" s="32"/>
      <ns0:c r="G528" s="29"/>
      <ns0:c r="H528" s="29"/>
      <ns0:c r="I528" s="29"/>
      <ns0:c r="J528" s="29"/>
      <ns0:c r="K528" s="29"/>
    </ns0:row>
    <ns0:row r="529" ht="28" customHeight="1">
      <ns0:c r="A529" s="29"/>
      <ns0:c r="B529" s="30"/>
      <ns0:c r="C529" s="28"/>
      <ns0:c r="D529" s="29"/>
      <ns0:c r="E529" s="31"/>
      <ns0:c r="F529" s="32"/>
      <ns0:c r="G529" s="29"/>
      <ns0:c r="H529" s="29"/>
      <ns0:c r="I529" s="29"/>
      <ns0:c r="J529" s="29"/>
      <ns0:c r="K529" s="29"/>
    </ns0:row>
    <ns0:row r="530" ht="28" customHeight="1">
      <ns0:c r="A530" s="29"/>
      <ns0:c r="B530" s="30"/>
      <ns0:c r="C530" s="28"/>
      <ns0:c r="D530" s="29"/>
      <ns0:c r="E530" s="31"/>
      <ns0:c r="F530" s="32"/>
      <ns0:c r="G530" s="29"/>
      <ns0:c r="H530" s="29"/>
      <ns0:c r="I530" s="29"/>
      <ns0:c r="J530" s="29"/>
      <ns0:c r="K530" s="29"/>
    </ns0:row>
    <ns0:row r="531" ht="28" customHeight="1">
      <ns0:c r="A531" s="29"/>
      <ns0:c r="B531" s="30"/>
      <ns0:c r="C531" s="28"/>
      <ns0:c r="D531" s="29"/>
      <ns0:c r="E531" s="31"/>
      <ns0:c r="F531" s="32"/>
      <ns0:c r="G531" s="29"/>
      <ns0:c r="H531" s="29"/>
      <ns0:c r="I531" s="29"/>
      <ns0:c r="J531" s="29"/>
      <ns0:c r="K531" s="29"/>
    </ns0:row>
    <ns0:row r="532" ht="28" customHeight="1">
      <ns0:c r="A532" s="29"/>
      <ns0:c r="B532" s="30"/>
      <ns0:c r="C532" s="28"/>
      <ns0:c r="D532" s="29"/>
      <ns0:c r="E532" s="31"/>
      <ns0:c r="F532" s="32"/>
      <ns0:c r="G532" s="29"/>
      <ns0:c r="H532" s="29"/>
      <ns0:c r="I532" s="29"/>
      <ns0:c r="J532" s="29"/>
      <ns0:c r="K532" s="29"/>
    </ns0:row>
    <ns0:row r="533" ht="28" customHeight="1">
      <ns0:c r="A533" s="29"/>
      <ns0:c r="B533" s="30"/>
      <ns0:c r="C533" s="28"/>
      <ns0:c r="D533" s="29"/>
      <ns0:c r="E533" s="31"/>
      <ns0:c r="F533" s="32"/>
      <ns0:c r="G533" s="29"/>
      <ns0:c r="H533" s="29"/>
      <ns0:c r="I533" s="29"/>
      <ns0:c r="J533" s="29"/>
      <ns0:c r="K533" s="29"/>
    </ns0:row>
    <ns0:row r="534" ht="28" customHeight="1">
      <ns0:c r="A534" s="29"/>
      <ns0:c r="B534" s="30"/>
      <ns0:c r="C534" s="28"/>
      <ns0:c r="D534" s="29"/>
      <ns0:c r="E534" s="31"/>
      <ns0:c r="F534" s="32"/>
      <ns0:c r="G534" s="29"/>
      <ns0:c r="H534" s="29"/>
      <ns0:c r="I534" s="29"/>
      <ns0:c r="J534" s="29"/>
      <ns0:c r="K534" s="29"/>
    </ns0:row>
    <ns0:row r="535" ht="28" customHeight="1">
      <ns0:c r="A535" s="29"/>
      <ns0:c r="B535" s="30"/>
      <ns0:c r="C535" s="28"/>
      <ns0:c r="D535" s="29"/>
      <ns0:c r="E535" s="31"/>
      <ns0:c r="F535" s="32"/>
      <ns0:c r="G535" s="29"/>
      <ns0:c r="H535" s="29"/>
      <ns0:c r="I535" s="29"/>
      <ns0:c r="J535" s="29"/>
      <ns0:c r="K535" s="29"/>
    </ns0:row>
    <ns0:row r="536" ht="28" customHeight="1">
      <ns0:c r="A536" s="29"/>
      <ns0:c r="B536" s="30"/>
      <ns0:c r="C536" s="28"/>
      <ns0:c r="D536" s="29"/>
      <ns0:c r="E536" s="31"/>
      <ns0:c r="F536" s="32"/>
      <ns0:c r="G536" s="29"/>
      <ns0:c r="H536" s="29"/>
      <ns0:c r="I536" s="29"/>
      <ns0:c r="J536" s="29"/>
      <ns0:c r="K536" s="29"/>
    </ns0:row>
    <ns0:row r="537" ht="28" customHeight="1">
      <ns0:c r="A537" s="29"/>
      <ns0:c r="B537" s="30"/>
      <ns0:c r="C537" s="28"/>
      <ns0:c r="D537" s="29"/>
      <ns0:c r="E537" s="31"/>
      <ns0:c r="F537" s="32"/>
      <ns0:c r="G537" s="29"/>
      <ns0:c r="H537" s="29"/>
      <ns0:c r="I537" s="29"/>
      <ns0:c r="J537" s="29"/>
      <ns0:c r="K537" s="29"/>
    </ns0:row>
    <ns0:row r="538" ht="28" customHeight="1">
      <ns0:c r="A538" s="29"/>
      <ns0:c r="B538" s="30"/>
      <ns0:c r="C538" s="28"/>
      <ns0:c r="D538" s="29"/>
      <ns0:c r="E538" s="31"/>
      <ns0:c r="F538" s="32"/>
      <ns0:c r="G538" s="29"/>
      <ns0:c r="H538" s="29"/>
      <ns0:c r="I538" s="29"/>
      <ns0:c r="J538" s="29"/>
      <ns0:c r="K538" s="29"/>
    </ns0:row>
    <ns0:row r="539" ht="28" customHeight="1">
      <ns0:c r="A539" s="29"/>
      <ns0:c r="B539" s="30"/>
      <ns0:c r="C539" s="28"/>
      <ns0:c r="D539" s="29"/>
      <ns0:c r="E539" s="31"/>
      <ns0:c r="F539" s="32"/>
      <ns0:c r="G539" s="29"/>
      <ns0:c r="H539" s="29"/>
      <ns0:c r="I539" s="29"/>
      <ns0:c r="J539" s="29"/>
      <ns0:c r="K539" s="29"/>
    </ns0:row>
    <ns0:row r="540" ht="28" customHeight="1">
      <ns0:c r="A540" s="29"/>
      <ns0:c r="B540" s="30"/>
      <ns0:c r="C540" s="28"/>
      <ns0:c r="D540" s="29"/>
      <ns0:c r="E540" s="31"/>
      <ns0:c r="F540" s="32"/>
      <ns0:c r="G540" s="29"/>
      <ns0:c r="H540" s="29"/>
      <ns0:c r="I540" s="29"/>
      <ns0:c r="J540" s="29"/>
      <ns0:c r="K540" s="29"/>
    </ns0:row>
    <ns0:row r="541" ht="28" customHeight="1">
      <ns0:c r="A541" s="29"/>
      <ns0:c r="B541" s="30"/>
      <ns0:c r="C541" s="28"/>
      <ns0:c r="D541" s="29"/>
      <ns0:c r="E541" s="31"/>
      <ns0:c r="F541" s="32"/>
      <ns0:c r="G541" s="29"/>
      <ns0:c r="H541" s="29"/>
      <ns0:c r="I541" s="29"/>
      <ns0:c r="J541" s="29"/>
      <ns0:c r="K541" s="29"/>
    </ns0:row>
    <ns0:row r="542" ht="28" customHeight="1">
      <ns0:c r="A542" s="29"/>
      <ns0:c r="B542" s="30"/>
      <ns0:c r="C542" s="28"/>
      <ns0:c r="D542" s="29"/>
      <ns0:c r="E542" s="31"/>
      <ns0:c r="F542" s="32"/>
      <ns0:c r="G542" s="29"/>
      <ns0:c r="H542" s="29"/>
      <ns0:c r="I542" s="29"/>
      <ns0:c r="J542" s="29"/>
      <ns0:c r="K542" s="29"/>
    </ns0:row>
    <ns0:row r="543" ht="28" customHeight="1">
      <ns0:c r="A543" s="29"/>
      <ns0:c r="B543" s="30"/>
      <ns0:c r="C543" s="28"/>
      <ns0:c r="D543" s="29"/>
      <ns0:c r="E543" s="31"/>
      <ns0:c r="F543" s="32"/>
      <ns0:c r="G543" s="29"/>
      <ns0:c r="H543" s="29"/>
      <ns0:c r="I543" s="29"/>
      <ns0:c r="J543" s="29"/>
      <ns0:c r="K543" s="29"/>
    </ns0:row>
    <ns0:row r="544" ht="28" customHeight="1">
      <ns0:c r="A544" s="29"/>
      <ns0:c r="B544" s="30"/>
      <ns0:c r="C544" s="28"/>
      <ns0:c r="D544" s="29"/>
      <ns0:c r="E544" s="31"/>
      <ns0:c r="F544" s="32"/>
      <ns0:c r="G544" s="29"/>
      <ns0:c r="H544" s="29"/>
      <ns0:c r="I544" s="29"/>
      <ns0:c r="J544" s="29"/>
      <ns0:c r="K544" s="29"/>
    </ns0:row>
    <ns0:row r="545" ht="28" customHeight="1">
      <ns0:c r="A545" s="29"/>
      <ns0:c r="B545" s="30"/>
      <ns0:c r="C545" s="28"/>
      <ns0:c r="D545" s="29"/>
      <ns0:c r="E545" s="31"/>
      <ns0:c r="F545" s="32"/>
      <ns0:c r="G545" s="29"/>
      <ns0:c r="H545" s="29"/>
      <ns0:c r="I545" s="29"/>
      <ns0:c r="J545" s="29"/>
      <ns0:c r="K545" s="29"/>
    </ns0:row>
    <ns0:row r="546" ht="28" customHeight="1">
      <ns0:c r="A546" s="29"/>
      <ns0:c r="B546" s="30"/>
      <ns0:c r="C546" s="28"/>
      <ns0:c r="D546" s="29"/>
      <ns0:c r="E546" s="31"/>
      <ns0:c r="F546" s="32"/>
      <ns0:c r="G546" s="29"/>
      <ns0:c r="H546" s="29"/>
      <ns0:c r="I546" s="29"/>
      <ns0:c r="J546" s="29"/>
      <ns0:c r="K546" s="29"/>
    </ns0:row>
    <ns0:row r="547" ht="28" customHeight="1">
      <ns0:c r="A547" s="29"/>
      <ns0:c r="B547" s="30"/>
      <ns0:c r="C547" s="28"/>
      <ns0:c r="D547" s="29"/>
      <ns0:c r="E547" s="31"/>
      <ns0:c r="F547" s="32"/>
      <ns0:c r="G547" s="29"/>
      <ns0:c r="H547" s="29"/>
      <ns0:c r="I547" s="29"/>
      <ns0:c r="J547" s="29"/>
      <ns0:c r="K547" s="29"/>
    </ns0:row>
    <ns0:row r="548" ht="28" customHeight="1">
      <ns0:c r="A548" s="29"/>
      <ns0:c r="B548" s="30"/>
      <ns0:c r="C548" s="28"/>
      <ns0:c r="D548" s="29"/>
      <ns0:c r="E548" s="31"/>
      <ns0:c r="F548" s="32"/>
      <ns0:c r="G548" s="29"/>
      <ns0:c r="H548" s="29"/>
      <ns0:c r="I548" s="29"/>
      <ns0:c r="J548" s="29"/>
      <ns0:c r="K548" s="29"/>
    </ns0:row>
    <ns0:row r="549" ht="28" customHeight="1">
      <ns0:c r="A549" s="29"/>
      <ns0:c r="B549" s="30"/>
      <ns0:c r="C549" s="28"/>
      <ns0:c r="D549" s="29"/>
      <ns0:c r="E549" s="31"/>
      <ns0:c r="F549" s="32"/>
      <ns0:c r="G549" s="29"/>
      <ns0:c r="H549" s="29"/>
      <ns0:c r="I549" s="29"/>
      <ns0:c r="J549" s="29"/>
      <ns0:c r="K549" s="29"/>
    </ns0:row>
    <ns0:row r="550" ht="28" customHeight="1">
      <ns0:c r="A550" s="29"/>
      <ns0:c r="B550" s="30"/>
      <ns0:c r="C550" s="28"/>
      <ns0:c r="D550" s="29"/>
      <ns0:c r="E550" s="31"/>
      <ns0:c r="F550" s="32"/>
      <ns0:c r="G550" s="29"/>
      <ns0:c r="H550" s="29"/>
      <ns0:c r="I550" s="29"/>
      <ns0:c r="J550" s="29"/>
      <ns0:c r="K550" s="29"/>
    </ns0:row>
    <ns0:row r="551" ht="28" customHeight="1">
      <ns0:c r="A551" s="29"/>
      <ns0:c r="B551" s="30"/>
      <ns0:c r="C551" s="28"/>
      <ns0:c r="D551" s="29"/>
      <ns0:c r="E551" s="31"/>
      <ns0:c r="F551" s="32"/>
      <ns0:c r="G551" s="29"/>
      <ns0:c r="H551" s="29"/>
      <ns0:c r="I551" s="29"/>
      <ns0:c r="J551" s="29"/>
      <ns0:c r="K551" s="29"/>
    </ns0:row>
    <ns0:row r="552" ht="28" customHeight="1">
      <ns0:c r="A552" s="29"/>
      <ns0:c r="B552" s="30"/>
      <ns0:c r="C552" s="28"/>
      <ns0:c r="D552" s="29"/>
      <ns0:c r="E552" s="31"/>
      <ns0:c r="F552" s="32"/>
      <ns0:c r="G552" s="29"/>
      <ns0:c r="H552" s="29"/>
      <ns0:c r="I552" s="29"/>
      <ns0:c r="J552" s="29"/>
      <ns0:c r="K552" s="29"/>
    </ns0:row>
    <ns0:row r="553" ht="28" customHeight="1">
      <ns0:c r="A553" s="29"/>
      <ns0:c r="B553" s="30"/>
      <ns0:c r="C553" s="28"/>
      <ns0:c r="D553" s="29"/>
      <ns0:c r="E553" s="31"/>
      <ns0:c r="F553" s="32"/>
      <ns0:c r="G553" s="29"/>
      <ns0:c r="H553" s="29"/>
      <ns0:c r="I553" s="29"/>
      <ns0:c r="J553" s="29"/>
      <ns0:c r="K553" s="29"/>
    </ns0:row>
    <ns0:row r="554" ht="28" customHeight="1">
      <ns0:c r="A554" s="29"/>
      <ns0:c r="B554" s="30"/>
      <ns0:c r="C554" s="28"/>
      <ns0:c r="D554" s="29"/>
      <ns0:c r="E554" s="31"/>
      <ns0:c r="F554" s="32"/>
      <ns0:c r="G554" s="29"/>
      <ns0:c r="H554" s="29"/>
      <ns0:c r="I554" s="29"/>
      <ns0:c r="J554" s="29"/>
      <ns0:c r="K554" s="29"/>
    </ns0:row>
    <ns0:row r="555" ht="28" customHeight="1">
      <ns0:c r="A555" s="29"/>
      <ns0:c r="B555" s="30"/>
      <ns0:c r="C555" s="28"/>
      <ns0:c r="D555" s="29"/>
      <ns0:c r="E555" s="31"/>
      <ns0:c r="F555" s="32"/>
      <ns0:c r="G555" s="29"/>
      <ns0:c r="H555" s="29"/>
      <ns0:c r="I555" s="29"/>
      <ns0:c r="J555" s="29"/>
      <ns0:c r="K555" s="29"/>
    </ns0:row>
    <ns0:row r="556" ht="28" customHeight="1">
      <ns0:c r="A556" s="29"/>
      <ns0:c r="B556" s="30"/>
      <ns0:c r="C556" s="28"/>
      <ns0:c r="D556" s="29"/>
      <ns0:c r="E556" s="31"/>
      <ns0:c r="F556" s="32"/>
      <ns0:c r="G556" s="29"/>
      <ns0:c r="H556" s="29"/>
      <ns0:c r="I556" s="29"/>
      <ns0:c r="J556" s="29"/>
      <ns0:c r="K556" s="29"/>
    </ns0:row>
    <ns0:row r="557" ht="28" customHeight="1">
      <ns0:c r="A557" s="29"/>
      <ns0:c r="B557" s="30"/>
      <ns0:c r="C557" s="28"/>
      <ns0:c r="D557" s="29"/>
      <ns0:c r="E557" s="31"/>
      <ns0:c r="F557" s="32"/>
      <ns0:c r="G557" s="29"/>
      <ns0:c r="H557" s="29"/>
      <ns0:c r="I557" s="29"/>
      <ns0:c r="J557" s="29"/>
      <ns0:c r="K557" s="29"/>
    </ns0:row>
    <ns0:row r="558" ht="28" customHeight="1">
      <ns0:c r="A558" s="29"/>
      <ns0:c r="B558" s="30"/>
      <ns0:c r="C558" s="28"/>
      <ns0:c r="D558" s="29"/>
      <ns0:c r="E558" s="31"/>
      <ns0:c r="F558" s="32"/>
      <ns0:c r="G558" s="29"/>
      <ns0:c r="H558" s="29"/>
      <ns0:c r="I558" s="29"/>
      <ns0:c r="J558" s="29"/>
      <ns0:c r="K558" s="29"/>
    </ns0:row>
    <ns0:row r="559" ht="28" customHeight="1">
      <ns0:c r="A559" s="29"/>
      <ns0:c r="B559" s="30"/>
      <ns0:c r="C559" s="28"/>
      <ns0:c r="D559" s="29"/>
      <ns0:c r="E559" s="31"/>
      <ns0:c r="F559" s="32"/>
      <ns0:c r="G559" s="29"/>
      <ns0:c r="H559" s="29"/>
      <ns0:c r="I559" s="29"/>
      <ns0:c r="J559" s="29"/>
      <ns0:c r="K559" s="29"/>
    </ns0:row>
    <ns0:row r="560" ht="28" customHeight="1">
      <ns0:c r="A560" s="29"/>
      <ns0:c r="B560" s="30"/>
      <ns0:c r="C560" s="28"/>
      <ns0:c r="D560" s="29"/>
      <ns0:c r="E560" s="31"/>
      <ns0:c r="F560" s="32"/>
      <ns0:c r="G560" s="29"/>
      <ns0:c r="H560" s="29"/>
      <ns0:c r="I560" s="29"/>
      <ns0:c r="J560" s="29"/>
      <ns0:c r="K560" s="29"/>
    </ns0:row>
    <ns0:row r="561" ht="28" customHeight="1">
      <ns0:c r="A561" s="29"/>
      <ns0:c r="B561" s="30"/>
      <ns0:c r="C561" s="28"/>
      <ns0:c r="D561" s="29"/>
      <ns0:c r="E561" s="31"/>
      <ns0:c r="F561" s="32"/>
      <ns0:c r="G561" s="29"/>
      <ns0:c r="H561" s="29"/>
      <ns0:c r="I561" s="29"/>
      <ns0:c r="J561" s="29"/>
      <ns0:c r="K561" s="29"/>
    </ns0:row>
    <ns0:row r="562" ht="28" customHeight="1">
      <ns0:c r="A562" s="29"/>
      <ns0:c r="B562" s="30"/>
      <ns0:c r="C562" s="28"/>
      <ns0:c r="D562" s="29"/>
      <ns0:c r="E562" s="31"/>
      <ns0:c r="F562" s="32"/>
      <ns0:c r="G562" s="29"/>
      <ns0:c r="H562" s="29"/>
      <ns0:c r="I562" s="29"/>
      <ns0:c r="J562" s="29"/>
      <ns0:c r="K562" s="29"/>
    </ns0:row>
    <ns0:row r="563" ht="28" customHeight="1">
      <ns0:c r="A563" s="29"/>
      <ns0:c r="B563" s="30"/>
      <ns0:c r="C563" s="28"/>
      <ns0:c r="D563" s="29"/>
      <ns0:c r="E563" s="31"/>
      <ns0:c r="F563" s="32"/>
      <ns0:c r="G563" s="29"/>
      <ns0:c r="H563" s="29"/>
      <ns0:c r="I563" s="29"/>
      <ns0:c r="J563" s="29"/>
      <ns0:c r="K563" s="29"/>
    </ns0:row>
    <ns0:row r="564" ht="28" customHeight="1">
      <ns0:c r="A564" s="29"/>
      <ns0:c r="B564" s="30"/>
      <ns0:c r="C564" s="28"/>
      <ns0:c r="D564" s="29"/>
      <ns0:c r="E564" s="31"/>
      <ns0:c r="F564" s="32"/>
      <ns0:c r="G564" s="29"/>
      <ns0:c r="H564" s="29"/>
      <ns0:c r="I564" s="29"/>
      <ns0:c r="J564" s="29"/>
      <ns0:c r="K564" s="29"/>
    </ns0:row>
    <ns0:row r="565" ht="28" customHeight="1">
      <ns0:c r="A565" s="29"/>
      <ns0:c r="B565" s="30"/>
      <ns0:c r="C565" s="28"/>
      <ns0:c r="D565" s="29"/>
      <ns0:c r="E565" s="31"/>
      <ns0:c r="F565" s="32"/>
      <ns0:c r="G565" s="29"/>
      <ns0:c r="H565" s="29"/>
      <ns0:c r="I565" s="29"/>
      <ns0:c r="J565" s="29"/>
      <ns0:c r="K565" s="29"/>
    </ns0:row>
    <ns0:row r="566" ht="28" customHeight="1">
      <ns0:c r="A566" s="29"/>
      <ns0:c r="B566" s="30"/>
      <ns0:c r="C566" s="28"/>
      <ns0:c r="D566" s="29"/>
      <ns0:c r="E566" s="31"/>
      <ns0:c r="F566" s="32"/>
      <ns0:c r="G566" s="29"/>
      <ns0:c r="H566" s="29"/>
      <ns0:c r="I566" s="29"/>
      <ns0:c r="J566" s="29"/>
      <ns0:c r="K566" s="29"/>
    </ns0:row>
    <ns0:row r="567" ht="28" customHeight="1">
      <ns0:c r="A567" s="29"/>
      <ns0:c r="B567" s="30"/>
      <ns0:c r="C567" s="28"/>
      <ns0:c r="D567" s="29"/>
      <ns0:c r="E567" s="31"/>
      <ns0:c r="F567" s="32"/>
      <ns0:c r="G567" s="29"/>
      <ns0:c r="H567" s="29"/>
      <ns0:c r="I567" s="29"/>
      <ns0:c r="J567" s="29"/>
      <ns0:c r="K567" s="29"/>
    </ns0:row>
    <ns0:row r="568" ht="28" customHeight="1">
      <ns0:c r="A568" s="29"/>
      <ns0:c r="B568" s="30"/>
      <ns0:c r="C568" s="28"/>
      <ns0:c r="D568" s="29"/>
      <ns0:c r="E568" s="31"/>
      <ns0:c r="F568" s="32"/>
      <ns0:c r="G568" s="29"/>
      <ns0:c r="H568" s="29"/>
      <ns0:c r="I568" s="29"/>
      <ns0:c r="J568" s="29"/>
      <ns0:c r="K568" s="29"/>
    </ns0:row>
    <ns0:row r="569" ht="28" customHeight="1">
      <ns0:c r="A569" s="29"/>
      <ns0:c r="B569" s="30"/>
      <ns0:c r="C569" s="28"/>
      <ns0:c r="D569" s="29"/>
      <ns0:c r="E569" s="31"/>
      <ns0:c r="F569" s="32"/>
      <ns0:c r="G569" s="29"/>
      <ns0:c r="H569" s="29"/>
      <ns0:c r="I569" s="29"/>
      <ns0:c r="J569" s="29"/>
      <ns0:c r="K569" s="29"/>
    </ns0:row>
    <ns0:row r="570" ht="28" customHeight="1">
      <ns0:c r="A570" s="29"/>
      <ns0:c r="B570" s="30"/>
      <ns0:c r="C570" s="28"/>
      <ns0:c r="D570" s="29"/>
      <ns0:c r="E570" s="31"/>
      <ns0:c r="F570" s="32"/>
      <ns0:c r="G570" s="29"/>
      <ns0:c r="H570" s="29"/>
      <ns0:c r="I570" s="29"/>
      <ns0:c r="J570" s="29"/>
      <ns0:c r="K570" s="29"/>
    </ns0:row>
    <ns0:row r="571" ht="28" customHeight="1">
      <ns0:c r="A571" s="29"/>
      <ns0:c r="B571" s="30"/>
      <ns0:c r="C571" s="28"/>
      <ns0:c r="D571" s="29"/>
      <ns0:c r="E571" s="31"/>
      <ns0:c r="F571" s="32"/>
      <ns0:c r="G571" s="29"/>
      <ns0:c r="H571" s="29"/>
      <ns0:c r="I571" s="29"/>
      <ns0:c r="J571" s="29"/>
      <ns0:c r="K571" s="29"/>
    </ns0:row>
    <ns0:row r="572" ht="28" customHeight="1">
      <ns0:c r="A572" s="29"/>
      <ns0:c r="B572" s="30"/>
      <ns0:c r="C572" s="28"/>
      <ns0:c r="D572" s="29"/>
      <ns0:c r="E572" s="31"/>
      <ns0:c r="F572" s="32"/>
      <ns0:c r="G572" s="29"/>
      <ns0:c r="H572" s="29"/>
      <ns0:c r="I572" s="29"/>
      <ns0:c r="J572" s="29"/>
      <ns0:c r="K572" s="29"/>
    </ns0:row>
    <ns0:row r="573" ht="28" customHeight="1">
      <ns0:c r="A573" s="29"/>
      <ns0:c r="B573" s="30"/>
      <ns0:c r="C573" s="28"/>
      <ns0:c r="D573" s="29"/>
      <ns0:c r="E573" s="31"/>
      <ns0:c r="F573" s="32"/>
      <ns0:c r="G573" s="29"/>
      <ns0:c r="H573" s="29"/>
      <ns0:c r="I573" s="29"/>
      <ns0:c r="J573" s="29"/>
      <ns0:c r="K573" s="29"/>
    </ns0:row>
    <ns0:row r="574" ht="28" customHeight="1">
      <ns0:c r="A574" s="29"/>
      <ns0:c r="B574" s="30"/>
      <ns0:c r="C574" s="28"/>
      <ns0:c r="D574" s="29"/>
      <ns0:c r="E574" s="31"/>
      <ns0:c r="F574" s="32"/>
      <ns0:c r="G574" s="29"/>
      <ns0:c r="H574" s="29"/>
      <ns0:c r="I574" s="29"/>
      <ns0:c r="J574" s="29"/>
      <ns0:c r="K574" s="29"/>
    </ns0:row>
    <ns0:row r="575" ht="28" customHeight="1">
      <ns0:c r="A575" s="29"/>
      <ns0:c r="B575" s="30"/>
      <ns0:c r="C575" s="28"/>
      <ns0:c r="D575" s="29"/>
      <ns0:c r="E575" s="31"/>
      <ns0:c r="F575" s="32"/>
      <ns0:c r="G575" s="29"/>
      <ns0:c r="H575" s="29"/>
      <ns0:c r="I575" s="29"/>
      <ns0:c r="J575" s="29"/>
      <ns0:c r="K575" s="29"/>
    </ns0:row>
    <ns0:row r="576" ht="28" customHeight="1">
      <ns0:c r="A576" s="29"/>
      <ns0:c r="B576" s="30"/>
      <ns0:c r="C576" s="28"/>
      <ns0:c r="D576" s="29"/>
      <ns0:c r="E576" s="31"/>
      <ns0:c r="F576" s="32"/>
      <ns0:c r="G576" s="29"/>
      <ns0:c r="H576" s="29"/>
      <ns0:c r="I576" s="29"/>
      <ns0:c r="J576" s="29"/>
      <ns0:c r="K576" s="29"/>
    </ns0:row>
    <ns0:row r="577" ht="28" customHeight="1">
      <ns0:c r="A577" s="29"/>
      <ns0:c r="B577" s="30"/>
      <ns0:c r="C577" s="28"/>
      <ns0:c r="D577" s="29"/>
      <ns0:c r="E577" s="31"/>
      <ns0:c r="F577" s="32"/>
      <ns0:c r="G577" s="29"/>
      <ns0:c r="H577" s="29"/>
      <ns0:c r="I577" s="29"/>
      <ns0:c r="J577" s="29"/>
      <ns0:c r="K577" s="29"/>
    </ns0:row>
    <ns0:row r="578" ht="28" customHeight="1">
      <ns0:c r="A578" s="29"/>
      <ns0:c r="B578" s="30"/>
      <ns0:c r="C578" s="28"/>
      <ns0:c r="D578" s="29"/>
      <ns0:c r="E578" s="31"/>
      <ns0:c r="F578" s="32"/>
      <ns0:c r="G578" s="29"/>
      <ns0:c r="H578" s="29"/>
      <ns0:c r="I578" s="29"/>
      <ns0:c r="J578" s="29"/>
      <ns0:c r="K578" s="29"/>
    </ns0:row>
    <ns0:row r="579" ht="28" customHeight="1">
      <ns0:c r="A579" s="29"/>
      <ns0:c r="B579" s="30"/>
      <ns0:c r="C579" s="28"/>
      <ns0:c r="D579" s="29"/>
      <ns0:c r="E579" s="31"/>
      <ns0:c r="F579" s="32"/>
      <ns0:c r="G579" s="29"/>
      <ns0:c r="H579" s="29"/>
      <ns0:c r="I579" s="29"/>
      <ns0:c r="J579" s="29"/>
      <ns0:c r="K579" s="29"/>
    </ns0:row>
    <ns0:row r="580" ht="28" customHeight="1">
      <ns0:c r="A580" s="29"/>
      <ns0:c r="B580" s="30"/>
      <ns0:c r="C580" s="28"/>
      <ns0:c r="D580" s="29"/>
      <ns0:c r="E580" s="31"/>
      <ns0:c r="F580" s="32"/>
      <ns0:c r="G580" s="29"/>
      <ns0:c r="H580" s="29"/>
      <ns0:c r="I580" s="29"/>
      <ns0:c r="J580" s="29"/>
      <ns0:c r="K580" s="29"/>
    </ns0:row>
    <ns0:row r="581" ht="28" customHeight="1">
      <ns0:c r="A581" s="29"/>
      <ns0:c r="B581" s="30"/>
      <ns0:c r="C581" s="28"/>
      <ns0:c r="D581" s="29"/>
      <ns0:c r="E581" s="31"/>
      <ns0:c r="F581" s="32"/>
      <ns0:c r="G581" s="29"/>
      <ns0:c r="H581" s="29"/>
      <ns0:c r="I581" s="29"/>
      <ns0:c r="J581" s="29"/>
      <ns0:c r="K581" s="29"/>
    </ns0:row>
    <ns0:row r="582" ht="28" customHeight="1">
      <ns0:c r="A582" s="29"/>
      <ns0:c r="B582" s="30"/>
      <ns0:c r="C582" s="28"/>
      <ns0:c r="D582" s="29"/>
      <ns0:c r="E582" s="31"/>
      <ns0:c r="F582" s="32"/>
      <ns0:c r="G582" s="29"/>
      <ns0:c r="H582" s="29"/>
      <ns0:c r="I582" s="29"/>
      <ns0:c r="J582" s="29"/>
      <ns0:c r="K582" s="29"/>
    </ns0:row>
    <ns0:row r="583" ht="28" customHeight="1">
      <ns0:c r="A583" s="29"/>
      <ns0:c r="B583" s="30"/>
      <ns0:c r="C583" s="28"/>
      <ns0:c r="D583" s="29"/>
      <ns0:c r="E583" s="31"/>
      <ns0:c r="F583" s="32"/>
      <ns0:c r="G583" s="29"/>
      <ns0:c r="H583" s="29"/>
      <ns0:c r="I583" s="29"/>
      <ns0:c r="J583" s="29"/>
      <ns0:c r="K583" s="29"/>
    </ns0:row>
    <ns0:row r="584" ht="28" customHeight="1">
      <ns0:c r="A584" s="29"/>
      <ns0:c r="B584" s="30"/>
      <ns0:c r="C584" s="28"/>
      <ns0:c r="D584" s="29"/>
      <ns0:c r="E584" s="31"/>
      <ns0:c r="F584" s="32"/>
      <ns0:c r="G584" s="29"/>
      <ns0:c r="H584" s="29"/>
      <ns0:c r="I584" s="29"/>
      <ns0:c r="J584" s="29"/>
      <ns0:c r="K584" s="29"/>
    </ns0:row>
    <ns0:row r="585" ht="28" customHeight="1">
      <ns0:c r="A585" s="29"/>
      <ns0:c r="B585" s="30"/>
      <ns0:c r="C585" s="28"/>
      <ns0:c r="D585" s="29"/>
      <ns0:c r="E585" s="31"/>
      <ns0:c r="F585" s="32"/>
      <ns0:c r="G585" s="29"/>
      <ns0:c r="H585" s="29"/>
      <ns0:c r="I585" s="29"/>
      <ns0:c r="J585" s="29"/>
      <ns0:c r="K585" s="29"/>
    </ns0:row>
    <ns0:row r="586" ht="28" customHeight="1">
      <ns0:c r="A586" s="29"/>
      <ns0:c r="B586" s="30"/>
      <ns0:c r="C586" s="28"/>
      <ns0:c r="D586" s="29"/>
      <ns0:c r="E586" s="31"/>
      <ns0:c r="F586" s="32"/>
      <ns0:c r="G586" s="29"/>
      <ns0:c r="H586" s="29"/>
      <ns0:c r="I586" s="29"/>
      <ns0:c r="J586" s="29"/>
      <ns0:c r="K586" s="29"/>
    </ns0:row>
    <ns0:row r="587" ht="28" customHeight="1">
      <ns0:c r="A587" s="29"/>
      <ns0:c r="B587" s="30"/>
      <ns0:c r="C587" s="28"/>
      <ns0:c r="D587" s="29"/>
      <ns0:c r="E587" s="31"/>
      <ns0:c r="F587" s="32"/>
      <ns0:c r="G587" s="29"/>
      <ns0:c r="H587" s="29"/>
      <ns0:c r="I587" s="29"/>
      <ns0:c r="J587" s="29"/>
      <ns0:c r="K587" s="29"/>
    </ns0:row>
    <ns0:row r="588" ht="28" customHeight="1">
      <ns0:c r="A588" s="29"/>
      <ns0:c r="B588" s="30"/>
      <ns0:c r="C588" s="28"/>
      <ns0:c r="D588" s="29"/>
      <ns0:c r="E588" s="31"/>
      <ns0:c r="F588" s="32"/>
      <ns0:c r="G588" s="29"/>
      <ns0:c r="H588" s="29"/>
      <ns0:c r="I588" s="29"/>
      <ns0:c r="J588" s="29"/>
      <ns0:c r="K588" s="29"/>
    </ns0:row>
    <ns0:row r="589" ht="28" customHeight="1">
      <ns0:c r="A589" s="29"/>
      <ns0:c r="B589" s="30"/>
      <ns0:c r="C589" s="28"/>
      <ns0:c r="D589" s="29"/>
      <ns0:c r="E589" s="31"/>
      <ns0:c r="F589" s="32"/>
      <ns0:c r="G589" s="29"/>
      <ns0:c r="H589" s="29"/>
      <ns0:c r="I589" s="29"/>
      <ns0:c r="J589" s="29"/>
      <ns0:c r="K589" s="29"/>
    </ns0:row>
    <ns0:row r="590" ht="28" customHeight="1">
      <ns0:c r="A590" s="29"/>
      <ns0:c r="B590" s="30"/>
      <ns0:c r="C590" s="28"/>
      <ns0:c r="D590" s="29"/>
      <ns0:c r="E590" s="31"/>
      <ns0:c r="F590" s="32"/>
      <ns0:c r="G590" s="29"/>
      <ns0:c r="H590" s="29"/>
      <ns0:c r="I590" s="29"/>
      <ns0:c r="J590" s="29"/>
      <ns0:c r="K590" s="29"/>
    </ns0:row>
    <ns0:row r="591" ht="28" customHeight="1">
      <ns0:c r="A591" s="29"/>
      <ns0:c r="B591" s="30"/>
      <ns0:c r="C591" s="28"/>
      <ns0:c r="D591" s="29"/>
      <ns0:c r="E591" s="31"/>
      <ns0:c r="F591" s="32"/>
      <ns0:c r="G591" s="29"/>
      <ns0:c r="H591" s="29"/>
      <ns0:c r="I591" s="29"/>
      <ns0:c r="J591" s="29"/>
      <ns0:c r="K591" s="29"/>
    </ns0:row>
    <ns0:row r="592" ht="28" customHeight="1">
      <ns0:c r="A592" s="29"/>
      <ns0:c r="B592" s="30"/>
      <ns0:c r="C592" s="28"/>
      <ns0:c r="D592" s="29"/>
      <ns0:c r="E592" s="31"/>
      <ns0:c r="F592" s="32"/>
      <ns0:c r="G592" s="29"/>
      <ns0:c r="H592" s="29"/>
      <ns0:c r="I592" s="29"/>
      <ns0:c r="J592" s="29"/>
      <ns0:c r="K592" s="29"/>
    </ns0:row>
    <ns0:row r="593" ht="28" customHeight="1">
      <ns0:c r="A593" s="29"/>
      <ns0:c r="B593" s="30"/>
      <ns0:c r="C593" s="28"/>
      <ns0:c r="D593" s="29"/>
      <ns0:c r="E593" s="31"/>
      <ns0:c r="F593" s="32"/>
      <ns0:c r="G593" s="29"/>
      <ns0:c r="H593" s="29"/>
      <ns0:c r="I593" s="29"/>
      <ns0:c r="J593" s="29"/>
      <ns0:c r="K593" s="29"/>
    </ns0:row>
    <ns0:row r="594" ht="28" customHeight="1">
      <ns0:c r="A594" s="29"/>
      <ns0:c r="B594" s="30"/>
      <ns0:c r="C594" s="28"/>
      <ns0:c r="D594" s="29"/>
      <ns0:c r="E594" s="31"/>
      <ns0:c r="F594" s="32"/>
      <ns0:c r="G594" s="29"/>
      <ns0:c r="H594" s="29"/>
      <ns0:c r="I594" s="29"/>
      <ns0:c r="J594" s="29"/>
      <ns0:c r="K594" s="29"/>
    </ns0:row>
    <ns0:row r="595" ht="28" customHeight="1">
      <ns0:c r="A595" s="29"/>
      <ns0:c r="B595" s="30"/>
      <ns0:c r="C595" s="28"/>
      <ns0:c r="D595" s="29"/>
      <ns0:c r="E595" s="31"/>
      <ns0:c r="F595" s="32"/>
      <ns0:c r="G595" s="29"/>
      <ns0:c r="H595" s="29"/>
      <ns0:c r="I595" s="29"/>
      <ns0:c r="J595" s="29"/>
      <ns0:c r="K595" s="29"/>
    </ns0:row>
    <ns0:row r="596" ht="28" customHeight="1">
      <ns0:c r="A596" s="29"/>
      <ns0:c r="B596" s="30"/>
      <ns0:c r="C596" s="28"/>
      <ns0:c r="D596" s="29"/>
      <ns0:c r="E596" s="31"/>
      <ns0:c r="F596" s="32"/>
      <ns0:c r="G596" s="29"/>
      <ns0:c r="H596" s="29"/>
      <ns0:c r="I596" s="29"/>
      <ns0:c r="J596" s="29"/>
      <ns0:c r="K596" s="29"/>
    </ns0:row>
    <ns0:row r="597" ht="28" customHeight="1">
      <ns0:c r="A597" s="29"/>
      <ns0:c r="B597" s="30"/>
      <ns0:c r="C597" s="28"/>
      <ns0:c r="D597" s="29"/>
      <ns0:c r="E597" s="31"/>
      <ns0:c r="F597" s="32"/>
      <ns0:c r="G597" s="29"/>
      <ns0:c r="H597" s="29"/>
      <ns0:c r="I597" s="29"/>
      <ns0:c r="J597" s="29"/>
      <ns0:c r="K597" s="29"/>
    </ns0:row>
    <ns0:row r="598" ht="28" customHeight="1">
      <ns0:c r="A598" s="29"/>
      <ns0:c r="B598" s="30"/>
      <ns0:c r="C598" s="28"/>
      <ns0:c r="D598" s="29"/>
      <ns0:c r="E598" s="31"/>
      <ns0:c r="F598" s="32"/>
      <ns0:c r="G598" s="29"/>
      <ns0:c r="H598" s="29"/>
      <ns0:c r="I598" s="29"/>
      <ns0:c r="J598" s="29"/>
      <ns0:c r="K598" s="29"/>
    </ns0:row>
    <ns0:row r="599" ht="28" customHeight="1">
      <ns0:c r="A599" s="29"/>
      <ns0:c r="B599" s="30"/>
      <ns0:c r="C599" s="28"/>
      <ns0:c r="D599" s="29"/>
      <ns0:c r="E599" s="31"/>
      <ns0:c r="F599" s="32"/>
      <ns0:c r="G599" s="29"/>
      <ns0:c r="H599" s="29"/>
      <ns0:c r="I599" s="29"/>
      <ns0:c r="J599" s="29"/>
      <ns0:c r="K599" s="29"/>
    </ns0:row>
    <ns0:row r="600" ht="28" customHeight="1">
      <ns0:c r="A600" s="29"/>
      <ns0:c r="B600" s="30"/>
      <ns0:c r="C600" s="28"/>
      <ns0:c r="D600" s="29"/>
      <ns0:c r="E600" s="31"/>
      <ns0:c r="F600" s="32"/>
      <ns0:c r="G600" s="29"/>
      <ns0:c r="H600" s="29"/>
      <ns0:c r="I600" s="29"/>
      <ns0:c r="J600" s="29"/>
      <ns0:c r="K600" s="29"/>
    </ns0:row>
    <ns0:row r="601" ht="28" customHeight="1">
      <ns0:c r="A601" s="29"/>
      <ns0:c r="B601" s="30"/>
      <ns0:c r="C601" s="28"/>
      <ns0:c r="D601" s="29"/>
      <ns0:c r="E601" s="31"/>
      <ns0:c r="F601" s="32"/>
      <ns0:c r="G601" s="29"/>
      <ns0:c r="H601" s="29"/>
      <ns0:c r="I601" s="29"/>
      <ns0:c r="J601" s="29"/>
      <ns0:c r="K601" s="29"/>
    </ns0:row>
    <ns0:row r="602" ht="28" customHeight="1">
      <ns0:c r="A602" s="29"/>
      <ns0:c r="B602" s="30"/>
      <ns0:c r="C602" s="28"/>
      <ns0:c r="D602" s="29"/>
      <ns0:c r="E602" s="31"/>
      <ns0:c r="F602" s="32"/>
      <ns0:c r="G602" s="29"/>
      <ns0:c r="H602" s="29"/>
      <ns0:c r="I602" s="29"/>
      <ns0:c r="J602" s="29"/>
      <ns0:c r="K602" s="29"/>
    </ns0:row>
    <ns0:row r="603" ht="28" customHeight="1">
      <ns0:c r="A603" s="29"/>
      <ns0:c r="B603" s="30"/>
      <ns0:c r="C603" s="28"/>
      <ns0:c r="D603" s="29"/>
      <ns0:c r="E603" s="31"/>
      <ns0:c r="F603" s="32"/>
      <ns0:c r="G603" s="29"/>
      <ns0:c r="H603" s="29"/>
      <ns0:c r="I603" s="29"/>
      <ns0:c r="J603" s="29"/>
      <ns0:c r="K603" s="29"/>
    </ns0:row>
    <ns0:row r="604" ht="28" customHeight="1">
      <ns0:c r="A604" s="29"/>
      <ns0:c r="B604" s="30"/>
      <ns0:c r="C604" s="28"/>
      <ns0:c r="D604" s="29"/>
      <ns0:c r="E604" s="31"/>
      <ns0:c r="F604" s="32"/>
      <ns0:c r="G604" s="29"/>
      <ns0:c r="H604" s="29"/>
      <ns0:c r="I604" s="29"/>
      <ns0:c r="J604" s="29"/>
      <ns0:c r="K604" s="29"/>
    </ns0:row>
    <ns0:row r="605" ht="28" customHeight="1">
      <ns0:c r="A605" s="29"/>
      <ns0:c r="B605" s="30"/>
      <ns0:c r="C605" s="28"/>
      <ns0:c r="D605" s="29"/>
      <ns0:c r="E605" s="31"/>
      <ns0:c r="F605" s="32"/>
      <ns0:c r="G605" s="29"/>
      <ns0:c r="H605" s="29"/>
      <ns0:c r="I605" s="29"/>
      <ns0:c r="J605" s="29"/>
      <ns0:c r="K605" s="29"/>
    </ns0:row>
    <ns0:row r="606" ht="28" customHeight="1">
      <ns0:c r="A606" s="29"/>
      <ns0:c r="B606" s="30"/>
      <ns0:c r="C606" s="28"/>
      <ns0:c r="D606" s="29"/>
      <ns0:c r="E606" s="31"/>
      <ns0:c r="F606" s="32"/>
      <ns0:c r="G606" s="29"/>
      <ns0:c r="H606" s="29"/>
      <ns0:c r="I606" s="29"/>
      <ns0:c r="J606" s="29"/>
      <ns0:c r="K606" s="29"/>
    </ns0:row>
    <ns0:row r="607" ht="28" customHeight="1">
      <ns0:c r="A607" s="29"/>
      <ns0:c r="B607" s="30"/>
      <ns0:c r="C607" s="28"/>
      <ns0:c r="D607" s="29"/>
      <ns0:c r="E607" s="31"/>
      <ns0:c r="F607" s="32"/>
      <ns0:c r="G607" s="29"/>
      <ns0:c r="H607" s="29"/>
      <ns0:c r="I607" s="29"/>
      <ns0:c r="J607" s="29"/>
      <ns0:c r="K607" s="29"/>
    </ns0:row>
    <ns0:row r="608" ht="28" customHeight="1">
      <ns0:c r="A608" s="29"/>
      <ns0:c r="B608" s="30"/>
      <ns0:c r="C608" s="28"/>
      <ns0:c r="D608" s="29"/>
      <ns0:c r="E608" s="31"/>
      <ns0:c r="F608" s="32"/>
      <ns0:c r="G608" s="29"/>
      <ns0:c r="H608" s="29"/>
      <ns0:c r="I608" s="29"/>
      <ns0:c r="J608" s="29"/>
      <ns0:c r="K608" s="29"/>
    </ns0:row>
    <ns0:row r="609" ht="28" customHeight="1">
      <ns0:c r="A609" s="29"/>
      <ns0:c r="B609" s="30"/>
      <ns0:c r="C609" s="28"/>
      <ns0:c r="D609" s="29"/>
      <ns0:c r="E609" s="31"/>
      <ns0:c r="F609" s="32"/>
      <ns0:c r="G609" s="29"/>
      <ns0:c r="H609" s="29"/>
      <ns0:c r="I609" s="29"/>
      <ns0:c r="J609" s="29"/>
      <ns0:c r="K609" s="29"/>
    </ns0:row>
    <ns0:row r="610" ht="28" customHeight="1">
      <ns0:c r="A610" s="29"/>
      <ns0:c r="B610" s="30"/>
      <ns0:c r="C610" s="28"/>
      <ns0:c r="D610" s="29"/>
      <ns0:c r="E610" s="31"/>
      <ns0:c r="F610" s="32"/>
      <ns0:c r="G610" s="29"/>
      <ns0:c r="H610" s="29"/>
      <ns0:c r="I610" s="29"/>
      <ns0:c r="J610" s="29"/>
      <ns0:c r="K610" s="29"/>
    </ns0:row>
    <ns0:row r="611" ht="28" customHeight="1">
      <ns0:c r="A611" s="29"/>
      <ns0:c r="B611" s="30"/>
      <ns0:c r="C611" s="28"/>
      <ns0:c r="D611" s="29"/>
      <ns0:c r="E611" s="31"/>
      <ns0:c r="F611" s="32"/>
      <ns0:c r="G611" s="29"/>
      <ns0:c r="H611" s="29"/>
      <ns0:c r="I611" s="29"/>
      <ns0:c r="J611" s="29"/>
      <ns0:c r="K611" s="29"/>
    </ns0:row>
    <ns0:row r="612" ht="28" customHeight="1">
      <ns0:c r="A612" s="29"/>
      <ns0:c r="B612" s="30"/>
      <ns0:c r="C612" s="28"/>
      <ns0:c r="D612" s="29"/>
      <ns0:c r="E612" s="31"/>
      <ns0:c r="F612" s="32"/>
      <ns0:c r="G612" s="29"/>
      <ns0:c r="H612" s="29"/>
      <ns0:c r="I612" s="29"/>
      <ns0:c r="J612" s="29"/>
      <ns0:c r="K612" s="29"/>
    </ns0:row>
    <ns0:row r="613" ht="28" customHeight="1">
      <ns0:c r="A613" s="29"/>
      <ns0:c r="B613" s="30"/>
      <ns0:c r="C613" s="28"/>
      <ns0:c r="D613" s="29"/>
      <ns0:c r="E613" s="31"/>
      <ns0:c r="F613" s="32"/>
      <ns0:c r="G613" s="29"/>
      <ns0:c r="H613" s="29"/>
      <ns0:c r="I613" s="29"/>
      <ns0:c r="J613" s="29"/>
      <ns0:c r="K613" s="29"/>
    </ns0:row>
    <ns0:row r="614" ht="28" customHeight="1">
      <ns0:c r="A614" s="29"/>
      <ns0:c r="B614" s="30"/>
      <ns0:c r="C614" s="28"/>
      <ns0:c r="D614" s="29"/>
      <ns0:c r="E614" s="31"/>
      <ns0:c r="F614" s="32"/>
      <ns0:c r="G614" s="29"/>
      <ns0:c r="H614" s="29"/>
      <ns0:c r="I614" s="29"/>
      <ns0:c r="J614" s="29"/>
      <ns0:c r="K614" s="29"/>
    </ns0:row>
    <ns0:row r="615" ht="28" customHeight="1">
      <ns0:c r="A615" s="29"/>
      <ns0:c r="B615" s="30"/>
      <ns0:c r="C615" s="28"/>
      <ns0:c r="D615" s="29"/>
      <ns0:c r="E615" s="31"/>
      <ns0:c r="F615" s="32"/>
      <ns0:c r="G615" s="29"/>
      <ns0:c r="H615" s="29"/>
      <ns0:c r="I615" s="29"/>
      <ns0:c r="J615" s="29"/>
      <ns0:c r="K615" s="29"/>
    </ns0:row>
    <ns0:row r="616" ht="28" customHeight="1">
      <ns0:c r="A616" s="29"/>
      <ns0:c r="B616" s="30"/>
      <ns0:c r="C616" s="28"/>
      <ns0:c r="D616" s="29"/>
      <ns0:c r="E616" s="31"/>
      <ns0:c r="F616" s="32"/>
      <ns0:c r="G616" s="29"/>
      <ns0:c r="H616" s="29"/>
      <ns0:c r="I616" s="29"/>
      <ns0:c r="J616" s="29"/>
      <ns0:c r="K616" s="29"/>
    </ns0:row>
    <ns0:row r="617" ht="28" customHeight="1">
      <ns0:c r="A617" s="29"/>
      <ns0:c r="B617" s="30"/>
      <ns0:c r="C617" s="28"/>
      <ns0:c r="D617" s="29"/>
      <ns0:c r="E617" s="31"/>
      <ns0:c r="F617" s="32"/>
      <ns0:c r="G617" s="29"/>
      <ns0:c r="H617" s="29"/>
      <ns0:c r="I617" s="29"/>
      <ns0:c r="J617" s="29"/>
      <ns0:c r="K617" s="29"/>
    </ns0:row>
    <ns0:row r="618" ht="28" customHeight="1">
      <ns0:c r="A618" s="29"/>
      <ns0:c r="B618" s="30"/>
      <ns0:c r="C618" s="28"/>
      <ns0:c r="D618" s="29"/>
      <ns0:c r="E618" s="31"/>
      <ns0:c r="F618" s="32"/>
      <ns0:c r="G618" s="29"/>
      <ns0:c r="H618" s="29"/>
      <ns0:c r="I618" s="29"/>
      <ns0:c r="J618" s="29"/>
      <ns0:c r="K618" s="29"/>
    </ns0:row>
    <ns0:row r="619" ht="28" customHeight="1">
      <ns0:c r="A619" s="29"/>
      <ns0:c r="B619" s="30"/>
      <ns0:c r="C619" s="28"/>
      <ns0:c r="D619" s="29"/>
      <ns0:c r="E619" s="31"/>
      <ns0:c r="F619" s="32"/>
      <ns0:c r="G619" s="29"/>
      <ns0:c r="H619" s="29"/>
      <ns0:c r="I619" s="29"/>
      <ns0:c r="J619" s="29"/>
      <ns0:c r="K619" s="29"/>
    </ns0:row>
    <ns0:row r="620" ht="28" customHeight="1">
      <ns0:c r="A620" s="29"/>
      <ns0:c r="B620" s="30"/>
      <ns0:c r="C620" s="28"/>
      <ns0:c r="D620" s="29"/>
      <ns0:c r="E620" s="31"/>
      <ns0:c r="F620" s="32"/>
      <ns0:c r="G620" s="29"/>
      <ns0:c r="H620" s="29"/>
      <ns0:c r="I620" s="29"/>
      <ns0:c r="J620" s="29"/>
      <ns0:c r="K620" s="29"/>
    </ns0:row>
    <ns0:row r="621" ht="28" customHeight="1">
      <ns0:c r="A621" s="29"/>
      <ns0:c r="B621" s="30"/>
      <ns0:c r="C621" s="28"/>
      <ns0:c r="D621" s="29"/>
      <ns0:c r="E621" s="31"/>
      <ns0:c r="F621" s="32"/>
      <ns0:c r="G621" s="29"/>
      <ns0:c r="H621" s="29"/>
      <ns0:c r="I621" s="29"/>
      <ns0:c r="J621" s="29"/>
      <ns0:c r="K621" s="29"/>
    </ns0:row>
    <ns0:row r="622" ht="28" customHeight="1">
      <ns0:c r="A622" s="29"/>
      <ns0:c r="B622" s="30"/>
      <ns0:c r="C622" s="28"/>
      <ns0:c r="D622" s="29"/>
      <ns0:c r="E622" s="31"/>
      <ns0:c r="F622" s="32"/>
      <ns0:c r="G622" s="29"/>
      <ns0:c r="H622" s="29"/>
      <ns0:c r="I622" s="29"/>
      <ns0:c r="J622" s="29"/>
      <ns0:c r="K622" s="29"/>
    </ns0:row>
    <ns0:row r="623" ht="28" customHeight="1">
      <ns0:c r="A623" s="29"/>
      <ns0:c r="B623" s="30"/>
      <ns0:c r="C623" s="28"/>
      <ns0:c r="D623" s="29"/>
      <ns0:c r="E623" s="31"/>
      <ns0:c r="F623" s="32"/>
      <ns0:c r="G623" s="29"/>
      <ns0:c r="H623" s="29"/>
      <ns0:c r="I623" s="29"/>
      <ns0:c r="J623" s="29"/>
      <ns0:c r="K623" s="29"/>
    </ns0:row>
    <ns0:row r="624" ht="28" customHeight="1">
      <ns0:c r="A624" s="29"/>
      <ns0:c r="B624" s="30"/>
      <ns0:c r="C624" s="28"/>
      <ns0:c r="D624" s="29"/>
      <ns0:c r="E624" s="31"/>
      <ns0:c r="F624" s="32"/>
      <ns0:c r="G624" s="29"/>
      <ns0:c r="H624" s="29"/>
      <ns0:c r="I624" s="29"/>
      <ns0:c r="J624" s="29"/>
      <ns0:c r="K624" s="29"/>
    </ns0:row>
    <ns0:row r="625" ht="28" customHeight="1">
      <ns0:c r="A625" s="29"/>
      <ns0:c r="B625" s="30"/>
      <ns0:c r="C625" s="28"/>
      <ns0:c r="D625" s="29"/>
      <ns0:c r="E625" s="31"/>
      <ns0:c r="F625" s="32"/>
      <ns0:c r="G625" s="29"/>
      <ns0:c r="H625" s="29"/>
      <ns0:c r="I625" s="29"/>
      <ns0:c r="J625" s="29"/>
      <ns0:c r="K625" s="29"/>
    </ns0:row>
    <ns0:row r="626" ht="28" customHeight="1">
      <ns0:c r="A626" s="29"/>
      <ns0:c r="B626" s="30"/>
      <ns0:c r="C626" s="28"/>
      <ns0:c r="D626" s="29"/>
      <ns0:c r="E626" s="31"/>
      <ns0:c r="F626" s="32"/>
      <ns0:c r="G626" s="29"/>
      <ns0:c r="H626" s="29"/>
      <ns0:c r="I626" s="29"/>
      <ns0:c r="J626" s="29"/>
      <ns0:c r="K626" s="29"/>
    </ns0:row>
    <ns0:row r="627" ht="28" customHeight="1">
      <ns0:c r="A627" s="29"/>
      <ns0:c r="B627" s="30"/>
      <ns0:c r="C627" s="28"/>
      <ns0:c r="D627" s="29"/>
      <ns0:c r="E627" s="31"/>
      <ns0:c r="F627" s="32"/>
      <ns0:c r="G627" s="29"/>
      <ns0:c r="H627" s="29"/>
      <ns0:c r="I627" s="29"/>
      <ns0:c r="J627" s="29"/>
      <ns0:c r="K627" s="29"/>
    </ns0:row>
    <ns0:row r="628" ht="28" customHeight="1">
      <ns0:c r="A628" s="29"/>
      <ns0:c r="B628" s="30"/>
      <ns0:c r="C628" s="28"/>
      <ns0:c r="D628" s="29"/>
      <ns0:c r="E628" s="31"/>
      <ns0:c r="F628" s="32"/>
      <ns0:c r="G628" s="29"/>
      <ns0:c r="H628" s="29"/>
      <ns0:c r="I628" s="29"/>
      <ns0:c r="J628" s="29"/>
      <ns0:c r="K628" s="29"/>
    </ns0:row>
    <ns0:row r="629" ht="28" customHeight="1">
      <ns0:c r="A629" s="29"/>
      <ns0:c r="B629" s="30"/>
      <ns0:c r="C629" s="28"/>
      <ns0:c r="D629" s="29"/>
      <ns0:c r="E629" s="31"/>
      <ns0:c r="F629" s="32"/>
      <ns0:c r="G629" s="29"/>
      <ns0:c r="H629" s="29"/>
      <ns0:c r="I629" s="29"/>
      <ns0:c r="J629" s="29"/>
      <ns0:c r="K629" s="29"/>
    </ns0:row>
    <ns0:row r="630" ht="28" customHeight="1">
      <ns0:c r="A630" s="29"/>
      <ns0:c r="B630" s="30"/>
      <ns0:c r="C630" s="28"/>
      <ns0:c r="D630" s="29"/>
      <ns0:c r="E630" s="31"/>
      <ns0:c r="F630" s="32"/>
      <ns0:c r="G630" s="29"/>
      <ns0:c r="H630" s="29"/>
      <ns0:c r="I630" s="29"/>
      <ns0:c r="J630" s="29"/>
      <ns0:c r="K630" s="29"/>
    </ns0:row>
    <ns0:row r="631" ht="28" customHeight="1">
      <ns0:c r="A631" s="29"/>
      <ns0:c r="B631" s="30"/>
      <ns0:c r="C631" s="28"/>
      <ns0:c r="D631" s="29"/>
      <ns0:c r="E631" s="31"/>
      <ns0:c r="F631" s="32"/>
      <ns0:c r="G631" s="29"/>
      <ns0:c r="H631" s="29"/>
      <ns0:c r="I631" s="29"/>
      <ns0:c r="J631" s="29"/>
      <ns0:c r="K631" s="29"/>
    </ns0:row>
    <ns0:row r="632" ht="28" customHeight="1">
      <ns0:c r="A632" s="29"/>
      <ns0:c r="B632" s="30"/>
      <ns0:c r="C632" s="28"/>
      <ns0:c r="D632" s="29"/>
      <ns0:c r="E632" s="31"/>
      <ns0:c r="F632" s="32"/>
      <ns0:c r="G632" s="29"/>
      <ns0:c r="H632" s="29"/>
      <ns0:c r="I632" s="29"/>
      <ns0:c r="J632" s="29"/>
      <ns0:c r="K632" s="29"/>
    </ns0:row>
    <ns0:row r="633" ht="28" customHeight="1">
      <ns0:c r="A633" s="29"/>
      <ns0:c r="B633" s="30"/>
      <ns0:c r="C633" s="28"/>
      <ns0:c r="D633" s="29"/>
      <ns0:c r="E633" s="31"/>
      <ns0:c r="F633" s="32"/>
      <ns0:c r="G633" s="29"/>
      <ns0:c r="H633" s="29"/>
      <ns0:c r="I633" s="29"/>
      <ns0:c r="J633" s="29"/>
      <ns0:c r="K633" s="29"/>
    </ns0:row>
    <ns0:row r="634" ht="28" customHeight="1">
      <ns0:c r="A634" s="29"/>
      <ns0:c r="B634" s="30"/>
      <ns0:c r="C634" s="28"/>
      <ns0:c r="D634" s="29"/>
      <ns0:c r="E634" s="31"/>
      <ns0:c r="F634" s="32"/>
      <ns0:c r="G634" s="29"/>
      <ns0:c r="H634" s="29"/>
      <ns0:c r="I634" s="29"/>
      <ns0:c r="J634" s="29"/>
      <ns0:c r="K634" s="29"/>
    </ns0:row>
    <ns0:row r="635" ht="28" customHeight="1">
      <ns0:c r="A635" s="29"/>
      <ns0:c r="B635" s="30"/>
      <ns0:c r="C635" s="28"/>
      <ns0:c r="D635" s="29"/>
      <ns0:c r="E635" s="31"/>
      <ns0:c r="F635" s="32"/>
      <ns0:c r="G635" s="29"/>
      <ns0:c r="H635" s="29"/>
      <ns0:c r="I635" s="29"/>
      <ns0:c r="J635" s="29"/>
      <ns0:c r="K635" s="29"/>
    </ns0:row>
    <ns0:row r="636" ht="28" customHeight="1">
      <ns0:c r="A636" s="29"/>
      <ns0:c r="B636" s="30"/>
      <ns0:c r="C636" s="28"/>
      <ns0:c r="D636" s="29"/>
      <ns0:c r="E636" s="31"/>
      <ns0:c r="F636" s="32"/>
      <ns0:c r="G636" s="29"/>
      <ns0:c r="H636" s="29"/>
      <ns0:c r="I636" s="29"/>
      <ns0:c r="J636" s="29"/>
      <ns0:c r="K636" s="29"/>
    </ns0:row>
    <ns0:row r="637" ht="28" customHeight="1">
      <ns0:c r="A637" s="29"/>
      <ns0:c r="B637" s="30"/>
      <ns0:c r="C637" s="28"/>
      <ns0:c r="D637" s="29"/>
      <ns0:c r="E637" s="31"/>
      <ns0:c r="F637" s="32"/>
      <ns0:c r="G637" s="29"/>
      <ns0:c r="H637" s="29"/>
      <ns0:c r="I637" s="29"/>
      <ns0:c r="J637" s="29"/>
      <ns0:c r="K637" s="29"/>
    </ns0:row>
    <ns0:row r="638" ht="28" customHeight="1">
      <ns0:c r="A638" s="29"/>
      <ns0:c r="B638" s="30"/>
      <ns0:c r="C638" s="28"/>
      <ns0:c r="D638" s="29"/>
      <ns0:c r="E638" s="31"/>
      <ns0:c r="F638" s="32"/>
      <ns0:c r="G638" s="29"/>
      <ns0:c r="H638" s="29"/>
      <ns0:c r="I638" s="29"/>
      <ns0:c r="J638" s="29"/>
      <ns0:c r="K638" s="29"/>
    </ns0:row>
    <ns0:row r="639" ht="28" customHeight="1">
      <ns0:c r="A639" s="29"/>
      <ns0:c r="B639" s="30"/>
      <ns0:c r="C639" s="28"/>
      <ns0:c r="D639" s="29"/>
      <ns0:c r="E639" s="31"/>
      <ns0:c r="F639" s="32"/>
      <ns0:c r="G639" s="29"/>
      <ns0:c r="H639" s="29"/>
      <ns0:c r="I639" s="29"/>
      <ns0:c r="J639" s="29"/>
      <ns0:c r="K639" s="29"/>
    </ns0:row>
    <ns0:row r="640" ht="28" customHeight="1">
      <ns0:c r="A640" s="29"/>
      <ns0:c r="B640" s="30"/>
      <ns0:c r="C640" s="28"/>
      <ns0:c r="D640" s="29"/>
      <ns0:c r="E640" s="31"/>
      <ns0:c r="F640" s="32"/>
      <ns0:c r="G640" s="29"/>
      <ns0:c r="H640" s="29"/>
      <ns0:c r="I640" s="29"/>
      <ns0:c r="J640" s="29"/>
      <ns0:c r="K640" s="29"/>
    </ns0:row>
    <ns0:row r="641" ht="28" customHeight="1">
      <ns0:c r="A641" s="29"/>
      <ns0:c r="B641" s="30"/>
      <ns0:c r="C641" s="28"/>
      <ns0:c r="D641" s="29"/>
      <ns0:c r="E641" s="31"/>
      <ns0:c r="F641" s="32"/>
      <ns0:c r="G641" s="29"/>
      <ns0:c r="H641" s="29"/>
      <ns0:c r="I641" s="29"/>
      <ns0:c r="J641" s="29"/>
      <ns0:c r="K641" s="29"/>
    </ns0:row>
    <ns0:row r="642" ht="28" customHeight="1">
      <ns0:c r="A642" s="29"/>
      <ns0:c r="B642" s="30"/>
      <ns0:c r="C642" s="28"/>
      <ns0:c r="D642" s="29"/>
      <ns0:c r="E642" s="31"/>
      <ns0:c r="F642" s="32"/>
      <ns0:c r="G642" s="29"/>
      <ns0:c r="H642" s="29"/>
      <ns0:c r="I642" s="29"/>
      <ns0:c r="J642" s="29"/>
      <ns0:c r="K642" s="29"/>
    </ns0:row>
    <ns0:row r="643" ht="28" customHeight="1">
      <ns0:c r="A643" s="29"/>
      <ns0:c r="B643" s="30"/>
      <ns0:c r="C643" s="28"/>
      <ns0:c r="D643" s="29"/>
      <ns0:c r="E643" s="31"/>
      <ns0:c r="F643" s="32"/>
      <ns0:c r="G643" s="29"/>
      <ns0:c r="H643" s="29"/>
      <ns0:c r="I643" s="29"/>
      <ns0:c r="J643" s="29"/>
      <ns0:c r="K643" s="29"/>
    </ns0:row>
    <ns0:row r="644" ht="28" customHeight="1">
      <ns0:c r="A644" s="29"/>
      <ns0:c r="B644" s="30"/>
      <ns0:c r="C644" s="28"/>
      <ns0:c r="D644" s="29"/>
      <ns0:c r="E644" s="31"/>
      <ns0:c r="F644" s="32"/>
      <ns0:c r="G644" s="29"/>
      <ns0:c r="H644" s="29"/>
      <ns0:c r="I644" s="29"/>
      <ns0:c r="J644" s="29"/>
      <ns0:c r="K644" s="29"/>
    </ns0:row>
    <ns0:row r="645" ht="28" customHeight="1">
      <ns0:c r="A645" s="29"/>
      <ns0:c r="B645" s="30"/>
      <ns0:c r="C645" s="28"/>
      <ns0:c r="D645" s="29"/>
      <ns0:c r="E645" s="31"/>
      <ns0:c r="F645" s="32"/>
      <ns0:c r="G645" s="29"/>
      <ns0:c r="H645" s="29"/>
      <ns0:c r="I645" s="29"/>
      <ns0:c r="J645" s="29"/>
      <ns0:c r="K645" s="29"/>
    </ns0:row>
    <ns0:row r="646" ht="28" customHeight="1">
      <ns0:c r="A646" s="29"/>
      <ns0:c r="B646" s="30"/>
      <ns0:c r="C646" s="28"/>
      <ns0:c r="D646" s="29"/>
      <ns0:c r="E646" s="31"/>
      <ns0:c r="F646" s="32"/>
      <ns0:c r="G646" s="29"/>
      <ns0:c r="H646" s="29"/>
      <ns0:c r="I646" s="29"/>
      <ns0:c r="J646" s="29"/>
      <ns0:c r="K646" s="29"/>
    </ns0:row>
    <ns0:row r="647" ht="28" customHeight="1">
      <ns0:c r="A647" s="29"/>
      <ns0:c r="B647" s="30"/>
      <ns0:c r="C647" s="28"/>
      <ns0:c r="D647" s="29"/>
      <ns0:c r="E647" s="31"/>
      <ns0:c r="F647" s="32"/>
      <ns0:c r="G647" s="29"/>
      <ns0:c r="H647" s="29"/>
      <ns0:c r="I647" s="29"/>
      <ns0:c r="J647" s="29"/>
      <ns0:c r="K647" s="29"/>
    </ns0:row>
    <ns0:row r="648" ht="28" customHeight="1">
      <ns0:c r="A648" s="29"/>
      <ns0:c r="B648" s="30"/>
      <ns0:c r="C648" s="28"/>
      <ns0:c r="D648" s="29"/>
      <ns0:c r="E648" s="31"/>
      <ns0:c r="F648" s="32"/>
      <ns0:c r="G648" s="29"/>
      <ns0:c r="H648" s="29"/>
      <ns0:c r="I648" s="29"/>
      <ns0:c r="J648" s="29"/>
      <ns0:c r="K648" s="29"/>
    </ns0:row>
    <ns0:row r="649" ht="28" customHeight="1">
      <ns0:c r="A649" s="29"/>
      <ns0:c r="B649" s="30"/>
      <ns0:c r="C649" s="28"/>
      <ns0:c r="D649" s="29"/>
      <ns0:c r="E649" s="31"/>
      <ns0:c r="F649" s="32"/>
      <ns0:c r="G649" s="29"/>
      <ns0:c r="H649" s="29"/>
      <ns0:c r="I649" s="29"/>
      <ns0:c r="J649" s="29"/>
      <ns0:c r="K649" s="29"/>
    </ns0:row>
    <ns0:row r="650" ht="28" customHeight="1">
      <ns0:c r="A650" s="29"/>
      <ns0:c r="B650" s="30"/>
      <ns0:c r="C650" s="28"/>
      <ns0:c r="D650" s="29"/>
      <ns0:c r="E650" s="31"/>
      <ns0:c r="F650" s="32"/>
      <ns0:c r="G650" s="29"/>
      <ns0:c r="H650" s="29"/>
      <ns0:c r="I650" s="29"/>
      <ns0:c r="J650" s="29"/>
      <ns0:c r="K650" s="29"/>
    </ns0:row>
    <ns0:row r="651" ht="28" customHeight="1">
      <ns0:c r="A651" s="29"/>
      <ns0:c r="B651" s="30"/>
      <ns0:c r="C651" s="28"/>
      <ns0:c r="D651" s="29"/>
      <ns0:c r="E651" s="31"/>
      <ns0:c r="F651" s="32"/>
      <ns0:c r="G651" s="29"/>
      <ns0:c r="H651" s="29"/>
      <ns0:c r="I651" s="29"/>
      <ns0:c r="J651" s="29"/>
      <ns0:c r="K651" s="29"/>
    </ns0:row>
    <ns0:row r="652" ht="28" customHeight="1">
      <ns0:c r="A652" s="29"/>
      <ns0:c r="B652" s="30"/>
      <ns0:c r="C652" s="28"/>
      <ns0:c r="D652" s="29"/>
      <ns0:c r="E652" s="31"/>
      <ns0:c r="F652" s="32"/>
      <ns0:c r="G652" s="29"/>
      <ns0:c r="H652" s="29"/>
      <ns0:c r="I652" s="29"/>
      <ns0:c r="J652" s="29"/>
      <ns0:c r="K652" s="29"/>
    </ns0:row>
    <ns0:row r="653" ht="28" customHeight="1">
      <ns0:c r="A653" s="29"/>
      <ns0:c r="B653" s="30"/>
      <ns0:c r="C653" s="28"/>
      <ns0:c r="D653" s="29"/>
      <ns0:c r="E653" s="31"/>
      <ns0:c r="F653" s="32"/>
      <ns0:c r="G653" s="29"/>
      <ns0:c r="H653" s="29"/>
      <ns0:c r="I653" s="29"/>
      <ns0:c r="J653" s="29"/>
      <ns0:c r="K653" s="29"/>
    </ns0:row>
    <ns0:row r="654" ht="28" customHeight="1">
      <ns0:c r="A654" s="29"/>
      <ns0:c r="B654" s="30"/>
      <ns0:c r="C654" s="28"/>
      <ns0:c r="D654" s="29"/>
      <ns0:c r="E654" s="31"/>
      <ns0:c r="F654" s="32"/>
      <ns0:c r="G654" s="29"/>
      <ns0:c r="H654" s="29"/>
      <ns0:c r="I654" s="29"/>
      <ns0:c r="J654" s="29"/>
      <ns0:c r="K654" s="29"/>
    </ns0:row>
    <ns0:row r="655" ht="28" customHeight="1">
      <ns0:c r="A655" s="29"/>
      <ns0:c r="B655" s="30"/>
      <ns0:c r="C655" s="28"/>
      <ns0:c r="D655" s="29"/>
      <ns0:c r="E655" s="31"/>
      <ns0:c r="F655" s="32"/>
      <ns0:c r="G655" s="29"/>
      <ns0:c r="H655" s="29"/>
      <ns0:c r="I655" s="29"/>
      <ns0:c r="J655" s="29"/>
      <ns0:c r="K655" s="29"/>
    </ns0:row>
    <ns0:row r="656" ht="28" customHeight="1">
      <ns0:c r="A656" s="29"/>
      <ns0:c r="B656" s="30"/>
      <ns0:c r="C656" s="28"/>
      <ns0:c r="D656" s="29"/>
      <ns0:c r="E656" s="31"/>
      <ns0:c r="F656" s="32"/>
      <ns0:c r="G656" s="29"/>
      <ns0:c r="H656" s="29"/>
      <ns0:c r="I656" s="29"/>
      <ns0:c r="J656" s="29"/>
      <ns0:c r="K656" s="29"/>
    </ns0:row>
    <ns0:row r="657" ht="28" customHeight="1">
      <ns0:c r="A657" s="29"/>
      <ns0:c r="B657" s="30"/>
      <ns0:c r="C657" s="28"/>
      <ns0:c r="D657" s="29"/>
      <ns0:c r="E657" s="31"/>
      <ns0:c r="F657" s="32"/>
      <ns0:c r="G657" s="29"/>
      <ns0:c r="H657" s="29"/>
      <ns0:c r="I657" s="29"/>
      <ns0:c r="J657" s="29"/>
      <ns0:c r="K657" s="29"/>
    </ns0:row>
    <ns0:row r="658" ht="28" customHeight="1">
      <ns0:c r="A658" s="29"/>
      <ns0:c r="B658" s="30"/>
      <ns0:c r="C658" s="28"/>
      <ns0:c r="D658" s="29"/>
      <ns0:c r="E658" s="31"/>
      <ns0:c r="F658" s="32"/>
      <ns0:c r="G658" s="29"/>
      <ns0:c r="H658" s="29"/>
      <ns0:c r="I658" s="29"/>
      <ns0:c r="J658" s="29"/>
      <ns0:c r="K658" s="29"/>
    </ns0:row>
    <ns0:row r="659" ht="28" customHeight="1">
      <ns0:c r="A659" s="29"/>
      <ns0:c r="B659" s="30"/>
      <ns0:c r="C659" s="28"/>
      <ns0:c r="D659" s="29"/>
      <ns0:c r="E659" s="31"/>
      <ns0:c r="F659" s="32"/>
      <ns0:c r="G659" s="29"/>
      <ns0:c r="H659" s="29"/>
      <ns0:c r="I659" s="29"/>
      <ns0:c r="J659" s="29"/>
      <ns0:c r="K659" s="29"/>
    </ns0:row>
    <ns0:row r="660" ht="28" customHeight="1">
      <ns0:c r="A660" s="29"/>
      <ns0:c r="B660" s="30"/>
      <ns0:c r="C660" s="28"/>
      <ns0:c r="D660" s="29"/>
      <ns0:c r="E660" s="31"/>
      <ns0:c r="F660" s="32"/>
      <ns0:c r="G660" s="29"/>
      <ns0:c r="H660" s="29"/>
      <ns0:c r="I660" s="29"/>
      <ns0:c r="J660" s="29"/>
      <ns0:c r="K660" s="29"/>
    </ns0:row>
    <ns0:row r="661" ht="28" customHeight="1">
      <ns0:c r="A661" s="29"/>
      <ns0:c r="B661" s="30"/>
      <ns0:c r="C661" s="28"/>
      <ns0:c r="D661" s="29"/>
      <ns0:c r="E661" s="31"/>
      <ns0:c r="F661" s="32"/>
      <ns0:c r="G661" s="29"/>
      <ns0:c r="H661" s="29"/>
      <ns0:c r="I661" s="29"/>
      <ns0:c r="J661" s="29"/>
      <ns0:c r="K661" s="29"/>
    </ns0:row>
    <ns0:row r="662" ht="28" customHeight="1">
      <ns0:c r="A662" s="29"/>
      <ns0:c r="B662" s="30"/>
      <ns0:c r="C662" s="28"/>
      <ns0:c r="D662" s="29"/>
      <ns0:c r="E662" s="31"/>
      <ns0:c r="F662" s="32"/>
      <ns0:c r="G662" s="29"/>
      <ns0:c r="H662" s="29"/>
      <ns0:c r="I662" s="29"/>
      <ns0:c r="J662" s="29"/>
      <ns0:c r="K662" s="29"/>
    </ns0:row>
    <ns0:row r="663" ht="28" customHeight="1">
      <ns0:c r="A663" s="29"/>
      <ns0:c r="B663" s="30"/>
      <ns0:c r="C663" s="28"/>
      <ns0:c r="D663" s="29"/>
      <ns0:c r="E663" s="31"/>
      <ns0:c r="F663" s="32"/>
      <ns0:c r="G663" s="29"/>
      <ns0:c r="H663" s="29"/>
      <ns0:c r="I663" s="29"/>
      <ns0:c r="J663" s="29"/>
      <ns0:c r="K663" s="29"/>
    </ns0:row>
    <ns0:row r="664" ht="28" customHeight="1">
      <ns0:c r="A664" s="29"/>
      <ns0:c r="B664" s="30"/>
      <ns0:c r="C664" s="28"/>
      <ns0:c r="D664" s="29"/>
      <ns0:c r="E664" s="31"/>
      <ns0:c r="F664" s="32"/>
      <ns0:c r="G664" s="29"/>
      <ns0:c r="H664" s="29"/>
      <ns0:c r="I664" s="29"/>
      <ns0:c r="J664" s="29"/>
      <ns0:c r="K664" s="29"/>
    </ns0:row>
    <ns0:row r="665" ht="28" customHeight="1">
      <ns0:c r="A665" s="29"/>
      <ns0:c r="B665" s="30"/>
      <ns0:c r="C665" s="28"/>
      <ns0:c r="D665" s="29"/>
      <ns0:c r="E665" s="31"/>
      <ns0:c r="F665" s="32"/>
      <ns0:c r="G665" s="29"/>
      <ns0:c r="H665" s="29"/>
      <ns0:c r="I665" s="29"/>
      <ns0:c r="J665" s="29"/>
      <ns0:c r="K665" s="29"/>
    </ns0:row>
    <ns0:row r="666" ht="28" customHeight="1">
      <ns0:c r="A666" s="29"/>
      <ns0:c r="B666" s="30"/>
      <ns0:c r="C666" s="28"/>
      <ns0:c r="D666" s="29"/>
      <ns0:c r="E666" s="31"/>
      <ns0:c r="F666" s="32"/>
      <ns0:c r="G666" s="29"/>
      <ns0:c r="H666" s="29"/>
      <ns0:c r="I666" s="29"/>
      <ns0:c r="J666" s="29"/>
      <ns0:c r="K666" s="29"/>
    </ns0:row>
    <ns0:row r="667" ht="28" customHeight="1">
      <ns0:c r="A667" s="29"/>
      <ns0:c r="B667" s="30"/>
      <ns0:c r="C667" s="28"/>
      <ns0:c r="D667" s="29"/>
      <ns0:c r="E667" s="31"/>
      <ns0:c r="F667" s="32"/>
      <ns0:c r="G667" s="29"/>
      <ns0:c r="H667" s="29"/>
      <ns0:c r="I667" s="29"/>
      <ns0:c r="J667" s="29"/>
      <ns0:c r="K667" s="29"/>
    </ns0:row>
    <ns0:row r="668" ht="28" customHeight="1">
      <ns0:c r="A668" s="29"/>
      <ns0:c r="B668" s="30"/>
      <ns0:c r="C668" s="28"/>
      <ns0:c r="D668" s="29"/>
      <ns0:c r="E668" s="31"/>
      <ns0:c r="F668" s="32"/>
      <ns0:c r="G668" s="29"/>
      <ns0:c r="H668" s="29"/>
      <ns0:c r="I668" s="29"/>
      <ns0:c r="J668" s="29"/>
      <ns0:c r="K668" s="29"/>
    </ns0:row>
    <ns0:row r="669" ht="28" customHeight="1">
      <ns0:c r="A669" s="29"/>
      <ns0:c r="B669" s="30"/>
      <ns0:c r="C669" s="28"/>
      <ns0:c r="D669" s="29"/>
      <ns0:c r="E669" s="31"/>
      <ns0:c r="F669" s="32"/>
      <ns0:c r="G669" s="29"/>
      <ns0:c r="H669" s="29"/>
      <ns0:c r="I669" s="29"/>
      <ns0:c r="J669" s="29"/>
      <ns0:c r="K669" s="29"/>
    </ns0:row>
    <ns0:row r="670" ht="28" customHeight="1">
      <ns0:c r="A670" s="29"/>
      <ns0:c r="B670" s="30"/>
      <ns0:c r="C670" s="28"/>
      <ns0:c r="D670" s="29"/>
      <ns0:c r="E670" s="31"/>
      <ns0:c r="F670" s="32"/>
      <ns0:c r="G670" s="29"/>
      <ns0:c r="H670" s="29"/>
      <ns0:c r="I670" s="29"/>
      <ns0:c r="J670" s="29"/>
      <ns0:c r="K670" s="29"/>
    </ns0:row>
    <ns0:row r="671" ht="28" customHeight="1">
      <ns0:c r="A671" s="29"/>
      <ns0:c r="B671" s="30"/>
      <ns0:c r="C671" s="28"/>
      <ns0:c r="D671" s="29"/>
      <ns0:c r="E671" s="31"/>
      <ns0:c r="F671" s="32"/>
      <ns0:c r="G671" s="29"/>
      <ns0:c r="H671" s="29"/>
      <ns0:c r="I671" s="29"/>
      <ns0:c r="J671" s="29"/>
      <ns0:c r="K671" s="29"/>
    </ns0:row>
    <ns0:row r="672" ht="28" customHeight="1">
      <ns0:c r="A672" s="29"/>
      <ns0:c r="B672" s="30"/>
      <ns0:c r="C672" s="28"/>
      <ns0:c r="D672" s="29"/>
      <ns0:c r="E672" s="31"/>
      <ns0:c r="F672" s="32"/>
      <ns0:c r="G672" s="29"/>
      <ns0:c r="H672" s="29"/>
      <ns0:c r="I672" s="29"/>
      <ns0:c r="J672" s="29"/>
      <ns0:c r="K672" s="29"/>
    </ns0:row>
    <ns0:row r="673" ht="28" customHeight="1">
      <ns0:c r="A673" s="29"/>
      <ns0:c r="B673" s="30"/>
      <ns0:c r="C673" s="28"/>
      <ns0:c r="D673" s="29"/>
      <ns0:c r="E673" s="31"/>
      <ns0:c r="F673" s="32"/>
      <ns0:c r="G673" s="29"/>
      <ns0:c r="H673" s="29"/>
      <ns0:c r="I673" s="29"/>
      <ns0:c r="J673" s="29"/>
      <ns0:c r="K673" s="29"/>
    </ns0:row>
    <ns0:row r="674" ht="28" customHeight="1">
      <ns0:c r="A674" s="29"/>
      <ns0:c r="B674" s="30"/>
      <ns0:c r="C674" s="28"/>
      <ns0:c r="D674" s="29"/>
      <ns0:c r="E674" s="31"/>
      <ns0:c r="F674" s="32"/>
      <ns0:c r="G674" s="29"/>
      <ns0:c r="H674" s="29"/>
      <ns0:c r="I674" s="29"/>
      <ns0:c r="J674" s="29"/>
      <ns0:c r="K674" s="29"/>
    </ns0:row>
    <ns0:row r="675" ht="28" customHeight="1">
      <ns0:c r="A675" s="29"/>
      <ns0:c r="B675" s="30"/>
      <ns0:c r="C675" s="28"/>
      <ns0:c r="D675" s="29"/>
      <ns0:c r="E675" s="31"/>
      <ns0:c r="F675" s="32"/>
      <ns0:c r="G675" s="29"/>
      <ns0:c r="H675" s="29"/>
      <ns0:c r="I675" s="29"/>
      <ns0:c r="J675" s="29"/>
      <ns0:c r="K675" s="29"/>
    </ns0:row>
    <ns0:row r="676" ht="28" customHeight="1">
      <ns0:c r="A676" s="29"/>
      <ns0:c r="B676" s="30"/>
      <ns0:c r="C676" s="28"/>
      <ns0:c r="D676" s="29"/>
      <ns0:c r="E676" s="31"/>
      <ns0:c r="F676" s="32"/>
      <ns0:c r="G676" s="29"/>
      <ns0:c r="H676" s="29"/>
      <ns0:c r="I676" s="29"/>
      <ns0:c r="J676" s="29"/>
      <ns0:c r="K676" s="29"/>
    </ns0:row>
    <ns0:row r="677" ht="28" customHeight="1">
      <ns0:c r="A677" s="29"/>
      <ns0:c r="B677" s="30"/>
      <ns0:c r="C677" s="28"/>
      <ns0:c r="D677" s="29"/>
      <ns0:c r="E677" s="31"/>
      <ns0:c r="F677" s="32"/>
      <ns0:c r="G677" s="29"/>
      <ns0:c r="H677" s="29"/>
      <ns0:c r="I677" s="29"/>
      <ns0:c r="J677" s="29"/>
      <ns0:c r="K677" s="29"/>
    </ns0:row>
    <ns0:row r="678" ht="28" customHeight="1">
      <ns0:c r="A678" s="29"/>
      <ns0:c r="B678" s="30"/>
      <ns0:c r="C678" s="28"/>
      <ns0:c r="D678" s="29"/>
      <ns0:c r="E678" s="31"/>
      <ns0:c r="F678" s="32"/>
      <ns0:c r="G678" s="29"/>
      <ns0:c r="H678" s="29"/>
      <ns0:c r="I678" s="29"/>
      <ns0:c r="J678" s="29"/>
      <ns0:c r="K678" s="29"/>
    </ns0:row>
    <ns0:row r="679" ht="28" customHeight="1">
      <ns0:c r="A679" s="29"/>
      <ns0:c r="B679" s="30"/>
      <ns0:c r="C679" s="28"/>
      <ns0:c r="D679" s="29"/>
      <ns0:c r="E679" s="31"/>
      <ns0:c r="F679" s="32"/>
      <ns0:c r="G679" s="29"/>
      <ns0:c r="H679" s="29"/>
      <ns0:c r="I679" s="29"/>
      <ns0:c r="J679" s="29"/>
      <ns0:c r="K679" s="29"/>
    </ns0:row>
    <ns0:row r="680" ht="28" customHeight="1">
      <ns0:c r="A680" s="29"/>
      <ns0:c r="B680" s="30"/>
      <ns0:c r="C680" s="28"/>
      <ns0:c r="D680" s="29"/>
      <ns0:c r="E680" s="31"/>
      <ns0:c r="F680" s="32"/>
      <ns0:c r="G680" s="29"/>
      <ns0:c r="H680" s="29"/>
      <ns0:c r="I680" s="29"/>
      <ns0:c r="J680" s="29"/>
      <ns0:c r="K680" s="29"/>
    </ns0:row>
    <ns0:row r="681" ht="28" customHeight="1">
      <ns0:c r="A681" s="29"/>
      <ns0:c r="B681" s="30"/>
      <ns0:c r="C681" s="28"/>
      <ns0:c r="D681" s="29"/>
      <ns0:c r="E681" s="31"/>
      <ns0:c r="F681" s="32"/>
      <ns0:c r="G681" s="29"/>
      <ns0:c r="H681" s="29"/>
      <ns0:c r="I681" s="29"/>
      <ns0:c r="J681" s="29"/>
      <ns0:c r="K681" s="29"/>
    </ns0:row>
    <ns0:row r="682" ht="28" customHeight="1">
      <ns0:c r="A682" s="29"/>
      <ns0:c r="B682" s="30"/>
      <ns0:c r="C682" s="28"/>
      <ns0:c r="D682" s="29"/>
      <ns0:c r="E682" s="31"/>
      <ns0:c r="F682" s="32"/>
      <ns0:c r="G682" s="29"/>
      <ns0:c r="H682" s="29"/>
      <ns0:c r="I682" s="29"/>
      <ns0:c r="J682" s="29"/>
      <ns0:c r="K682" s="29"/>
    </ns0:row>
    <ns0:row r="683" ht="28" customHeight="1">
      <ns0:c r="A683" s="29"/>
      <ns0:c r="B683" s="30"/>
      <ns0:c r="C683" s="28"/>
      <ns0:c r="D683" s="29"/>
      <ns0:c r="E683" s="31"/>
      <ns0:c r="F683" s="32"/>
      <ns0:c r="G683" s="29"/>
      <ns0:c r="H683" s="29"/>
      <ns0:c r="I683" s="29"/>
      <ns0:c r="J683" s="29"/>
      <ns0:c r="K683" s="29"/>
    </ns0:row>
    <ns0:row r="684" ht="28" customHeight="1">
      <ns0:c r="A684" s="29"/>
      <ns0:c r="B684" s="30"/>
      <ns0:c r="C684" s="28"/>
      <ns0:c r="D684" s="29"/>
      <ns0:c r="E684" s="31"/>
      <ns0:c r="F684" s="32"/>
      <ns0:c r="G684" s="29"/>
      <ns0:c r="H684" s="29"/>
      <ns0:c r="I684" s="29"/>
      <ns0:c r="J684" s="29"/>
      <ns0:c r="K684" s="29"/>
    </ns0:row>
    <ns0:row r="685" ht="28" customHeight="1">
      <ns0:c r="A685" s="29"/>
      <ns0:c r="B685" s="30"/>
      <ns0:c r="C685" s="28"/>
      <ns0:c r="D685" s="29"/>
      <ns0:c r="E685" s="31"/>
      <ns0:c r="F685" s="32"/>
      <ns0:c r="G685" s="29"/>
      <ns0:c r="H685" s="29"/>
      <ns0:c r="I685" s="29"/>
      <ns0:c r="J685" s="29"/>
      <ns0:c r="K685" s="29"/>
    </ns0:row>
    <ns0:row r="686" ht="28" customHeight="1">
      <ns0:c r="A686" s="29"/>
      <ns0:c r="B686" s="30"/>
      <ns0:c r="C686" s="28"/>
      <ns0:c r="D686" s="29"/>
      <ns0:c r="E686" s="31"/>
      <ns0:c r="F686" s="32"/>
      <ns0:c r="G686" s="29"/>
      <ns0:c r="H686" s="29"/>
      <ns0:c r="I686" s="29"/>
      <ns0:c r="J686" s="29"/>
      <ns0:c r="K686" s="29"/>
    </ns0:row>
    <ns0:row r="687" ht="28" customHeight="1">
      <ns0:c r="A687" s="29"/>
      <ns0:c r="B687" s="30"/>
      <ns0:c r="C687" s="28"/>
      <ns0:c r="D687" s="29"/>
      <ns0:c r="E687" s="31"/>
      <ns0:c r="F687" s="32"/>
      <ns0:c r="G687" s="29"/>
      <ns0:c r="H687" s="29"/>
      <ns0:c r="I687" s="29"/>
      <ns0:c r="J687" s="29"/>
      <ns0:c r="K687" s="29"/>
    </ns0:row>
    <ns0:row r="688" ht="28" customHeight="1">
      <ns0:c r="A688" s="29"/>
      <ns0:c r="B688" s="30"/>
      <ns0:c r="C688" s="28"/>
      <ns0:c r="D688" s="29"/>
      <ns0:c r="E688" s="31"/>
      <ns0:c r="F688" s="32"/>
      <ns0:c r="G688" s="29"/>
      <ns0:c r="H688" s="29"/>
      <ns0:c r="I688" s="29"/>
      <ns0:c r="J688" s="29"/>
      <ns0:c r="K688" s="29"/>
    </ns0:row>
    <ns0:row r="689" ht="28" customHeight="1">
      <ns0:c r="A689" s="29"/>
      <ns0:c r="B689" s="30"/>
      <ns0:c r="C689" s="28"/>
      <ns0:c r="D689" s="29"/>
      <ns0:c r="E689" s="31"/>
      <ns0:c r="F689" s="32"/>
      <ns0:c r="G689" s="29"/>
      <ns0:c r="H689" s="29"/>
      <ns0:c r="I689" s="29"/>
      <ns0:c r="J689" s="29"/>
      <ns0:c r="K689" s="29"/>
    </ns0:row>
    <ns0:row r="690" ht="28" customHeight="1">
      <ns0:c r="A690" s="29"/>
      <ns0:c r="B690" s="30"/>
      <ns0:c r="C690" s="28"/>
      <ns0:c r="D690" s="29"/>
      <ns0:c r="E690" s="31"/>
      <ns0:c r="F690" s="32"/>
      <ns0:c r="G690" s="29"/>
      <ns0:c r="H690" s="29"/>
      <ns0:c r="I690" s="29"/>
      <ns0:c r="J690" s="29"/>
      <ns0:c r="K690" s="29"/>
    </ns0:row>
    <ns0:row r="691" ht="28" customHeight="1">
      <ns0:c r="A691" s="29"/>
      <ns0:c r="B691" s="30"/>
      <ns0:c r="C691" s="28"/>
      <ns0:c r="D691" s="29"/>
      <ns0:c r="E691" s="31"/>
      <ns0:c r="F691" s="32"/>
      <ns0:c r="G691" s="29"/>
      <ns0:c r="H691" s="29"/>
      <ns0:c r="I691" s="29"/>
      <ns0:c r="J691" s="29"/>
      <ns0:c r="K691" s="29"/>
    </ns0:row>
    <ns0:row r="692" ht="28" customHeight="1">
      <ns0:c r="A692" s="29"/>
      <ns0:c r="B692" s="30"/>
      <ns0:c r="C692" s="28"/>
      <ns0:c r="D692" s="29"/>
      <ns0:c r="E692" s="31"/>
      <ns0:c r="F692" s="32"/>
      <ns0:c r="G692" s="29"/>
      <ns0:c r="H692" s="29"/>
      <ns0:c r="I692" s="29"/>
      <ns0:c r="J692" s="29"/>
      <ns0:c r="K692" s="29"/>
    </ns0:row>
    <ns0:row r="693" ht="28" customHeight="1">
      <ns0:c r="A693" s="29"/>
      <ns0:c r="B693" s="30"/>
      <ns0:c r="C693" s="28"/>
      <ns0:c r="D693" s="29"/>
      <ns0:c r="E693" s="31"/>
      <ns0:c r="F693" s="32"/>
      <ns0:c r="G693" s="29"/>
      <ns0:c r="H693" s="29"/>
      <ns0:c r="I693" s="29"/>
      <ns0:c r="J693" s="29"/>
      <ns0:c r="K693" s="29"/>
    </ns0:row>
    <ns0:row r="694" ht="28" customHeight="1">
      <ns0:c r="A694" s="29"/>
      <ns0:c r="B694" s="30"/>
      <ns0:c r="C694" s="28"/>
      <ns0:c r="D694" s="29"/>
      <ns0:c r="E694" s="31"/>
      <ns0:c r="F694" s="32"/>
      <ns0:c r="G694" s="29"/>
      <ns0:c r="H694" s="29"/>
      <ns0:c r="I694" s="29"/>
      <ns0:c r="J694" s="29"/>
      <ns0:c r="K694" s="29"/>
    </ns0:row>
    <ns0:row r="695" ht="28" customHeight="1">
      <ns0:c r="A695" s="29"/>
      <ns0:c r="B695" s="30"/>
      <ns0:c r="C695" s="28"/>
      <ns0:c r="D695" s="29"/>
      <ns0:c r="E695" s="31"/>
      <ns0:c r="F695" s="32"/>
      <ns0:c r="G695" s="29"/>
      <ns0:c r="H695" s="29"/>
      <ns0:c r="I695" s="29"/>
      <ns0:c r="J695" s="29"/>
      <ns0:c r="K695" s="29"/>
    </ns0:row>
    <ns0:row r="696" ht="28" customHeight="1">
      <ns0:c r="A696" s="29"/>
      <ns0:c r="B696" s="30"/>
      <ns0:c r="C696" s="28"/>
      <ns0:c r="D696" s="29"/>
      <ns0:c r="E696" s="31"/>
      <ns0:c r="F696" s="32"/>
      <ns0:c r="G696" s="29"/>
      <ns0:c r="H696" s="29"/>
      <ns0:c r="I696" s="29"/>
      <ns0:c r="J696" s="29"/>
      <ns0:c r="K696" s="29"/>
    </ns0:row>
    <ns0:row r="697" ht="28" customHeight="1">
      <ns0:c r="A697" s="29"/>
      <ns0:c r="B697" s="30"/>
      <ns0:c r="C697" s="28"/>
      <ns0:c r="D697" s="29"/>
      <ns0:c r="E697" s="31"/>
      <ns0:c r="F697" s="32"/>
      <ns0:c r="G697" s="29"/>
      <ns0:c r="H697" s="29"/>
      <ns0:c r="I697" s="29"/>
      <ns0:c r="J697" s="29"/>
      <ns0:c r="K697" s="29"/>
    </ns0:row>
    <ns0:row r="698" ht="28" customHeight="1">
      <ns0:c r="A698" s="29"/>
      <ns0:c r="B698" s="30"/>
      <ns0:c r="C698" s="28"/>
      <ns0:c r="D698" s="29"/>
      <ns0:c r="E698" s="31"/>
      <ns0:c r="F698" s="32"/>
      <ns0:c r="G698" s="29"/>
      <ns0:c r="H698" s="29"/>
      <ns0:c r="I698" s="29"/>
      <ns0:c r="J698" s="29"/>
      <ns0:c r="K698" s="29"/>
    </ns0:row>
    <ns0:row r="699" ht="28" customHeight="1">
      <ns0:c r="A699" s="29"/>
      <ns0:c r="B699" s="30"/>
      <ns0:c r="C699" s="28"/>
      <ns0:c r="D699" s="29"/>
      <ns0:c r="E699" s="31"/>
      <ns0:c r="F699" s="32"/>
      <ns0:c r="G699" s="29"/>
      <ns0:c r="H699" s="29"/>
      <ns0:c r="I699" s="29"/>
      <ns0:c r="J699" s="29"/>
      <ns0:c r="K699" s="29"/>
    </ns0:row>
    <ns0:row r="700" ht="28" customHeight="1">
      <ns0:c r="A700" s="29"/>
      <ns0:c r="B700" s="30"/>
      <ns0:c r="C700" s="28"/>
      <ns0:c r="D700" s="29"/>
      <ns0:c r="E700" s="31"/>
      <ns0:c r="F700" s="32"/>
      <ns0:c r="G700" s="29"/>
      <ns0:c r="H700" s="29"/>
      <ns0:c r="I700" s="29"/>
      <ns0:c r="J700" s="29"/>
      <ns0:c r="K700" s="29"/>
    </ns0:row>
    <ns0:row r="701" ht="28" customHeight="1">
      <ns0:c r="A701" s="29"/>
      <ns0:c r="B701" s="30"/>
      <ns0:c r="C701" s="28"/>
      <ns0:c r="D701" s="29"/>
      <ns0:c r="E701" s="31"/>
      <ns0:c r="F701" s="32"/>
      <ns0:c r="G701" s="29"/>
      <ns0:c r="H701" s="29"/>
      <ns0:c r="I701" s="29"/>
      <ns0:c r="J701" s="29"/>
      <ns0:c r="K701" s="29"/>
    </ns0:row>
    <ns0:row r="702" ht="28" customHeight="1">
      <ns0:c r="A702" s="29"/>
      <ns0:c r="B702" s="30"/>
      <ns0:c r="C702" s="28"/>
      <ns0:c r="D702" s="29"/>
      <ns0:c r="E702" s="31"/>
      <ns0:c r="F702" s="32"/>
      <ns0:c r="G702" s="29"/>
      <ns0:c r="H702" s="29"/>
      <ns0:c r="I702" s="29"/>
      <ns0:c r="J702" s="29"/>
      <ns0:c r="K702" s="29"/>
    </ns0:row>
    <ns0:row r="703" ht="28" customHeight="1">
      <ns0:c r="A703" s="29"/>
      <ns0:c r="B703" s="30"/>
      <ns0:c r="C703" s="28"/>
      <ns0:c r="D703" s="29"/>
      <ns0:c r="E703" s="31"/>
      <ns0:c r="F703" s="32"/>
      <ns0:c r="G703" s="29"/>
      <ns0:c r="H703" s="29"/>
      <ns0:c r="I703" s="29"/>
      <ns0:c r="J703" s="29"/>
      <ns0:c r="K703" s="29"/>
    </ns0:row>
    <ns0:row r="704" ht="28" customHeight="1">
      <ns0:c r="A704" s="29"/>
      <ns0:c r="B704" s="30"/>
      <ns0:c r="C704" s="28"/>
      <ns0:c r="D704" s="29"/>
      <ns0:c r="E704" s="31"/>
      <ns0:c r="F704" s="32"/>
      <ns0:c r="G704" s="29"/>
      <ns0:c r="H704" s="29"/>
      <ns0:c r="I704" s="29"/>
      <ns0:c r="J704" s="29"/>
      <ns0:c r="K704" s="29"/>
    </ns0:row>
    <ns0:row r="705" ht="28" customHeight="1">
      <ns0:c r="A705" s="29"/>
      <ns0:c r="B705" s="30"/>
      <ns0:c r="C705" s="28"/>
      <ns0:c r="D705" s="29"/>
      <ns0:c r="E705" s="31"/>
      <ns0:c r="F705" s="32"/>
      <ns0:c r="G705" s="29"/>
      <ns0:c r="H705" s="29"/>
      <ns0:c r="I705" s="29"/>
      <ns0:c r="J705" s="29"/>
      <ns0:c r="K705" s="29"/>
    </ns0:row>
    <ns0:row r="706" ht="28" customHeight="1">
      <ns0:c r="A706" s="29"/>
      <ns0:c r="B706" s="30"/>
      <ns0:c r="C706" s="28"/>
      <ns0:c r="D706" s="29"/>
      <ns0:c r="E706" s="31"/>
      <ns0:c r="F706" s="32"/>
      <ns0:c r="G706" s="29"/>
      <ns0:c r="H706" s="29"/>
      <ns0:c r="I706" s="29"/>
      <ns0:c r="J706" s="29"/>
      <ns0:c r="K706" s="29"/>
    </ns0:row>
    <ns0:row r="707" ht="28" customHeight="1">
      <ns0:c r="A707" s="29"/>
      <ns0:c r="B707" s="30"/>
      <ns0:c r="C707" s="28"/>
      <ns0:c r="D707" s="29"/>
      <ns0:c r="E707" s="31"/>
      <ns0:c r="F707" s="32"/>
      <ns0:c r="G707" s="29"/>
      <ns0:c r="H707" s="29"/>
      <ns0:c r="I707" s="29"/>
      <ns0:c r="J707" s="29"/>
      <ns0:c r="K707" s="29"/>
    </ns0:row>
    <ns0:row r="708" ht="28" customHeight="1">
      <ns0:c r="A708" s="29"/>
      <ns0:c r="B708" s="30"/>
      <ns0:c r="C708" s="28"/>
      <ns0:c r="D708" s="29"/>
      <ns0:c r="E708" s="31"/>
      <ns0:c r="F708" s="32"/>
      <ns0:c r="G708" s="29"/>
      <ns0:c r="H708" s="29"/>
      <ns0:c r="I708" s="29"/>
      <ns0:c r="J708" s="29"/>
      <ns0:c r="K708" s="29"/>
    </ns0:row>
    <ns0:row r="709" ht="28" customHeight="1">
      <ns0:c r="A709" s="29"/>
      <ns0:c r="B709" s="30"/>
      <ns0:c r="C709" s="28"/>
      <ns0:c r="D709" s="29"/>
      <ns0:c r="E709" s="31"/>
      <ns0:c r="F709" s="32"/>
      <ns0:c r="G709" s="29"/>
      <ns0:c r="H709" s="29"/>
      <ns0:c r="I709" s="29"/>
      <ns0:c r="J709" s="29"/>
      <ns0:c r="K709" s="29"/>
    </ns0:row>
    <ns0:row r="710" ht="28" customHeight="1">
      <ns0:c r="A710" s="29"/>
      <ns0:c r="B710" s="30"/>
      <ns0:c r="C710" s="28"/>
      <ns0:c r="D710" s="29"/>
      <ns0:c r="E710" s="31"/>
      <ns0:c r="F710" s="32"/>
      <ns0:c r="G710" s="29"/>
      <ns0:c r="H710" s="29"/>
      <ns0:c r="I710" s="29"/>
      <ns0:c r="J710" s="29"/>
      <ns0:c r="K710" s="29"/>
    </ns0:row>
    <ns0:row r="711" ht="28" customHeight="1">
      <ns0:c r="A711" s="29"/>
      <ns0:c r="B711" s="30"/>
      <ns0:c r="C711" s="28"/>
      <ns0:c r="D711" s="29"/>
      <ns0:c r="E711" s="31"/>
      <ns0:c r="F711" s="32"/>
      <ns0:c r="G711" s="29"/>
      <ns0:c r="H711" s="29"/>
      <ns0:c r="I711" s="29"/>
      <ns0:c r="J711" s="29"/>
      <ns0:c r="K711" s="29"/>
    </ns0:row>
    <ns0:row r="712" ht="28" customHeight="1">
      <ns0:c r="A712" s="29"/>
      <ns0:c r="B712" s="30"/>
      <ns0:c r="C712" s="28"/>
      <ns0:c r="D712" s="29"/>
      <ns0:c r="E712" s="31"/>
      <ns0:c r="F712" s="32"/>
      <ns0:c r="G712" s="29"/>
      <ns0:c r="H712" s="29"/>
      <ns0:c r="I712" s="29"/>
      <ns0:c r="J712" s="29"/>
      <ns0:c r="K712" s="29"/>
    </ns0:row>
    <ns0:row r="713" ht="28" customHeight="1">
      <ns0:c r="A713" s="29"/>
      <ns0:c r="B713" s="30"/>
      <ns0:c r="C713" s="28"/>
      <ns0:c r="D713" s="29"/>
      <ns0:c r="E713" s="31"/>
      <ns0:c r="F713" s="32"/>
      <ns0:c r="G713" s="29"/>
      <ns0:c r="H713" s="29"/>
      <ns0:c r="I713" s="29"/>
      <ns0:c r="J713" s="29"/>
      <ns0:c r="K713" s="29"/>
    </ns0:row>
    <ns0:row r="714" ht="28" customHeight="1">
      <ns0:c r="A714" s="29"/>
      <ns0:c r="B714" s="30"/>
      <ns0:c r="C714" s="28"/>
      <ns0:c r="D714" s="29"/>
      <ns0:c r="E714" s="31"/>
      <ns0:c r="F714" s="32"/>
      <ns0:c r="G714" s="29"/>
      <ns0:c r="H714" s="29"/>
      <ns0:c r="I714" s="29"/>
      <ns0:c r="J714" s="29"/>
      <ns0:c r="K714" s="29"/>
    </ns0:row>
    <ns0:row r="715" ht="28" customHeight="1">
      <ns0:c r="A715" s="29"/>
      <ns0:c r="B715" s="30"/>
      <ns0:c r="C715" s="28"/>
      <ns0:c r="D715" s="29"/>
      <ns0:c r="E715" s="31"/>
      <ns0:c r="F715" s="32"/>
      <ns0:c r="G715" s="29"/>
      <ns0:c r="H715" s="29"/>
      <ns0:c r="I715" s="29"/>
      <ns0:c r="J715" s="29"/>
      <ns0:c r="K715" s="29"/>
    </ns0:row>
    <ns0:row r="716" ht="28" customHeight="1">
      <ns0:c r="A716" s="29"/>
      <ns0:c r="B716" s="30"/>
      <ns0:c r="C716" s="28"/>
      <ns0:c r="D716" s="29"/>
      <ns0:c r="E716" s="31"/>
      <ns0:c r="F716" s="32"/>
      <ns0:c r="G716" s="29"/>
      <ns0:c r="H716" s="29"/>
      <ns0:c r="I716" s="29"/>
      <ns0:c r="J716" s="29"/>
      <ns0:c r="K716" s="29"/>
    </ns0:row>
    <ns0:row r="717" ht="28" customHeight="1">
      <ns0:c r="A717" s="29"/>
      <ns0:c r="B717" s="30"/>
      <ns0:c r="C717" s="28"/>
      <ns0:c r="D717" s="29"/>
      <ns0:c r="E717" s="31"/>
      <ns0:c r="F717" s="32"/>
      <ns0:c r="G717" s="29"/>
      <ns0:c r="H717" s="29"/>
      <ns0:c r="I717" s="29"/>
      <ns0:c r="J717" s="29"/>
      <ns0:c r="K717" s="29"/>
    </ns0:row>
    <ns0:row r="718" ht="28" customHeight="1">
      <ns0:c r="A718" s="29"/>
      <ns0:c r="B718" s="30"/>
      <ns0:c r="C718" s="28"/>
      <ns0:c r="D718" s="29"/>
      <ns0:c r="E718" s="31"/>
      <ns0:c r="F718" s="32"/>
      <ns0:c r="G718" s="29"/>
      <ns0:c r="H718" s="29"/>
      <ns0:c r="I718" s="29"/>
      <ns0:c r="J718" s="29"/>
      <ns0:c r="K718" s="29"/>
    </ns0:row>
    <ns0:row r="719" ht="28" customHeight="1">
      <ns0:c r="A719" s="29"/>
      <ns0:c r="B719" s="30"/>
      <ns0:c r="C719" s="28"/>
      <ns0:c r="D719" s="29"/>
      <ns0:c r="E719" s="31"/>
      <ns0:c r="F719" s="32"/>
      <ns0:c r="G719" s="29"/>
      <ns0:c r="H719" s="29"/>
      <ns0:c r="I719" s="29"/>
      <ns0:c r="J719" s="29"/>
      <ns0:c r="K719" s="29"/>
    </ns0:row>
    <ns0:row r="720" ht="28" customHeight="1">
      <ns0:c r="A720" s="29"/>
      <ns0:c r="B720" s="30"/>
      <ns0:c r="C720" s="28"/>
      <ns0:c r="D720" s="29"/>
      <ns0:c r="E720" s="31"/>
      <ns0:c r="F720" s="32"/>
      <ns0:c r="G720" s="29"/>
      <ns0:c r="H720" s="29"/>
      <ns0:c r="I720" s="29"/>
      <ns0:c r="J720" s="29"/>
      <ns0:c r="K720" s="29"/>
    </ns0:row>
    <ns0:row r="721" ht="28" customHeight="1">
      <ns0:c r="A721" s="29"/>
      <ns0:c r="B721" s="30"/>
      <ns0:c r="C721" s="28"/>
      <ns0:c r="D721" s="29"/>
      <ns0:c r="E721" s="31"/>
      <ns0:c r="F721" s="32"/>
      <ns0:c r="G721" s="29"/>
      <ns0:c r="H721" s="29"/>
      <ns0:c r="I721" s="29"/>
      <ns0:c r="J721" s="29"/>
      <ns0:c r="K721" s="29"/>
    </ns0:row>
    <ns0:row r="722" ht="28" customHeight="1">
      <ns0:c r="A722" s="29"/>
      <ns0:c r="B722" s="30"/>
      <ns0:c r="C722" s="28"/>
      <ns0:c r="D722" s="29"/>
      <ns0:c r="E722" s="31"/>
      <ns0:c r="F722" s="32"/>
      <ns0:c r="G722" s="29"/>
      <ns0:c r="H722" s="29"/>
      <ns0:c r="I722" s="29"/>
      <ns0:c r="J722" s="29"/>
      <ns0:c r="K722" s="29"/>
    </ns0:row>
    <ns0:row r="723" ht="28" customHeight="1">
      <ns0:c r="A723" s="29"/>
      <ns0:c r="B723" s="30"/>
      <ns0:c r="C723" s="28"/>
      <ns0:c r="D723" s="29"/>
      <ns0:c r="E723" s="31"/>
      <ns0:c r="F723" s="32"/>
      <ns0:c r="G723" s="29"/>
      <ns0:c r="H723" s="29"/>
      <ns0:c r="I723" s="29"/>
      <ns0:c r="J723" s="29"/>
      <ns0:c r="K723" s="29"/>
    </ns0:row>
    <ns0:row r="724" ht="28" customHeight="1">
      <ns0:c r="A724" s="29"/>
      <ns0:c r="B724" s="30"/>
      <ns0:c r="C724" s="28"/>
      <ns0:c r="D724" s="29"/>
      <ns0:c r="E724" s="31"/>
      <ns0:c r="F724" s="32"/>
      <ns0:c r="G724" s="29"/>
      <ns0:c r="H724" s="29"/>
      <ns0:c r="I724" s="29"/>
      <ns0:c r="J724" s="29"/>
      <ns0:c r="K724" s="29"/>
    </ns0:row>
    <ns0:row r="725" ht="28" customHeight="1">
      <ns0:c r="A725" s="29"/>
      <ns0:c r="B725" s="30"/>
      <ns0:c r="C725" s="28"/>
      <ns0:c r="D725" s="29"/>
      <ns0:c r="E725" s="31"/>
      <ns0:c r="F725" s="32"/>
      <ns0:c r="G725" s="29"/>
      <ns0:c r="H725" s="29"/>
      <ns0:c r="I725" s="29"/>
      <ns0:c r="J725" s="29"/>
      <ns0:c r="K725" s="29"/>
    </ns0:row>
    <ns0:row r="726" ht="28" customHeight="1">
      <ns0:c r="A726" s="29"/>
      <ns0:c r="B726" s="30"/>
      <ns0:c r="C726" s="28"/>
      <ns0:c r="D726" s="29"/>
      <ns0:c r="E726" s="31"/>
      <ns0:c r="F726" s="32"/>
      <ns0:c r="G726" s="29"/>
      <ns0:c r="H726" s="29"/>
      <ns0:c r="I726" s="29"/>
      <ns0:c r="J726" s="29"/>
      <ns0:c r="K726" s="29"/>
    </ns0:row>
    <ns0:row r="727" ht="28" customHeight="1">
      <ns0:c r="A727" s="29"/>
      <ns0:c r="B727" s="30"/>
      <ns0:c r="C727" s="28"/>
      <ns0:c r="D727" s="29"/>
      <ns0:c r="E727" s="31"/>
      <ns0:c r="F727" s="32"/>
      <ns0:c r="G727" s="29"/>
      <ns0:c r="H727" s="29"/>
      <ns0:c r="I727" s="29"/>
      <ns0:c r="J727" s="29"/>
      <ns0:c r="K727" s="29"/>
    </ns0:row>
    <ns0:row r="728" ht="28" customHeight="1">
      <ns0:c r="A728" s="29"/>
      <ns0:c r="B728" s="30"/>
      <ns0:c r="C728" s="28"/>
      <ns0:c r="D728" s="29"/>
      <ns0:c r="E728" s="31"/>
      <ns0:c r="F728" s="32"/>
      <ns0:c r="G728" s="29"/>
      <ns0:c r="H728" s="29"/>
      <ns0:c r="I728" s="29"/>
      <ns0:c r="J728" s="29"/>
      <ns0:c r="K728" s="29"/>
    </ns0:row>
    <ns0:row r="729" ht="28" customHeight="1">
      <ns0:c r="A729" s="29"/>
      <ns0:c r="B729" s="30"/>
      <ns0:c r="C729" s="28"/>
      <ns0:c r="D729" s="29"/>
      <ns0:c r="E729" s="31"/>
      <ns0:c r="F729" s="32"/>
      <ns0:c r="G729" s="29"/>
      <ns0:c r="H729" s="29"/>
      <ns0:c r="I729" s="29"/>
      <ns0:c r="J729" s="29"/>
      <ns0:c r="K729" s="29"/>
    </ns0:row>
    <ns0:row r="730" ht="28" customHeight="1">
      <ns0:c r="A730" s="29"/>
      <ns0:c r="B730" s="30"/>
      <ns0:c r="C730" s="28"/>
      <ns0:c r="D730" s="29"/>
      <ns0:c r="E730" s="31"/>
      <ns0:c r="F730" s="32"/>
      <ns0:c r="G730" s="29"/>
      <ns0:c r="H730" s="29"/>
      <ns0:c r="I730" s="29"/>
      <ns0:c r="J730" s="29"/>
      <ns0:c r="K730" s="29"/>
    </ns0:row>
    <ns0:row r="731" ht="28" customHeight="1">
      <ns0:c r="A731" s="29"/>
      <ns0:c r="B731" s="30"/>
      <ns0:c r="C731" s="28"/>
      <ns0:c r="D731" s="29"/>
      <ns0:c r="E731" s="31"/>
      <ns0:c r="F731" s="32"/>
      <ns0:c r="G731" s="29"/>
      <ns0:c r="H731" s="29"/>
      <ns0:c r="I731" s="29"/>
      <ns0:c r="J731" s="29"/>
      <ns0:c r="K731" s="29"/>
    </ns0:row>
    <ns0:row r="732" ht="28" customHeight="1">
      <ns0:c r="A732" s="29"/>
      <ns0:c r="B732" s="30"/>
      <ns0:c r="C732" s="28"/>
      <ns0:c r="D732" s="29"/>
      <ns0:c r="E732" s="31"/>
      <ns0:c r="F732" s="32"/>
      <ns0:c r="G732" s="29"/>
      <ns0:c r="H732" s="29"/>
      <ns0:c r="I732" s="29"/>
      <ns0:c r="J732" s="29"/>
      <ns0:c r="K732" s="29"/>
    </ns0:row>
    <ns0:row r="733" ht="28" customHeight="1">
      <ns0:c r="A733" s="29"/>
      <ns0:c r="B733" s="30"/>
      <ns0:c r="C733" s="28"/>
      <ns0:c r="D733" s="29"/>
      <ns0:c r="E733" s="31"/>
      <ns0:c r="F733" s="32"/>
      <ns0:c r="G733" s="29"/>
      <ns0:c r="H733" s="29"/>
      <ns0:c r="I733" s="29"/>
      <ns0:c r="J733" s="29"/>
      <ns0:c r="K733" s="29"/>
    </ns0:row>
    <ns0:row r="734" ht="28" customHeight="1">
      <ns0:c r="A734" s="29"/>
      <ns0:c r="B734" s="30"/>
      <ns0:c r="C734" s="28"/>
      <ns0:c r="D734" s="29"/>
      <ns0:c r="E734" s="31"/>
      <ns0:c r="F734" s="32"/>
      <ns0:c r="G734" s="29"/>
      <ns0:c r="H734" s="29"/>
      <ns0:c r="I734" s="29"/>
      <ns0:c r="J734" s="29"/>
      <ns0:c r="K734" s="29"/>
    </ns0:row>
    <ns0:row r="735" ht="28" customHeight="1">
      <ns0:c r="A735" s="29"/>
      <ns0:c r="B735" s="30"/>
      <ns0:c r="C735" s="28"/>
      <ns0:c r="D735" s="29"/>
      <ns0:c r="E735" s="31"/>
      <ns0:c r="F735" s="32"/>
      <ns0:c r="G735" s="29"/>
      <ns0:c r="H735" s="29"/>
      <ns0:c r="I735" s="29"/>
      <ns0:c r="J735" s="29"/>
      <ns0:c r="K735" s="29"/>
    </ns0:row>
    <ns0:row r="736" ht="28" customHeight="1">
      <ns0:c r="A736" s="29"/>
      <ns0:c r="B736" s="30"/>
      <ns0:c r="C736" s="28"/>
      <ns0:c r="D736" s="29"/>
      <ns0:c r="E736" s="31"/>
      <ns0:c r="F736" s="32"/>
      <ns0:c r="G736" s="29"/>
      <ns0:c r="H736" s="29"/>
      <ns0:c r="I736" s="29"/>
      <ns0:c r="J736" s="29"/>
      <ns0:c r="K736" s="29"/>
    </ns0:row>
    <ns0:row r="737" ht="28" customHeight="1">
      <ns0:c r="A737" s="29"/>
      <ns0:c r="B737" s="30"/>
      <ns0:c r="C737" s="28"/>
      <ns0:c r="D737" s="29"/>
      <ns0:c r="E737" s="31"/>
      <ns0:c r="F737" s="32"/>
      <ns0:c r="G737" s="29"/>
      <ns0:c r="H737" s="29"/>
      <ns0:c r="I737" s="29"/>
      <ns0:c r="J737" s="29"/>
      <ns0:c r="K737" s="29"/>
    </ns0:row>
    <ns0:row r="738" ht="28" customHeight="1">
      <ns0:c r="A738" s="29"/>
      <ns0:c r="B738" s="30"/>
      <ns0:c r="C738" s="28"/>
      <ns0:c r="D738" s="29"/>
      <ns0:c r="E738" s="31"/>
      <ns0:c r="F738" s="32"/>
      <ns0:c r="G738" s="29"/>
      <ns0:c r="H738" s="29"/>
      <ns0:c r="I738" s="29"/>
      <ns0:c r="J738" s="29"/>
      <ns0:c r="K738" s="29"/>
    </ns0:row>
    <ns0:row r="739" ht="28" customHeight="1">
      <ns0:c r="A739" s="29"/>
      <ns0:c r="B739" s="30"/>
      <ns0:c r="C739" s="28"/>
      <ns0:c r="D739" s="29"/>
      <ns0:c r="E739" s="31"/>
      <ns0:c r="F739" s="32"/>
      <ns0:c r="G739" s="29"/>
      <ns0:c r="H739" s="29"/>
      <ns0:c r="I739" s="29"/>
      <ns0:c r="J739" s="29"/>
      <ns0:c r="K739" s="29"/>
    </ns0:row>
    <ns0:row r="740" ht="28" customHeight="1">
      <ns0:c r="A740" s="29"/>
      <ns0:c r="B740" s="30"/>
      <ns0:c r="C740" s="28"/>
      <ns0:c r="D740" s="29"/>
      <ns0:c r="E740" s="31"/>
      <ns0:c r="F740" s="32"/>
      <ns0:c r="G740" s="29"/>
      <ns0:c r="H740" s="29"/>
      <ns0:c r="I740" s="29"/>
      <ns0:c r="J740" s="29"/>
      <ns0:c r="K740" s="29"/>
    </ns0:row>
    <ns0:row r="741" ht="28" customHeight="1">
      <ns0:c r="A741" s="29"/>
      <ns0:c r="B741" s="30"/>
      <ns0:c r="C741" s="28"/>
      <ns0:c r="D741" s="29"/>
      <ns0:c r="E741" s="31"/>
      <ns0:c r="F741" s="32"/>
      <ns0:c r="G741" s="29"/>
      <ns0:c r="H741" s="29"/>
      <ns0:c r="I741" s="29"/>
      <ns0:c r="J741" s="29"/>
      <ns0:c r="K741" s="29"/>
    </ns0:row>
    <ns0:row r="742" ht="28" customHeight="1">
      <ns0:c r="A742" s="29"/>
      <ns0:c r="B742" s="30"/>
      <ns0:c r="C742" s="28"/>
      <ns0:c r="D742" s="29"/>
      <ns0:c r="E742" s="31"/>
      <ns0:c r="F742" s="32"/>
      <ns0:c r="G742" s="29"/>
      <ns0:c r="H742" s="29"/>
      <ns0:c r="I742" s="29"/>
      <ns0:c r="J742" s="29"/>
      <ns0:c r="K742" s="29"/>
    </ns0:row>
    <ns0:row r="743" ht="28" customHeight="1">
      <ns0:c r="A743" s="29"/>
      <ns0:c r="B743" s="30"/>
      <ns0:c r="C743" s="28"/>
      <ns0:c r="D743" s="29"/>
      <ns0:c r="E743" s="31"/>
      <ns0:c r="F743" s="32"/>
      <ns0:c r="G743" s="29"/>
      <ns0:c r="H743" s="29"/>
      <ns0:c r="I743" s="29"/>
      <ns0:c r="J743" s="29"/>
      <ns0:c r="K743" s="29"/>
    </ns0:row>
    <ns0:row r="744" ht="28" customHeight="1">
      <ns0:c r="A744" s="29"/>
      <ns0:c r="B744" s="30"/>
      <ns0:c r="C744" s="28"/>
      <ns0:c r="D744" s="29"/>
      <ns0:c r="E744" s="31"/>
      <ns0:c r="F744" s="32"/>
      <ns0:c r="G744" s="29"/>
      <ns0:c r="H744" s="29"/>
      <ns0:c r="I744" s="29"/>
      <ns0:c r="J744" s="29"/>
      <ns0:c r="K744" s="29"/>
    </ns0:row>
    <ns0:row r="745" ht="28" customHeight="1">
      <ns0:c r="A745" s="29"/>
      <ns0:c r="B745" s="30"/>
      <ns0:c r="C745" s="28"/>
      <ns0:c r="D745" s="29"/>
      <ns0:c r="E745" s="31"/>
      <ns0:c r="F745" s="32"/>
      <ns0:c r="G745" s="29"/>
      <ns0:c r="H745" s="29"/>
      <ns0:c r="I745" s="29"/>
      <ns0:c r="J745" s="29"/>
      <ns0:c r="K745" s="29"/>
    </ns0:row>
    <ns0:row r="746" ht="28" customHeight="1">
      <ns0:c r="A746" s="29"/>
      <ns0:c r="B746" s="30"/>
      <ns0:c r="C746" s="28"/>
      <ns0:c r="D746" s="29"/>
      <ns0:c r="E746" s="31"/>
      <ns0:c r="F746" s="32"/>
      <ns0:c r="G746" s="29"/>
      <ns0:c r="H746" s="29"/>
      <ns0:c r="I746" s="29"/>
      <ns0:c r="J746" s="29"/>
      <ns0:c r="K746" s="29"/>
    </ns0:row>
    <ns0:row r="747" ht="28" customHeight="1">
      <ns0:c r="A747" s="29"/>
      <ns0:c r="B747" s="30"/>
      <ns0:c r="C747" s="28"/>
      <ns0:c r="D747" s="29"/>
      <ns0:c r="E747" s="31"/>
      <ns0:c r="F747" s="32"/>
      <ns0:c r="G747" s="29"/>
      <ns0:c r="H747" s="29"/>
      <ns0:c r="I747" s="29"/>
      <ns0:c r="J747" s="29"/>
      <ns0:c r="K747" s="29"/>
    </ns0:row>
    <ns0:row r="748" ht="28" customHeight="1">
      <ns0:c r="A748" s="29"/>
      <ns0:c r="B748" s="30"/>
      <ns0:c r="C748" s="28"/>
      <ns0:c r="D748" s="29"/>
      <ns0:c r="E748" s="31"/>
      <ns0:c r="F748" s="32"/>
      <ns0:c r="G748" s="29"/>
      <ns0:c r="H748" s="29"/>
      <ns0:c r="I748" s="29"/>
      <ns0:c r="J748" s="29"/>
      <ns0:c r="K748" s="29"/>
    </ns0:row>
    <ns0:row r="749" ht="28" customHeight="1">
      <ns0:c r="A749" s="29"/>
      <ns0:c r="B749" s="30"/>
      <ns0:c r="C749" s="28"/>
      <ns0:c r="D749" s="29"/>
      <ns0:c r="E749" s="31"/>
      <ns0:c r="F749" s="32"/>
      <ns0:c r="G749" s="29"/>
      <ns0:c r="H749" s="29"/>
      <ns0:c r="I749" s="29"/>
      <ns0:c r="J749" s="29"/>
      <ns0:c r="K749" s="29"/>
    </ns0:row>
    <ns0:row r="750" ht="28" customHeight="1">
      <ns0:c r="A750" s="29"/>
      <ns0:c r="B750" s="30"/>
      <ns0:c r="C750" s="28"/>
      <ns0:c r="D750" s="29"/>
      <ns0:c r="E750" s="31"/>
      <ns0:c r="F750" s="32"/>
      <ns0:c r="G750" s="29"/>
      <ns0:c r="H750" s="29"/>
      <ns0:c r="I750" s="29"/>
      <ns0:c r="J750" s="29"/>
      <ns0:c r="K750" s="29"/>
    </ns0:row>
    <ns0:row r="751" ht="28" customHeight="1">
      <ns0:c r="A751" s="29"/>
      <ns0:c r="B751" s="30"/>
      <ns0:c r="C751" s="28"/>
      <ns0:c r="D751" s="29"/>
      <ns0:c r="E751" s="31"/>
      <ns0:c r="F751" s="32"/>
      <ns0:c r="G751" s="29"/>
      <ns0:c r="H751" s="29"/>
      <ns0:c r="I751" s="29"/>
      <ns0:c r="J751" s="29"/>
      <ns0:c r="K751" s="29"/>
    </ns0:row>
    <ns0:row r="752" ht="28" customHeight="1">
      <ns0:c r="A752" s="29"/>
      <ns0:c r="B752" s="30"/>
      <ns0:c r="C752" s="28"/>
      <ns0:c r="D752" s="29"/>
      <ns0:c r="E752" s="31"/>
      <ns0:c r="F752" s="32"/>
      <ns0:c r="G752" s="29"/>
      <ns0:c r="H752" s="29"/>
      <ns0:c r="I752" s="29"/>
      <ns0:c r="J752" s="29"/>
      <ns0:c r="K752" s="29"/>
    </ns0:row>
    <ns0:row r="753" ht="28" customHeight="1">
      <ns0:c r="A753" s="29"/>
      <ns0:c r="B753" s="30"/>
      <ns0:c r="C753" s="28"/>
      <ns0:c r="D753" s="29"/>
      <ns0:c r="E753" s="31"/>
      <ns0:c r="F753" s="32"/>
      <ns0:c r="G753" s="29"/>
      <ns0:c r="H753" s="29"/>
      <ns0:c r="I753" s="29"/>
      <ns0:c r="J753" s="29"/>
      <ns0:c r="K753" s="29"/>
    </ns0:row>
    <ns0:row r="754" ht="28" customHeight="1">
      <ns0:c r="A754" s="29"/>
      <ns0:c r="B754" s="30"/>
      <ns0:c r="C754" s="28"/>
      <ns0:c r="D754" s="29"/>
      <ns0:c r="E754" s="31"/>
      <ns0:c r="F754" s="32"/>
      <ns0:c r="G754" s="29"/>
      <ns0:c r="H754" s="29"/>
      <ns0:c r="I754" s="29"/>
      <ns0:c r="J754" s="29"/>
      <ns0:c r="K754" s="29"/>
    </ns0:row>
    <ns0:row r="755" ht="28" customHeight="1">
      <ns0:c r="A755" s="29"/>
      <ns0:c r="B755" s="30"/>
      <ns0:c r="C755" s="28"/>
      <ns0:c r="D755" s="29"/>
      <ns0:c r="E755" s="31"/>
      <ns0:c r="F755" s="32"/>
      <ns0:c r="G755" s="29"/>
      <ns0:c r="H755" s="29"/>
      <ns0:c r="I755" s="29"/>
      <ns0:c r="J755" s="29"/>
      <ns0:c r="K755" s="29"/>
    </ns0:row>
    <ns0:row r="756" ht="28" customHeight="1">
      <ns0:c r="A756" s="29"/>
      <ns0:c r="B756" s="30"/>
      <ns0:c r="C756" s="28"/>
      <ns0:c r="D756" s="29"/>
      <ns0:c r="E756" s="31"/>
      <ns0:c r="F756" s="32"/>
      <ns0:c r="G756" s="29"/>
      <ns0:c r="H756" s="29"/>
      <ns0:c r="I756" s="29"/>
      <ns0:c r="J756" s="29"/>
      <ns0:c r="K756" s="29"/>
    </ns0:row>
    <ns0:row r="757" ht="28" customHeight="1">
      <ns0:c r="A757" s="29"/>
      <ns0:c r="B757" s="30"/>
      <ns0:c r="C757" s="28"/>
      <ns0:c r="D757" s="29"/>
      <ns0:c r="E757" s="31"/>
      <ns0:c r="F757" s="32"/>
      <ns0:c r="G757" s="29"/>
      <ns0:c r="H757" s="29"/>
      <ns0:c r="I757" s="29"/>
      <ns0:c r="J757" s="29"/>
      <ns0:c r="K757" s="29"/>
    </ns0:row>
    <ns0:row r="758" ht="28" customHeight="1">
      <ns0:c r="A758" s="29"/>
      <ns0:c r="B758" s="30"/>
      <ns0:c r="C758" s="28"/>
      <ns0:c r="D758" s="29"/>
      <ns0:c r="E758" s="31"/>
      <ns0:c r="F758" s="32"/>
      <ns0:c r="G758" s="29"/>
      <ns0:c r="H758" s="29"/>
      <ns0:c r="I758" s="29"/>
      <ns0:c r="J758" s="29"/>
      <ns0:c r="K758" s="29"/>
    </ns0:row>
    <ns0:row r="759" ht="28" customHeight="1">
      <ns0:c r="A759" s="29"/>
      <ns0:c r="B759" s="30"/>
      <ns0:c r="C759" s="28"/>
      <ns0:c r="D759" s="29"/>
      <ns0:c r="E759" s="31"/>
      <ns0:c r="F759" s="32"/>
      <ns0:c r="G759" s="29"/>
      <ns0:c r="H759" s="29"/>
      <ns0:c r="I759" s="29"/>
      <ns0:c r="J759" s="29"/>
      <ns0:c r="K759" s="29"/>
    </ns0:row>
    <ns0:row r="760" ht="28" customHeight="1">
      <ns0:c r="A760" s="29"/>
      <ns0:c r="B760" s="30"/>
      <ns0:c r="C760" s="28"/>
      <ns0:c r="D760" s="29"/>
      <ns0:c r="E760" s="31"/>
      <ns0:c r="F760" s="32"/>
      <ns0:c r="G760" s="29"/>
      <ns0:c r="H760" s="29"/>
      <ns0:c r="I760" s="29"/>
      <ns0:c r="J760" s="29"/>
      <ns0:c r="K760" s="29"/>
    </ns0:row>
    <ns0:row r="761" ht="28" customHeight="1">
      <ns0:c r="A761" s="29"/>
      <ns0:c r="B761" s="30"/>
      <ns0:c r="C761" s="28"/>
      <ns0:c r="D761" s="29"/>
      <ns0:c r="E761" s="31"/>
      <ns0:c r="F761" s="32"/>
      <ns0:c r="G761" s="29"/>
      <ns0:c r="H761" s="29"/>
      <ns0:c r="I761" s="29"/>
      <ns0:c r="J761" s="29"/>
      <ns0:c r="K761" s="29"/>
    </ns0:row>
    <ns0:row r="762" ht="28" customHeight="1">
      <ns0:c r="A762" s="29"/>
      <ns0:c r="B762" s="30"/>
      <ns0:c r="C762" s="28"/>
      <ns0:c r="D762" s="29"/>
      <ns0:c r="E762" s="31"/>
      <ns0:c r="F762" s="32"/>
      <ns0:c r="G762" s="29"/>
      <ns0:c r="H762" s="29"/>
      <ns0:c r="I762" s="29"/>
      <ns0:c r="J762" s="29"/>
      <ns0:c r="K762" s="29"/>
    </ns0:row>
    <ns0:row r="763" ht="28" customHeight="1">
      <ns0:c r="A763" s="29"/>
      <ns0:c r="B763" s="30"/>
      <ns0:c r="C763" s="28"/>
      <ns0:c r="D763" s="29"/>
      <ns0:c r="E763" s="31"/>
      <ns0:c r="F763" s="32"/>
      <ns0:c r="G763" s="29"/>
      <ns0:c r="H763" s="29"/>
      <ns0:c r="I763" s="29"/>
      <ns0:c r="J763" s="29"/>
      <ns0:c r="K763" s="29"/>
    </ns0:row>
    <ns0:row r="764" ht="28" customHeight="1">
      <ns0:c r="A764" s="29"/>
      <ns0:c r="B764" s="30"/>
      <ns0:c r="C764" s="28"/>
      <ns0:c r="D764" s="29"/>
      <ns0:c r="E764" s="31"/>
      <ns0:c r="F764" s="32"/>
      <ns0:c r="G764" s="29"/>
      <ns0:c r="H764" s="29"/>
      <ns0:c r="I764" s="29"/>
      <ns0:c r="J764" s="29"/>
      <ns0:c r="K764" s="29"/>
    </ns0:row>
    <ns0:row r="765" ht="28" customHeight="1">
      <ns0:c r="A765" s="29"/>
      <ns0:c r="B765" s="30"/>
      <ns0:c r="C765" s="28"/>
      <ns0:c r="D765" s="29"/>
      <ns0:c r="E765" s="31"/>
      <ns0:c r="F765" s="32"/>
      <ns0:c r="G765" s="29"/>
      <ns0:c r="H765" s="29"/>
      <ns0:c r="I765" s="29"/>
      <ns0:c r="J765" s="29"/>
      <ns0:c r="K765" s="29"/>
    </ns0:row>
    <ns0:row r="766" ht="28" customHeight="1">
      <ns0:c r="A766" s="29"/>
      <ns0:c r="B766" s="30"/>
      <ns0:c r="C766" s="28"/>
      <ns0:c r="D766" s="29"/>
      <ns0:c r="E766" s="31"/>
      <ns0:c r="F766" s="32"/>
      <ns0:c r="G766" s="29"/>
      <ns0:c r="H766" s="29"/>
      <ns0:c r="I766" s="29"/>
      <ns0:c r="J766" s="29"/>
      <ns0:c r="K766" s="29"/>
    </ns0:row>
    <ns0:row r="767" ht="28" customHeight="1">
      <ns0:c r="A767" s="29"/>
      <ns0:c r="B767" s="30"/>
      <ns0:c r="C767" s="28"/>
      <ns0:c r="D767" s="29"/>
      <ns0:c r="E767" s="31"/>
      <ns0:c r="F767" s="32"/>
      <ns0:c r="G767" s="29"/>
      <ns0:c r="H767" s="29"/>
      <ns0:c r="I767" s="29"/>
      <ns0:c r="J767" s="29"/>
      <ns0:c r="K767" s="29"/>
    </ns0:row>
    <ns0:row r="768" ht="28" customHeight="1">
      <ns0:c r="A768" s="29"/>
      <ns0:c r="B768" s="30"/>
      <ns0:c r="C768" s="28"/>
      <ns0:c r="D768" s="29"/>
      <ns0:c r="E768" s="31"/>
      <ns0:c r="F768" s="32"/>
      <ns0:c r="G768" s="29"/>
      <ns0:c r="H768" s="29"/>
      <ns0:c r="I768" s="29"/>
      <ns0:c r="J768" s="29"/>
      <ns0:c r="K768" s="29"/>
    </ns0:row>
    <ns0:row r="769" ht="28" customHeight="1">
      <ns0:c r="A769" s="29"/>
      <ns0:c r="B769" s="30"/>
      <ns0:c r="C769" s="28"/>
      <ns0:c r="D769" s="29"/>
      <ns0:c r="E769" s="31"/>
      <ns0:c r="F769" s="32"/>
      <ns0:c r="G769" s="29"/>
      <ns0:c r="H769" s="29"/>
      <ns0:c r="I769" s="29"/>
      <ns0:c r="J769" s="29"/>
      <ns0:c r="K769" s="29"/>
    </ns0:row>
    <ns0:row r="770" ht="28" customHeight="1">
      <ns0:c r="A770" s="29"/>
      <ns0:c r="B770" s="30"/>
      <ns0:c r="C770" s="28"/>
      <ns0:c r="D770" s="29"/>
      <ns0:c r="E770" s="31"/>
      <ns0:c r="F770" s="32"/>
      <ns0:c r="G770" s="29"/>
      <ns0:c r="H770" s="29"/>
      <ns0:c r="I770" s="29"/>
      <ns0:c r="J770" s="29"/>
      <ns0:c r="K770" s="29"/>
    </ns0:row>
    <ns0:row r="771" ht="28" customHeight="1">
      <ns0:c r="A771" s="29"/>
      <ns0:c r="B771" s="30"/>
      <ns0:c r="C771" s="28"/>
      <ns0:c r="D771" s="29"/>
      <ns0:c r="E771" s="31"/>
      <ns0:c r="F771" s="32"/>
      <ns0:c r="G771" s="29"/>
      <ns0:c r="H771" s="29"/>
      <ns0:c r="I771" s="29"/>
      <ns0:c r="J771" s="29"/>
      <ns0:c r="K771" s="29"/>
    </ns0:row>
    <ns0:row r="772" ht="28" customHeight="1">
      <ns0:c r="A772" s="29"/>
      <ns0:c r="B772" s="30"/>
      <ns0:c r="C772" s="28"/>
      <ns0:c r="D772" s="29"/>
      <ns0:c r="E772" s="31"/>
      <ns0:c r="F772" s="32"/>
      <ns0:c r="G772" s="29"/>
      <ns0:c r="H772" s="29"/>
      <ns0:c r="I772" s="29"/>
      <ns0:c r="J772" s="29"/>
      <ns0:c r="K772" s="29"/>
    </ns0:row>
    <ns0:row r="773" ht="28" customHeight="1">
      <ns0:c r="A773" s="29"/>
      <ns0:c r="B773" s="30"/>
      <ns0:c r="C773" s="28"/>
      <ns0:c r="D773" s="29"/>
      <ns0:c r="E773" s="31"/>
      <ns0:c r="F773" s="32"/>
      <ns0:c r="G773" s="29"/>
      <ns0:c r="H773" s="29"/>
      <ns0:c r="I773" s="29"/>
      <ns0:c r="J773" s="29"/>
      <ns0:c r="K773" s="29"/>
    </ns0:row>
    <ns0:row r="774" ht="28" customHeight="1">
      <ns0:c r="A774" s="29"/>
      <ns0:c r="B774" s="30"/>
      <ns0:c r="C774" s="28"/>
      <ns0:c r="D774" s="29"/>
      <ns0:c r="E774" s="31"/>
      <ns0:c r="F774" s="32"/>
      <ns0:c r="G774" s="29"/>
      <ns0:c r="H774" s="29"/>
      <ns0:c r="I774" s="29"/>
      <ns0:c r="J774" s="29"/>
      <ns0:c r="K774" s="29"/>
    </ns0:row>
    <ns0:row r="775" ht="28" customHeight="1">
      <ns0:c r="A775" s="29"/>
      <ns0:c r="B775" s="30"/>
      <ns0:c r="C775" s="28"/>
      <ns0:c r="D775" s="29"/>
      <ns0:c r="E775" s="31"/>
      <ns0:c r="F775" s="32"/>
      <ns0:c r="G775" s="29"/>
      <ns0:c r="H775" s="29"/>
      <ns0:c r="I775" s="29"/>
      <ns0:c r="J775" s="29"/>
      <ns0:c r="K775" s="29"/>
    </ns0:row>
    <ns0:row r="776" ht="28" customHeight="1">
      <ns0:c r="A776" s="29"/>
      <ns0:c r="B776" s="30"/>
      <ns0:c r="C776" s="28"/>
      <ns0:c r="D776" s="29"/>
      <ns0:c r="E776" s="31"/>
      <ns0:c r="F776" s="32"/>
      <ns0:c r="G776" s="29"/>
      <ns0:c r="H776" s="29"/>
      <ns0:c r="I776" s="29"/>
      <ns0:c r="J776" s="29"/>
      <ns0:c r="K776" s="29"/>
    </ns0:row>
    <ns0:row r="777" ht="28" customHeight="1">
      <ns0:c r="A777" s="29"/>
      <ns0:c r="B777" s="30"/>
      <ns0:c r="C777" s="28"/>
      <ns0:c r="D777" s="29"/>
      <ns0:c r="E777" s="31"/>
      <ns0:c r="F777" s="32"/>
      <ns0:c r="G777" s="29"/>
      <ns0:c r="H777" s="29"/>
      <ns0:c r="I777" s="29"/>
      <ns0:c r="J777" s="29"/>
      <ns0:c r="K777" s="29"/>
    </ns0:row>
    <ns0:row r="778" ht="28" customHeight="1">
      <ns0:c r="A778" s="29"/>
      <ns0:c r="B778" s="30"/>
      <ns0:c r="C778" s="28"/>
      <ns0:c r="D778" s="29"/>
      <ns0:c r="E778" s="31"/>
      <ns0:c r="F778" s="32"/>
      <ns0:c r="G778" s="29"/>
      <ns0:c r="H778" s="29"/>
      <ns0:c r="I778" s="29"/>
      <ns0:c r="J778" s="29"/>
      <ns0:c r="K778" s="29"/>
    </ns0:row>
    <ns0:row r="779" ht="28" customHeight="1">
      <ns0:c r="A779" s="29"/>
      <ns0:c r="B779" s="30"/>
      <ns0:c r="C779" s="28"/>
      <ns0:c r="D779" s="29"/>
      <ns0:c r="E779" s="31"/>
      <ns0:c r="F779" s="32"/>
      <ns0:c r="G779" s="29"/>
      <ns0:c r="H779" s="29"/>
      <ns0:c r="I779" s="29"/>
      <ns0:c r="J779" s="29"/>
      <ns0:c r="K779" s="29"/>
    </ns0:row>
    <ns0:row r="780" ht="28" customHeight="1">
      <ns0:c r="A780" s="29"/>
      <ns0:c r="B780" s="30"/>
      <ns0:c r="C780" s="28"/>
      <ns0:c r="D780" s="29"/>
      <ns0:c r="E780" s="31"/>
      <ns0:c r="F780" s="32"/>
      <ns0:c r="G780" s="29"/>
      <ns0:c r="H780" s="29"/>
      <ns0:c r="I780" s="29"/>
      <ns0:c r="J780" s="29"/>
      <ns0:c r="K780" s="29"/>
    </ns0:row>
    <ns0:row r="781" ht="28" customHeight="1">
      <ns0:c r="A781" s="29"/>
      <ns0:c r="B781" s="30"/>
      <ns0:c r="C781" s="28"/>
      <ns0:c r="D781" s="29"/>
      <ns0:c r="E781" s="31"/>
      <ns0:c r="F781" s="32"/>
      <ns0:c r="G781" s="29"/>
      <ns0:c r="H781" s="29"/>
      <ns0:c r="I781" s="29"/>
      <ns0:c r="J781" s="29"/>
      <ns0:c r="K781" s="29"/>
    </ns0:row>
    <ns0:row r="782" ht="28" customHeight="1">
      <ns0:c r="A782" s="29"/>
      <ns0:c r="B782" s="30"/>
      <ns0:c r="C782" s="28"/>
      <ns0:c r="D782" s="29"/>
      <ns0:c r="E782" s="31"/>
      <ns0:c r="F782" s="32"/>
      <ns0:c r="G782" s="29"/>
      <ns0:c r="H782" s="29"/>
      <ns0:c r="I782" s="29"/>
      <ns0:c r="J782" s="29"/>
      <ns0:c r="K782" s="29"/>
    </ns0:row>
    <ns0:row r="783" ht="28" customHeight="1">
      <ns0:c r="A783" s="29"/>
      <ns0:c r="B783" s="30"/>
      <ns0:c r="C783" s="28"/>
      <ns0:c r="D783" s="29"/>
      <ns0:c r="E783" s="31"/>
      <ns0:c r="F783" s="32"/>
      <ns0:c r="G783" s="29"/>
      <ns0:c r="H783" s="29"/>
      <ns0:c r="I783" s="29"/>
      <ns0:c r="J783" s="29"/>
      <ns0:c r="K783" s="29"/>
    </ns0:row>
    <ns0:row r="784" ht="28" customHeight="1">
      <ns0:c r="A784" s="29"/>
      <ns0:c r="B784" s="30"/>
      <ns0:c r="C784" s="28"/>
      <ns0:c r="D784" s="29"/>
      <ns0:c r="E784" s="31"/>
      <ns0:c r="F784" s="32"/>
      <ns0:c r="G784" s="29"/>
      <ns0:c r="H784" s="29"/>
      <ns0:c r="I784" s="29"/>
      <ns0:c r="J784" s="29"/>
      <ns0:c r="K784" s="29"/>
    </ns0:row>
    <ns0:row r="785" ht="28" customHeight="1">
      <ns0:c r="A785" s="29"/>
      <ns0:c r="B785" s="30"/>
      <ns0:c r="C785" s="28"/>
      <ns0:c r="D785" s="29"/>
      <ns0:c r="E785" s="31"/>
      <ns0:c r="F785" s="32"/>
      <ns0:c r="G785" s="29"/>
      <ns0:c r="H785" s="29"/>
      <ns0:c r="I785" s="29"/>
      <ns0:c r="J785" s="29"/>
      <ns0:c r="K785" s="29"/>
    </ns0:row>
    <ns0:row r="786" ht="28" customHeight="1">
      <ns0:c r="A786" s="29"/>
      <ns0:c r="B786" s="30"/>
      <ns0:c r="C786" s="28"/>
      <ns0:c r="D786" s="29"/>
      <ns0:c r="E786" s="31"/>
      <ns0:c r="F786" s="32"/>
      <ns0:c r="G786" s="29"/>
      <ns0:c r="H786" s="29"/>
      <ns0:c r="I786" s="29"/>
      <ns0:c r="J786" s="29"/>
      <ns0:c r="K786" s="29"/>
    </ns0:row>
    <ns0:row r="787" ht="28" customHeight="1">
      <ns0:c r="A787" s="29"/>
      <ns0:c r="B787" s="30"/>
      <ns0:c r="C787" s="28"/>
      <ns0:c r="D787" s="29"/>
      <ns0:c r="E787" s="31"/>
      <ns0:c r="F787" s="32"/>
      <ns0:c r="G787" s="29"/>
      <ns0:c r="H787" s="29"/>
      <ns0:c r="I787" s="29"/>
      <ns0:c r="J787" s="29"/>
      <ns0:c r="K787" s="29"/>
    </ns0:row>
    <ns0:row r="788" ht="28" customHeight="1">
      <ns0:c r="A788" s="29"/>
      <ns0:c r="B788" s="30"/>
      <ns0:c r="C788" s="28"/>
      <ns0:c r="D788" s="29"/>
      <ns0:c r="E788" s="31"/>
      <ns0:c r="F788" s="32"/>
      <ns0:c r="G788" s="29"/>
      <ns0:c r="H788" s="29"/>
      <ns0:c r="I788" s="29"/>
      <ns0:c r="J788" s="29"/>
      <ns0:c r="K788" s="29"/>
    </ns0:row>
    <ns0:row r="789" ht="28" customHeight="1">
      <ns0:c r="A789" s="29"/>
      <ns0:c r="B789" s="30"/>
      <ns0:c r="C789" s="28"/>
      <ns0:c r="D789" s="29"/>
      <ns0:c r="E789" s="31"/>
      <ns0:c r="F789" s="32"/>
      <ns0:c r="G789" s="29"/>
      <ns0:c r="H789" s="29"/>
      <ns0:c r="I789" s="29"/>
      <ns0:c r="J789" s="29"/>
      <ns0:c r="K789" s="29"/>
    </ns0:row>
    <ns0:row r="790" ht="28" customHeight="1">
      <ns0:c r="A790" s="29"/>
      <ns0:c r="B790" s="30"/>
      <ns0:c r="C790" s="28"/>
      <ns0:c r="D790" s="29"/>
      <ns0:c r="E790" s="31"/>
      <ns0:c r="F790" s="32"/>
      <ns0:c r="G790" s="29"/>
      <ns0:c r="H790" s="29"/>
      <ns0:c r="I790" s="29"/>
      <ns0:c r="J790" s="29"/>
      <ns0:c r="K790" s="29"/>
    </ns0:row>
    <ns0:row r="791" ht="28" customHeight="1">
      <ns0:c r="A791" s="29"/>
      <ns0:c r="B791" s="30"/>
      <ns0:c r="C791" s="28"/>
      <ns0:c r="D791" s="29"/>
      <ns0:c r="E791" s="31"/>
      <ns0:c r="F791" s="32"/>
      <ns0:c r="G791" s="29"/>
      <ns0:c r="H791" s="29"/>
      <ns0:c r="I791" s="29"/>
      <ns0:c r="J791" s="29"/>
      <ns0:c r="K791" s="29"/>
    </ns0:row>
    <ns0:row r="792" ht="28" customHeight="1">
      <ns0:c r="A792" s="29"/>
      <ns0:c r="B792" s="30"/>
      <ns0:c r="C792" s="28"/>
      <ns0:c r="D792" s="29"/>
      <ns0:c r="E792" s="31"/>
      <ns0:c r="F792" s="32"/>
      <ns0:c r="G792" s="29"/>
      <ns0:c r="H792" s="29"/>
      <ns0:c r="I792" s="29"/>
      <ns0:c r="J792" s="29"/>
      <ns0:c r="K792" s="29"/>
    </ns0:row>
    <ns0:row r="793" ht="28" customHeight="1">
      <ns0:c r="A793" s="29"/>
      <ns0:c r="B793" s="30"/>
      <ns0:c r="C793" s="28"/>
      <ns0:c r="D793" s="29"/>
      <ns0:c r="E793" s="31"/>
      <ns0:c r="F793" s="32"/>
      <ns0:c r="G793" s="29"/>
      <ns0:c r="H793" s="29"/>
      <ns0:c r="I793" s="29"/>
      <ns0:c r="J793" s="29"/>
      <ns0:c r="K793" s="29"/>
    </ns0:row>
    <ns0:row r="794" ht="28" customHeight="1">
      <ns0:c r="A794" s="29"/>
      <ns0:c r="B794" s="30"/>
      <ns0:c r="C794" s="28"/>
      <ns0:c r="D794" s="29"/>
      <ns0:c r="E794" s="31"/>
      <ns0:c r="F794" s="32"/>
      <ns0:c r="G794" s="29"/>
      <ns0:c r="H794" s="29"/>
      <ns0:c r="I794" s="29"/>
      <ns0:c r="J794" s="29"/>
      <ns0:c r="K794" s="29"/>
    </ns0:row>
    <ns0:row r="795" ht="28" customHeight="1">
      <ns0:c r="A795" s="29"/>
      <ns0:c r="B795" s="30"/>
      <ns0:c r="C795" s="28"/>
      <ns0:c r="D795" s="29"/>
      <ns0:c r="E795" s="31"/>
      <ns0:c r="F795" s="32"/>
      <ns0:c r="G795" s="29"/>
      <ns0:c r="H795" s="29"/>
      <ns0:c r="I795" s="29"/>
      <ns0:c r="J795" s="29"/>
      <ns0:c r="K795" s="29"/>
    </ns0:row>
    <ns0:row r="796" ht="28" customHeight="1">
      <ns0:c r="A796" s="29"/>
      <ns0:c r="B796" s="30"/>
      <ns0:c r="C796" s="28"/>
      <ns0:c r="D796" s="29"/>
      <ns0:c r="E796" s="31"/>
      <ns0:c r="F796" s="32"/>
      <ns0:c r="G796" s="29"/>
      <ns0:c r="H796" s="29"/>
      <ns0:c r="I796" s="29"/>
      <ns0:c r="J796" s="29"/>
      <ns0:c r="K796" s="29"/>
    </ns0:row>
    <ns0:row r="797" ht="28" customHeight="1">
      <ns0:c r="A797" s="29"/>
      <ns0:c r="B797" s="30"/>
      <ns0:c r="C797" s="28"/>
      <ns0:c r="D797" s="29"/>
      <ns0:c r="E797" s="31"/>
      <ns0:c r="F797" s="32"/>
      <ns0:c r="G797" s="29"/>
      <ns0:c r="H797" s="29"/>
      <ns0:c r="I797" s="29"/>
      <ns0:c r="J797" s="29"/>
      <ns0:c r="K797" s="29"/>
    </ns0:row>
    <ns0:row r="798" ht="28" customHeight="1">
      <ns0:c r="A798" s="29"/>
      <ns0:c r="B798" s="30"/>
      <ns0:c r="C798" s="28"/>
      <ns0:c r="D798" s="29"/>
      <ns0:c r="E798" s="31"/>
      <ns0:c r="F798" s="32"/>
      <ns0:c r="G798" s="29"/>
      <ns0:c r="H798" s="29"/>
      <ns0:c r="I798" s="29"/>
      <ns0:c r="J798" s="29"/>
      <ns0:c r="K798" s="29"/>
    </ns0:row>
    <ns0:row r="799" ht="28" customHeight="1">
      <ns0:c r="A799" s="29"/>
      <ns0:c r="B799" s="30"/>
      <ns0:c r="C799" s="28"/>
      <ns0:c r="D799" s="29"/>
      <ns0:c r="E799" s="31"/>
      <ns0:c r="F799" s="32"/>
      <ns0:c r="G799" s="29"/>
      <ns0:c r="H799" s="29"/>
      <ns0:c r="I799" s="29"/>
      <ns0:c r="J799" s="29"/>
      <ns0:c r="K799" s="29"/>
    </ns0:row>
    <ns0:row r="800" ht="28" customHeight="1">
      <ns0:c r="A800" s="29"/>
      <ns0:c r="B800" s="30"/>
      <ns0:c r="C800" s="28"/>
      <ns0:c r="D800" s="29"/>
      <ns0:c r="E800" s="31"/>
      <ns0:c r="F800" s="32"/>
      <ns0:c r="G800" s="29"/>
      <ns0:c r="H800" s="29"/>
      <ns0:c r="I800" s="29"/>
      <ns0:c r="J800" s="29"/>
      <ns0:c r="K800" s="29"/>
    </ns0:row>
    <ns0:row r="801" ht="28" customHeight="1">
      <ns0:c r="A801" s="29"/>
      <ns0:c r="B801" s="30"/>
      <ns0:c r="C801" s="28"/>
      <ns0:c r="D801" s="29"/>
      <ns0:c r="E801" s="31"/>
      <ns0:c r="F801" s="32"/>
      <ns0:c r="G801" s="29"/>
      <ns0:c r="H801" s="29"/>
      <ns0:c r="I801" s="29"/>
      <ns0:c r="J801" s="29"/>
      <ns0:c r="K801" s="29"/>
    </ns0:row>
    <ns0:row r="802" ht="28" customHeight="1">
      <ns0:c r="A802" s="29"/>
      <ns0:c r="B802" s="30"/>
      <ns0:c r="C802" s="28"/>
      <ns0:c r="D802" s="29"/>
      <ns0:c r="E802" s="31"/>
      <ns0:c r="F802" s="32"/>
      <ns0:c r="G802" s="29"/>
      <ns0:c r="H802" s="29"/>
      <ns0:c r="I802" s="29"/>
      <ns0:c r="J802" s="29"/>
      <ns0:c r="K802" s="29"/>
    </ns0:row>
    <ns0:row r="803" ht="28" customHeight="1">
      <ns0:c r="A803" s="29"/>
      <ns0:c r="B803" s="30"/>
      <ns0:c r="C803" s="28"/>
      <ns0:c r="D803" s="29"/>
      <ns0:c r="E803" s="31"/>
      <ns0:c r="F803" s="32"/>
      <ns0:c r="G803" s="29"/>
      <ns0:c r="H803" s="29"/>
      <ns0:c r="I803" s="29"/>
      <ns0:c r="J803" s="29"/>
      <ns0:c r="K803" s="29"/>
    </ns0:row>
    <ns0:row r="804" ht="28" customHeight="1">
      <ns0:c r="A804" s="29"/>
      <ns0:c r="B804" s="30"/>
      <ns0:c r="C804" s="28"/>
      <ns0:c r="D804" s="29"/>
      <ns0:c r="E804" s="31"/>
      <ns0:c r="F804" s="32"/>
      <ns0:c r="G804" s="29"/>
      <ns0:c r="H804" s="29"/>
      <ns0:c r="I804" s="29"/>
      <ns0:c r="J804" s="29"/>
      <ns0:c r="K804" s="29"/>
    </ns0:row>
    <ns0:row r="805" ht="28" customHeight="1">
      <ns0:c r="A805" s="29"/>
      <ns0:c r="B805" s="30"/>
      <ns0:c r="C805" s="28"/>
      <ns0:c r="D805" s="29"/>
      <ns0:c r="E805" s="31"/>
      <ns0:c r="F805" s="32"/>
      <ns0:c r="G805" s="29"/>
      <ns0:c r="H805" s="29"/>
      <ns0:c r="I805" s="29"/>
      <ns0:c r="J805" s="29"/>
      <ns0:c r="K805" s="29"/>
    </ns0:row>
    <ns0:row r="806" ht="28" customHeight="1">
      <ns0:c r="A806" s="29"/>
      <ns0:c r="B806" s="30"/>
      <ns0:c r="C806" s="28"/>
      <ns0:c r="D806" s="29"/>
      <ns0:c r="E806" s="31"/>
      <ns0:c r="F806" s="32"/>
      <ns0:c r="G806" s="29"/>
      <ns0:c r="H806" s="29"/>
      <ns0:c r="I806" s="29"/>
      <ns0:c r="J806" s="29"/>
      <ns0:c r="K806" s="29"/>
    </ns0:row>
    <ns0:row r="807" ht="28" customHeight="1">
      <ns0:c r="A807" s="29"/>
      <ns0:c r="B807" s="30"/>
      <ns0:c r="C807" s="28"/>
      <ns0:c r="D807" s="29"/>
      <ns0:c r="E807" s="31"/>
      <ns0:c r="F807" s="32"/>
      <ns0:c r="G807" s="29"/>
      <ns0:c r="H807" s="29"/>
      <ns0:c r="I807" s="29"/>
      <ns0:c r="J807" s="29"/>
      <ns0:c r="K807" s="29"/>
    </ns0:row>
    <ns0:row r="808" ht="28" customHeight="1">
      <ns0:c r="A808" s="29"/>
      <ns0:c r="B808" s="30"/>
      <ns0:c r="C808" s="28"/>
      <ns0:c r="D808" s="29"/>
      <ns0:c r="E808" s="31"/>
      <ns0:c r="F808" s="32"/>
      <ns0:c r="G808" s="29"/>
      <ns0:c r="H808" s="29"/>
      <ns0:c r="I808" s="29"/>
      <ns0:c r="J808" s="29"/>
      <ns0:c r="K808" s="29"/>
    </ns0:row>
    <ns0:row r="809" ht="28" customHeight="1">
      <ns0:c r="A809" s="29"/>
      <ns0:c r="B809" s="30"/>
      <ns0:c r="C809" s="28"/>
      <ns0:c r="D809" s="29"/>
      <ns0:c r="E809" s="31"/>
      <ns0:c r="F809" s="32"/>
      <ns0:c r="G809" s="29"/>
      <ns0:c r="H809" s="29"/>
      <ns0:c r="I809" s="29"/>
      <ns0:c r="J809" s="29"/>
      <ns0:c r="K809" s="29"/>
    </ns0:row>
    <ns0:row r="810" ht="28" customHeight="1">
      <ns0:c r="A810" s="29"/>
      <ns0:c r="B810" s="30"/>
      <ns0:c r="C810" s="28"/>
      <ns0:c r="D810" s="29"/>
      <ns0:c r="E810" s="31"/>
      <ns0:c r="F810" s="32"/>
      <ns0:c r="G810" s="29"/>
      <ns0:c r="H810" s="29"/>
      <ns0:c r="I810" s="29"/>
      <ns0:c r="J810" s="29"/>
      <ns0:c r="K810" s="29"/>
    </ns0:row>
    <ns0:row r="811" ht="28" customHeight="1">
      <ns0:c r="A811" s="29"/>
      <ns0:c r="B811" s="30"/>
      <ns0:c r="C811" s="28"/>
      <ns0:c r="D811" s="29"/>
      <ns0:c r="E811" s="31"/>
      <ns0:c r="F811" s="32"/>
      <ns0:c r="G811" s="29"/>
      <ns0:c r="H811" s="29"/>
      <ns0:c r="I811" s="29"/>
      <ns0:c r="J811" s="29"/>
      <ns0:c r="K811" s="29"/>
    </ns0:row>
    <ns0:row r="812" ht="28" customHeight="1">
      <ns0:c r="A812" s="29"/>
      <ns0:c r="B812" s="30"/>
      <ns0:c r="C812" s="28"/>
      <ns0:c r="D812" s="29"/>
      <ns0:c r="E812" s="31"/>
      <ns0:c r="F812" s="32"/>
      <ns0:c r="G812" s="29"/>
      <ns0:c r="H812" s="29"/>
      <ns0:c r="I812" s="29"/>
      <ns0:c r="J812" s="29"/>
      <ns0:c r="K812" s="29"/>
    </ns0:row>
    <ns0:row r="813" ht="28" customHeight="1">
      <ns0:c r="A813" s="29"/>
      <ns0:c r="B813" s="30"/>
      <ns0:c r="C813" s="28"/>
      <ns0:c r="D813" s="29"/>
      <ns0:c r="E813" s="31"/>
      <ns0:c r="F813" s="32"/>
      <ns0:c r="G813" s="29"/>
      <ns0:c r="H813" s="29"/>
      <ns0:c r="I813" s="29"/>
      <ns0:c r="J813" s="29"/>
      <ns0:c r="K813" s="29"/>
    </ns0:row>
    <ns0:row r="814" ht="28" customHeight="1">
      <ns0:c r="A814" s="29"/>
      <ns0:c r="B814" s="30"/>
      <ns0:c r="C814" s="28"/>
      <ns0:c r="D814" s="29"/>
      <ns0:c r="E814" s="31"/>
      <ns0:c r="F814" s="32"/>
      <ns0:c r="G814" s="29"/>
      <ns0:c r="H814" s="29"/>
      <ns0:c r="I814" s="29"/>
      <ns0:c r="J814" s="29"/>
      <ns0:c r="K814" s="29"/>
    </ns0:row>
    <ns0:row r="815" ht="28" customHeight="1">
      <ns0:c r="A815" s="29"/>
      <ns0:c r="B815" s="30"/>
      <ns0:c r="C815" s="28"/>
      <ns0:c r="D815" s="29"/>
      <ns0:c r="E815" s="31"/>
      <ns0:c r="F815" s="32"/>
      <ns0:c r="G815" s="29"/>
      <ns0:c r="H815" s="29"/>
      <ns0:c r="I815" s="29"/>
      <ns0:c r="J815" s="29"/>
      <ns0:c r="K815" s="29"/>
    </ns0:row>
    <ns0:row r="816" ht="28" customHeight="1">
      <ns0:c r="A816" s="29"/>
      <ns0:c r="B816" s="30"/>
      <ns0:c r="C816" s="28"/>
      <ns0:c r="D816" s="29"/>
      <ns0:c r="E816" s="31"/>
      <ns0:c r="F816" s="32"/>
      <ns0:c r="G816" s="29"/>
      <ns0:c r="H816" s="29"/>
      <ns0:c r="I816" s="29"/>
      <ns0:c r="J816" s="29"/>
      <ns0:c r="K816" s="29"/>
    </ns0:row>
    <ns0:row r="817" ht="28" customHeight="1">
      <ns0:c r="A817" s="29"/>
      <ns0:c r="B817" s="30"/>
      <ns0:c r="C817" s="28"/>
      <ns0:c r="D817" s="29"/>
      <ns0:c r="E817" s="31"/>
      <ns0:c r="F817" s="32"/>
      <ns0:c r="G817" s="29"/>
      <ns0:c r="H817" s="29"/>
      <ns0:c r="I817" s="29"/>
      <ns0:c r="J817" s="29"/>
      <ns0:c r="K817" s="29"/>
    </ns0:row>
    <ns0:row r="818" ht="28" customHeight="1">
      <ns0:c r="A818" s="29"/>
      <ns0:c r="B818" s="30"/>
      <ns0:c r="C818" s="28"/>
      <ns0:c r="D818" s="29"/>
      <ns0:c r="E818" s="31"/>
      <ns0:c r="F818" s="32"/>
      <ns0:c r="G818" s="29"/>
      <ns0:c r="H818" s="29"/>
      <ns0:c r="I818" s="29"/>
      <ns0:c r="J818" s="29"/>
      <ns0:c r="K818" s="29"/>
    </ns0:row>
    <ns0:row r="819" ht="28" customHeight="1">
      <ns0:c r="A819" s="29"/>
      <ns0:c r="B819" s="30"/>
      <ns0:c r="C819" s="28"/>
      <ns0:c r="D819" s="29"/>
      <ns0:c r="E819" s="31"/>
      <ns0:c r="F819" s="32"/>
      <ns0:c r="G819" s="29"/>
      <ns0:c r="H819" s="29"/>
      <ns0:c r="I819" s="29"/>
      <ns0:c r="J819" s="29"/>
      <ns0:c r="K819" s="29"/>
    </ns0:row>
    <ns0:row r="820" ht="28" customHeight="1">
      <ns0:c r="A820" s="29"/>
      <ns0:c r="B820" s="30"/>
      <ns0:c r="C820" s="28"/>
      <ns0:c r="D820" s="29"/>
      <ns0:c r="E820" s="31"/>
      <ns0:c r="F820" s="32"/>
      <ns0:c r="G820" s="29"/>
      <ns0:c r="H820" s="29"/>
      <ns0:c r="I820" s="29"/>
      <ns0:c r="J820" s="29"/>
      <ns0:c r="K820" s="29"/>
    </ns0:row>
    <ns0:row r="821" ht="28" customHeight="1">
      <ns0:c r="A821" s="29"/>
      <ns0:c r="B821" s="30"/>
      <ns0:c r="C821" s="28"/>
      <ns0:c r="D821" s="29"/>
      <ns0:c r="E821" s="31"/>
      <ns0:c r="F821" s="32"/>
      <ns0:c r="G821" s="29"/>
      <ns0:c r="H821" s="29"/>
      <ns0:c r="I821" s="29"/>
      <ns0:c r="J821" s="29"/>
      <ns0:c r="K821" s="29"/>
    </ns0:row>
    <ns0:row r="822" ht="28" customHeight="1">
      <ns0:c r="A822" s="29"/>
      <ns0:c r="B822" s="30"/>
      <ns0:c r="C822" s="28"/>
      <ns0:c r="D822" s="29"/>
      <ns0:c r="E822" s="31"/>
      <ns0:c r="F822" s="32"/>
      <ns0:c r="G822" s="29"/>
      <ns0:c r="H822" s="29"/>
      <ns0:c r="I822" s="29"/>
      <ns0:c r="J822" s="29"/>
      <ns0:c r="K822" s="29"/>
    </ns0:row>
    <ns0:row r="823" ht="28" customHeight="1">
      <ns0:c r="A823" s="29"/>
      <ns0:c r="B823" s="30"/>
      <ns0:c r="C823" s="28"/>
      <ns0:c r="D823" s="29"/>
      <ns0:c r="E823" s="31"/>
      <ns0:c r="F823" s="32"/>
      <ns0:c r="G823" s="29"/>
      <ns0:c r="H823" s="29"/>
      <ns0:c r="I823" s="29"/>
      <ns0:c r="J823" s="29"/>
      <ns0:c r="K823" s="29"/>
    </ns0:row>
    <ns0:row r="824" ht="28" customHeight="1">
      <ns0:c r="A824" s="29"/>
      <ns0:c r="B824" s="30"/>
      <ns0:c r="C824" s="28"/>
      <ns0:c r="D824" s="29"/>
      <ns0:c r="E824" s="31"/>
      <ns0:c r="F824" s="32"/>
      <ns0:c r="G824" s="29"/>
      <ns0:c r="H824" s="29"/>
      <ns0:c r="I824" s="29"/>
      <ns0:c r="J824" s="29"/>
      <ns0:c r="K824" s="29"/>
    </ns0:row>
    <ns0:row r="825" ht="28" customHeight="1">
      <ns0:c r="A825" s="29"/>
      <ns0:c r="B825" s="30"/>
      <ns0:c r="C825" s="28"/>
      <ns0:c r="D825" s="29"/>
      <ns0:c r="E825" s="31"/>
      <ns0:c r="F825" s="32"/>
      <ns0:c r="G825" s="29"/>
      <ns0:c r="H825" s="29"/>
      <ns0:c r="I825" s="29"/>
      <ns0:c r="J825" s="29"/>
      <ns0:c r="K825" s="29"/>
    </ns0:row>
    <ns0:row r="826" ht="28" customHeight="1">
      <ns0:c r="A826" s="29"/>
      <ns0:c r="B826" s="30"/>
      <ns0:c r="C826" s="28"/>
      <ns0:c r="D826" s="29"/>
      <ns0:c r="E826" s="31"/>
      <ns0:c r="F826" s="32"/>
      <ns0:c r="G826" s="29"/>
      <ns0:c r="H826" s="29"/>
      <ns0:c r="I826" s="29"/>
      <ns0:c r="J826" s="29"/>
      <ns0:c r="K826" s="29"/>
    </ns0:row>
    <ns0:row r="827" ht="28" customHeight="1">
      <ns0:c r="A827" s="29"/>
      <ns0:c r="B827" s="30"/>
      <ns0:c r="C827" s="28"/>
      <ns0:c r="D827" s="29"/>
      <ns0:c r="E827" s="31"/>
      <ns0:c r="F827" s="32"/>
      <ns0:c r="G827" s="29"/>
      <ns0:c r="H827" s="29"/>
      <ns0:c r="I827" s="29"/>
      <ns0:c r="J827" s="29"/>
      <ns0:c r="K827" s="29"/>
    </ns0:row>
    <ns0:row r="828" ht="28" customHeight="1">
      <ns0:c r="A828" s="29"/>
      <ns0:c r="B828" s="30"/>
      <ns0:c r="C828" s="28"/>
      <ns0:c r="D828" s="29"/>
      <ns0:c r="E828" s="31"/>
      <ns0:c r="F828" s="32"/>
      <ns0:c r="G828" s="29"/>
      <ns0:c r="H828" s="29"/>
      <ns0:c r="I828" s="29"/>
      <ns0:c r="J828" s="29"/>
      <ns0:c r="K828" s="29"/>
    </ns0:row>
    <ns0:row r="829" ht="28" customHeight="1">
      <ns0:c r="A829" s="29"/>
      <ns0:c r="B829" s="30"/>
      <ns0:c r="C829" s="28"/>
      <ns0:c r="D829" s="29"/>
      <ns0:c r="E829" s="31"/>
      <ns0:c r="F829" s="32"/>
      <ns0:c r="G829" s="29"/>
      <ns0:c r="H829" s="29"/>
      <ns0:c r="I829" s="29"/>
      <ns0:c r="J829" s="29"/>
      <ns0:c r="K829" s="29"/>
    </ns0:row>
    <ns0:row r="830" ht="28" customHeight="1">
      <ns0:c r="A830" s="29"/>
      <ns0:c r="B830" s="30"/>
      <ns0:c r="C830" s="28"/>
      <ns0:c r="D830" s="29"/>
      <ns0:c r="E830" s="31"/>
      <ns0:c r="F830" s="32"/>
      <ns0:c r="G830" s="29"/>
      <ns0:c r="H830" s="29"/>
      <ns0:c r="I830" s="29"/>
      <ns0:c r="J830" s="29"/>
      <ns0:c r="K830" s="29"/>
    </ns0:row>
    <ns0:row r="831" ht="28" customHeight="1">
      <ns0:c r="A831" s="29"/>
      <ns0:c r="B831" s="30"/>
      <ns0:c r="C831" s="28"/>
      <ns0:c r="D831" s="29"/>
      <ns0:c r="E831" s="31"/>
      <ns0:c r="F831" s="32"/>
      <ns0:c r="G831" s="29"/>
      <ns0:c r="H831" s="29"/>
      <ns0:c r="I831" s="29"/>
      <ns0:c r="J831" s="29"/>
      <ns0:c r="K831" s="29"/>
    </ns0:row>
    <ns0:row r="832" ht="28" customHeight="1">
      <ns0:c r="A832" s="29"/>
      <ns0:c r="B832" s="30"/>
      <ns0:c r="C832" s="28"/>
      <ns0:c r="D832" s="29"/>
      <ns0:c r="E832" s="31"/>
      <ns0:c r="F832" s="32"/>
      <ns0:c r="G832" s="29"/>
      <ns0:c r="H832" s="29"/>
      <ns0:c r="I832" s="29"/>
      <ns0:c r="J832" s="29"/>
      <ns0:c r="K832" s="29"/>
    </ns0:row>
    <ns0:row r="833" ht="28" customHeight="1">
      <ns0:c r="A833" s="29"/>
      <ns0:c r="B833" s="30"/>
      <ns0:c r="C833" s="28"/>
      <ns0:c r="D833" s="29"/>
      <ns0:c r="E833" s="31"/>
      <ns0:c r="F833" s="32"/>
      <ns0:c r="G833" s="29"/>
      <ns0:c r="H833" s="29"/>
      <ns0:c r="I833" s="29"/>
      <ns0:c r="J833" s="29"/>
      <ns0:c r="K833" s="29"/>
    </ns0:row>
    <ns0:row r="834" ht="28" customHeight="1">
      <ns0:c r="A834" s="29"/>
      <ns0:c r="B834" s="30"/>
      <ns0:c r="C834" s="28"/>
      <ns0:c r="D834" s="29"/>
      <ns0:c r="E834" s="31"/>
      <ns0:c r="F834" s="32"/>
      <ns0:c r="G834" s="29"/>
      <ns0:c r="H834" s="29"/>
      <ns0:c r="I834" s="29"/>
      <ns0:c r="J834" s="29"/>
      <ns0:c r="K834" s="29"/>
    </ns0:row>
    <ns0:row r="835" ht="28" customHeight="1">
      <ns0:c r="A835" s="29"/>
      <ns0:c r="B835" s="30"/>
      <ns0:c r="C835" s="28"/>
      <ns0:c r="D835" s="29"/>
      <ns0:c r="E835" s="31"/>
      <ns0:c r="F835" s="32"/>
      <ns0:c r="G835" s="29"/>
      <ns0:c r="H835" s="29"/>
      <ns0:c r="I835" s="29"/>
      <ns0:c r="J835" s="29"/>
      <ns0:c r="K835" s="29"/>
    </ns0:row>
    <ns0:row r="836" ht="28" customHeight="1">
      <ns0:c r="A836" s="29"/>
      <ns0:c r="B836" s="30"/>
      <ns0:c r="C836" s="28"/>
      <ns0:c r="D836" s="29"/>
      <ns0:c r="E836" s="31"/>
      <ns0:c r="F836" s="32"/>
      <ns0:c r="G836" s="29"/>
      <ns0:c r="H836" s="29"/>
      <ns0:c r="I836" s="29"/>
      <ns0:c r="J836" s="29"/>
      <ns0:c r="K836" s="29"/>
    </ns0:row>
    <ns0:row r="837" ht="28" customHeight="1">
      <ns0:c r="A837" s="29"/>
      <ns0:c r="B837" s="30"/>
      <ns0:c r="C837" s="28"/>
      <ns0:c r="D837" s="29"/>
      <ns0:c r="E837" s="31"/>
      <ns0:c r="F837" s="32"/>
      <ns0:c r="G837" s="29"/>
      <ns0:c r="H837" s="29"/>
      <ns0:c r="I837" s="29"/>
      <ns0:c r="J837" s="29"/>
      <ns0:c r="K837" s="29"/>
    </ns0:row>
    <ns0:row r="838" ht="28" customHeight="1">
      <ns0:c r="A838" s="29"/>
      <ns0:c r="B838" s="30"/>
      <ns0:c r="C838" s="28"/>
      <ns0:c r="D838" s="29"/>
      <ns0:c r="E838" s="31"/>
      <ns0:c r="F838" s="32"/>
      <ns0:c r="G838" s="29"/>
      <ns0:c r="H838" s="29"/>
      <ns0:c r="I838" s="29"/>
      <ns0:c r="J838" s="29"/>
      <ns0:c r="K838" s="29"/>
    </ns0:row>
    <ns0:row r="839" ht="28" customHeight="1">
      <ns0:c r="A839" s="29"/>
      <ns0:c r="B839" s="30"/>
      <ns0:c r="C839" s="28"/>
      <ns0:c r="D839" s="29"/>
      <ns0:c r="E839" s="31"/>
      <ns0:c r="F839" s="32"/>
      <ns0:c r="G839" s="29"/>
      <ns0:c r="H839" s="29"/>
      <ns0:c r="I839" s="29"/>
      <ns0:c r="J839" s="29"/>
      <ns0:c r="K839" s="29"/>
    </ns0:row>
    <ns0:row r="840" ht="28" customHeight="1">
      <ns0:c r="A840" s="29"/>
      <ns0:c r="B840" s="30"/>
      <ns0:c r="C840" s="28"/>
      <ns0:c r="D840" s="29"/>
      <ns0:c r="E840" s="31"/>
      <ns0:c r="F840" s="32"/>
      <ns0:c r="G840" s="29"/>
      <ns0:c r="H840" s="29"/>
      <ns0:c r="I840" s="29"/>
      <ns0:c r="J840" s="29"/>
      <ns0:c r="K840" s="29"/>
    </ns0:row>
    <ns0:row r="841" ht="28" customHeight="1">
      <ns0:c r="A841" s="29"/>
      <ns0:c r="B841" s="30"/>
      <ns0:c r="C841" s="28"/>
      <ns0:c r="D841" s="29"/>
      <ns0:c r="E841" s="31"/>
      <ns0:c r="F841" s="32"/>
      <ns0:c r="G841" s="29"/>
      <ns0:c r="H841" s="29"/>
      <ns0:c r="I841" s="29"/>
      <ns0:c r="J841" s="29"/>
      <ns0:c r="K841" s="29"/>
    </ns0:row>
    <ns0:row r="842" ht="28" customHeight="1">
      <ns0:c r="A842" s="29"/>
      <ns0:c r="B842" s="30"/>
      <ns0:c r="C842" s="28"/>
      <ns0:c r="D842" s="29"/>
      <ns0:c r="E842" s="31"/>
      <ns0:c r="F842" s="32"/>
      <ns0:c r="G842" s="29"/>
      <ns0:c r="H842" s="29"/>
      <ns0:c r="I842" s="29"/>
      <ns0:c r="J842" s="29"/>
      <ns0:c r="K842" s="29"/>
    </ns0:row>
    <ns0:row r="843" ht="28" customHeight="1">
      <ns0:c r="A843" s="29"/>
      <ns0:c r="B843" s="30"/>
      <ns0:c r="C843" s="28"/>
      <ns0:c r="D843" s="29"/>
      <ns0:c r="E843" s="31"/>
      <ns0:c r="F843" s="32"/>
      <ns0:c r="G843" s="29"/>
      <ns0:c r="H843" s="29"/>
      <ns0:c r="I843" s="29"/>
      <ns0:c r="J843" s="29"/>
      <ns0:c r="K843" s="29"/>
    </ns0:row>
    <ns0:row r="844" ht="28" customHeight="1">
      <ns0:c r="A844" s="29"/>
      <ns0:c r="B844" s="30"/>
      <ns0:c r="C844" s="28"/>
      <ns0:c r="D844" s="29"/>
      <ns0:c r="E844" s="31"/>
      <ns0:c r="F844" s="32"/>
      <ns0:c r="G844" s="29"/>
      <ns0:c r="H844" s="29"/>
      <ns0:c r="I844" s="29"/>
      <ns0:c r="J844" s="29"/>
      <ns0:c r="K844" s="29"/>
    </ns0:row>
    <ns0:row r="845" ht="28" customHeight="1">
      <ns0:c r="A845" s="29"/>
      <ns0:c r="B845" s="30"/>
      <ns0:c r="C845" s="28"/>
      <ns0:c r="D845" s="29"/>
      <ns0:c r="E845" s="31"/>
      <ns0:c r="F845" s="32"/>
      <ns0:c r="G845" s="29"/>
      <ns0:c r="H845" s="29"/>
      <ns0:c r="I845" s="29"/>
      <ns0:c r="J845" s="29"/>
      <ns0:c r="K845" s="29"/>
    </ns0:row>
    <ns0:row r="846" ht="28" customHeight="1">
      <ns0:c r="A846" s="29"/>
      <ns0:c r="B846" s="30"/>
      <ns0:c r="C846" s="28"/>
      <ns0:c r="D846" s="29"/>
      <ns0:c r="E846" s="31"/>
      <ns0:c r="F846" s="32"/>
      <ns0:c r="G846" s="29"/>
      <ns0:c r="H846" s="29"/>
      <ns0:c r="I846" s="29"/>
      <ns0:c r="J846" s="29"/>
      <ns0:c r="K846" s="29"/>
    </ns0:row>
    <ns0:row r="847" ht="28" customHeight="1">
      <ns0:c r="A847" s="29"/>
      <ns0:c r="B847" s="30"/>
      <ns0:c r="C847" s="28"/>
      <ns0:c r="D847" s="29"/>
      <ns0:c r="E847" s="31"/>
      <ns0:c r="F847" s="32"/>
      <ns0:c r="G847" s="29"/>
      <ns0:c r="H847" s="29"/>
      <ns0:c r="I847" s="29"/>
      <ns0:c r="J847" s="29"/>
      <ns0:c r="K847" s="29"/>
    </ns0:row>
    <ns0:row r="848" ht="28" customHeight="1">
      <ns0:c r="A848" s="29"/>
      <ns0:c r="B848" s="30"/>
      <ns0:c r="C848" s="28"/>
      <ns0:c r="D848" s="29"/>
      <ns0:c r="E848" s="31"/>
      <ns0:c r="F848" s="32"/>
      <ns0:c r="G848" s="29"/>
      <ns0:c r="H848" s="29"/>
      <ns0:c r="I848" s="29"/>
      <ns0:c r="J848" s="29"/>
      <ns0:c r="K848" s="29"/>
    </ns0:row>
    <ns0:row r="849" ht="28" customHeight="1">
      <ns0:c r="A849" s="29"/>
      <ns0:c r="B849" s="30"/>
      <ns0:c r="C849" s="28"/>
      <ns0:c r="D849" s="29"/>
      <ns0:c r="E849" s="31"/>
      <ns0:c r="F849" s="32"/>
      <ns0:c r="G849" s="29"/>
      <ns0:c r="H849" s="29"/>
      <ns0:c r="I849" s="29"/>
      <ns0:c r="J849" s="29"/>
      <ns0:c r="K849" s="29"/>
    </ns0:row>
    <ns0:row r="850" ht="28" customHeight="1">
      <ns0:c r="A850" s="29"/>
      <ns0:c r="B850" s="30"/>
      <ns0:c r="C850" s="28"/>
      <ns0:c r="D850" s="29"/>
      <ns0:c r="E850" s="31"/>
      <ns0:c r="F850" s="32"/>
      <ns0:c r="G850" s="29"/>
      <ns0:c r="H850" s="29"/>
      <ns0:c r="I850" s="29"/>
      <ns0:c r="J850" s="29"/>
      <ns0:c r="K850" s="29"/>
    </ns0:row>
    <ns0:row r="851" ht="28" customHeight="1">
      <ns0:c r="A851" s="29"/>
      <ns0:c r="B851" s="30"/>
      <ns0:c r="C851" s="28"/>
      <ns0:c r="D851" s="29"/>
      <ns0:c r="E851" s="31"/>
      <ns0:c r="F851" s="32"/>
      <ns0:c r="G851" s="29"/>
      <ns0:c r="H851" s="29"/>
      <ns0:c r="I851" s="29"/>
      <ns0:c r="J851" s="29"/>
      <ns0:c r="K851" s="29"/>
    </ns0:row>
    <ns0:row r="852" ht="28" customHeight="1">
      <ns0:c r="A852" s="29"/>
      <ns0:c r="B852" s="30"/>
      <ns0:c r="C852" s="28"/>
      <ns0:c r="D852" s="29"/>
      <ns0:c r="E852" s="31"/>
      <ns0:c r="F852" s="32"/>
      <ns0:c r="G852" s="29"/>
      <ns0:c r="H852" s="29"/>
      <ns0:c r="I852" s="29"/>
      <ns0:c r="J852" s="29"/>
      <ns0:c r="K852" s="29"/>
    </ns0:row>
    <ns0:row r="853" ht="28" customHeight="1">
      <ns0:c r="A853" s="29"/>
      <ns0:c r="B853" s="30"/>
      <ns0:c r="C853" s="28"/>
      <ns0:c r="D853" s="29"/>
      <ns0:c r="E853" s="31"/>
      <ns0:c r="F853" s="32"/>
      <ns0:c r="G853" s="29"/>
      <ns0:c r="H853" s="29"/>
      <ns0:c r="I853" s="29"/>
      <ns0:c r="J853" s="29"/>
      <ns0:c r="K853" s="29"/>
    </ns0:row>
    <ns0:row r="854" ht="28" customHeight="1">
      <ns0:c r="A854" s="29"/>
      <ns0:c r="B854" s="30"/>
      <ns0:c r="C854" s="28"/>
      <ns0:c r="D854" s="29"/>
      <ns0:c r="E854" s="31"/>
      <ns0:c r="F854" s="32"/>
      <ns0:c r="G854" s="29"/>
      <ns0:c r="H854" s="29"/>
      <ns0:c r="I854" s="29"/>
      <ns0:c r="J854" s="29"/>
      <ns0:c r="K854" s="29"/>
    </ns0:row>
    <ns0:row r="855" ht="28" customHeight="1">
      <ns0:c r="A855" s="29"/>
      <ns0:c r="B855" s="30"/>
      <ns0:c r="C855" s="28"/>
      <ns0:c r="D855" s="29"/>
      <ns0:c r="E855" s="31"/>
      <ns0:c r="F855" s="32"/>
      <ns0:c r="G855" s="29"/>
      <ns0:c r="H855" s="29"/>
      <ns0:c r="I855" s="29"/>
      <ns0:c r="J855" s="29"/>
      <ns0:c r="K855" s="29"/>
    </ns0:row>
    <ns0:row r="856" ht="28" customHeight="1">
      <ns0:c r="A856" s="29"/>
      <ns0:c r="B856" s="30"/>
      <ns0:c r="C856" s="28"/>
      <ns0:c r="D856" s="29"/>
      <ns0:c r="E856" s="31"/>
      <ns0:c r="F856" s="32"/>
      <ns0:c r="G856" s="29"/>
      <ns0:c r="H856" s="29"/>
      <ns0:c r="I856" s="29"/>
      <ns0:c r="J856" s="29"/>
      <ns0:c r="K856" s="29"/>
    </ns0:row>
    <ns0:row r="857" ht="28" customHeight="1">
      <ns0:c r="A857" s="29"/>
      <ns0:c r="B857" s="30"/>
      <ns0:c r="C857" s="28"/>
      <ns0:c r="D857" s="29"/>
      <ns0:c r="E857" s="31"/>
      <ns0:c r="F857" s="32"/>
      <ns0:c r="G857" s="29"/>
      <ns0:c r="H857" s="29"/>
      <ns0:c r="I857" s="29"/>
      <ns0:c r="J857" s="29"/>
      <ns0:c r="K857" s="29"/>
    </ns0:row>
    <ns0:row r="858" ht="28" customHeight="1">
      <ns0:c r="A858" s="29"/>
      <ns0:c r="B858" s="30"/>
      <ns0:c r="C858" s="28"/>
      <ns0:c r="D858" s="29"/>
      <ns0:c r="E858" s="31"/>
      <ns0:c r="F858" s="32"/>
      <ns0:c r="G858" s="29"/>
      <ns0:c r="H858" s="29"/>
      <ns0:c r="I858" s="29"/>
      <ns0:c r="J858" s="29"/>
      <ns0:c r="K858" s="29"/>
    </ns0:row>
    <ns0:row r="859" ht="28" customHeight="1">
      <ns0:c r="A859" s="29"/>
      <ns0:c r="B859" s="30"/>
      <ns0:c r="C859" s="28"/>
      <ns0:c r="D859" s="29"/>
      <ns0:c r="E859" s="31"/>
      <ns0:c r="F859" s="32"/>
      <ns0:c r="G859" s="29"/>
      <ns0:c r="H859" s="29"/>
      <ns0:c r="I859" s="29"/>
      <ns0:c r="J859" s="29"/>
      <ns0:c r="K859" s="29"/>
    </ns0:row>
    <ns0:row r="860" ht="28" customHeight="1">
      <ns0:c r="A860" s="29"/>
      <ns0:c r="B860" s="30"/>
      <ns0:c r="C860" s="28"/>
      <ns0:c r="D860" s="29"/>
      <ns0:c r="E860" s="31"/>
      <ns0:c r="F860" s="32"/>
      <ns0:c r="G860" s="29"/>
      <ns0:c r="H860" s="29"/>
      <ns0:c r="I860" s="29"/>
      <ns0:c r="J860" s="29"/>
      <ns0:c r="K860" s="29"/>
    </ns0:row>
    <ns0:row r="861" ht="28" customHeight="1">
      <ns0:c r="A861" s="29"/>
      <ns0:c r="B861" s="30"/>
      <ns0:c r="C861" s="28"/>
      <ns0:c r="D861" s="29"/>
      <ns0:c r="E861" s="31"/>
      <ns0:c r="F861" s="32"/>
      <ns0:c r="G861" s="29"/>
      <ns0:c r="H861" s="29"/>
      <ns0:c r="I861" s="29"/>
      <ns0:c r="J861" s="29"/>
      <ns0:c r="K861" s="29"/>
    </ns0:row>
    <ns0:row r="862" ht="28" customHeight="1">
      <ns0:c r="A862" s="29"/>
      <ns0:c r="B862" s="30"/>
      <ns0:c r="C862" s="28"/>
      <ns0:c r="D862" s="29"/>
      <ns0:c r="E862" s="31"/>
      <ns0:c r="F862" s="32"/>
      <ns0:c r="G862" s="29"/>
      <ns0:c r="H862" s="29"/>
      <ns0:c r="I862" s="29"/>
      <ns0:c r="J862" s="29"/>
      <ns0:c r="K862" s="29"/>
    </ns0:row>
    <ns0:row r="863" ht="28" customHeight="1">
      <ns0:c r="A863" s="29"/>
      <ns0:c r="B863" s="30"/>
      <ns0:c r="C863" s="28"/>
      <ns0:c r="D863" s="29"/>
      <ns0:c r="E863" s="31"/>
      <ns0:c r="F863" s="32"/>
      <ns0:c r="G863" s="29"/>
      <ns0:c r="H863" s="29"/>
      <ns0:c r="I863" s="29"/>
      <ns0:c r="J863" s="29"/>
      <ns0:c r="K863" s="29"/>
    </ns0:row>
    <ns0:row r="864" ht="28" customHeight="1">
      <ns0:c r="A864" s="29"/>
      <ns0:c r="B864" s="30"/>
      <ns0:c r="C864" s="28"/>
      <ns0:c r="D864" s="29"/>
      <ns0:c r="E864" s="31"/>
      <ns0:c r="F864" s="32"/>
      <ns0:c r="G864" s="29"/>
      <ns0:c r="H864" s="29"/>
      <ns0:c r="I864" s="29"/>
      <ns0:c r="J864" s="29"/>
      <ns0:c r="K864" s="29"/>
    </ns0:row>
    <ns0:row r="865" ht="28" customHeight="1">
      <ns0:c r="A865" s="29"/>
      <ns0:c r="B865" s="30"/>
      <ns0:c r="C865" s="28"/>
      <ns0:c r="D865" s="29"/>
      <ns0:c r="E865" s="31"/>
      <ns0:c r="F865" s="32"/>
      <ns0:c r="G865" s="29"/>
      <ns0:c r="H865" s="29"/>
      <ns0:c r="I865" s="29"/>
      <ns0:c r="J865" s="29"/>
      <ns0:c r="K865" s="29"/>
    </ns0:row>
    <ns0:row r="866" ht="28" customHeight="1">
      <ns0:c r="A866" s="29"/>
      <ns0:c r="B866" s="30"/>
      <ns0:c r="C866" s="28"/>
      <ns0:c r="D866" s="29"/>
      <ns0:c r="E866" s="31"/>
      <ns0:c r="F866" s="32"/>
      <ns0:c r="G866" s="29"/>
      <ns0:c r="H866" s="29"/>
      <ns0:c r="I866" s="29"/>
      <ns0:c r="J866" s="29"/>
      <ns0:c r="K866" s="29"/>
    </ns0:row>
    <ns0:row r="867" ht="28" customHeight="1">
      <ns0:c r="A867" s="29"/>
      <ns0:c r="B867" s="30"/>
      <ns0:c r="C867" s="28"/>
      <ns0:c r="D867" s="29"/>
      <ns0:c r="E867" s="31"/>
      <ns0:c r="F867" s="32"/>
      <ns0:c r="G867" s="29"/>
      <ns0:c r="H867" s="29"/>
      <ns0:c r="I867" s="29"/>
      <ns0:c r="J867" s="29"/>
      <ns0:c r="K867" s="29"/>
    </ns0:row>
    <ns0:row r="868" ht="28" customHeight="1">
      <ns0:c r="A868" s="29"/>
      <ns0:c r="B868" s="30"/>
      <ns0:c r="C868" s="28"/>
      <ns0:c r="D868" s="29"/>
      <ns0:c r="E868" s="31"/>
      <ns0:c r="F868" s="32"/>
      <ns0:c r="G868" s="29"/>
      <ns0:c r="H868" s="29"/>
      <ns0:c r="I868" s="29"/>
      <ns0:c r="J868" s="29"/>
      <ns0:c r="K868" s="29"/>
    </ns0:row>
    <ns0:row r="869" ht="28" customHeight="1">
      <ns0:c r="A869" s="29"/>
      <ns0:c r="B869" s="30"/>
      <ns0:c r="C869" s="28"/>
      <ns0:c r="D869" s="29"/>
      <ns0:c r="E869" s="31"/>
      <ns0:c r="F869" s="32"/>
      <ns0:c r="G869" s="29"/>
      <ns0:c r="H869" s="29"/>
      <ns0:c r="I869" s="29"/>
      <ns0:c r="J869" s="29"/>
      <ns0:c r="K869" s="29"/>
    </ns0:row>
    <ns0:row r="870" ht="28" customHeight="1">
      <ns0:c r="A870" s="29"/>
      <ns0:c r="B870" s="30"/>
      <ns0:c r="C870" s="28"/>
      <ns0:c r="D870" s="29"/>
      <ns0:c r="E870" s="31"/>
      <ns0:c r="F870" s="32"/>
      <ns0:c r="G870" s="29"/>
      <ns0:c r="H870" s="29"/>
      <ns0:c r="I870" s="29"/>
      <ns0:c r="J870" s="29"/>
      <ns0:c r="K870" s="29"/>
    </ns0:row>
    <ns0:row r="871" ht="28" customHeight="1">
      <ns0:c r="A871" s="29"/>
      <ns0:c r="B871" s="30"/>
      <ns0:c r="C871" s="28"/>
      <ns0:c r="D871" s="29"/>
      <ns0:c r="E871" s="31"/>
      <ns0:c r="F871" s="32"/>
      <ns0:c r="G871" s="29"/>
      <ns0:c r="H871" s="29"/>
      <ns0:c r="I871" s="29"/>
      <ns0:c r="J871" s="29"/>
      <ns0:c r="K871" s="29"/>
    </ns0:row>
    <ns0:row r="872" ht="28" customHeight="1">
      <ns0:c r="A872" s="29"/>
      <ns0:c r="B872" s="30"/>
      <ns0:c r="C872" s="28"/>
      <ns0:c r="D872" s="29"/>
      <ns0:c r="E872" s="31"/>
      <ns0:c r="F872" s="32"/>
      <ns0:c r="G872" s="29"/>
      <ns0:c r="H872" s="29"/>
      <ns0:c r="I872" s="29"/>
      <ns0:c r="J872" s="29"/>
      <ns0:c r="K872" s="29"/>
    </ns0:row>
    <ns0:row r="873" ht="28" customHeight="1">
      <ns0:c r="A873" s="29"/>
      <ns0:c r="B873" s="30"/>
      <ns0:c r="C873" s="28"/>
      <ns0:c r="D873" s="29"/>
      <ns0:c r="E873" s="31"/>
      <ns0:c r="F873" s="32"/>
      <ns0:c r="G873" s="29"/>
      <ns0:c r="H873" s="29"/>
      <ns0:c r="I873" s="29"/>
      <ns0:c r="J873" s="29"/>
      <ns0:c r="K873" s="29"/>
    </ns0:row>
    <ns0:row r="874" ht="28" customHeight="1">
      <ns0:c r="A874" s="29"/>
      <ns0:c r="B874" s="30"/>
      <ns0:c r="C874" s="28"/>
      <ns0:c r="D874" s="29"/>
      <ns0:c r="E874" s="31"/>
      <ns0:c r="F874" s="32"/>
      <ns0:c r="G874" s="29"/>
      <ns0:c r="H874" s="29"/>
      <ns0:c r="I874" s="29"/>
      <ns0:c r="J874" s="29"/>
      <ns0:c r="K874" s="29"/>
    </ns0:row>
    <ns0:row r="875" ht="28" customHeight="1">
      <ns0:c r="A875" s="29"/>
      <ns0:c r="B875" s="30"/>
      <ns0:c r="C875" s="28"/>
      <ns0:c r="D875" s="29"/>
      <ns0:c r="E875" s="31"/>
      <ns0:c r="F875" s="32"/>
      <ns0:c r="G875" s="29"/>
      <ns0:c r="H875" s="29"/>
      <ns0:c r="I875" s="29"/>
      <ns0:c r="J875" s="29"/>
      <ns0:c r="K875" s="29"/>
    </ns0:row>
    <ns0:row r="876" ht="28" customHeight="1">
      <ns0:c r="A876" s="29"/>
      <ns0:c r="B876" s="30"/>
      <ns0:c r="C876" s="28"/>
      <ns0:c r="D876" s="29"/>
      <ns0:c r="E876" s="31"/>
      <ns0:c r="F876" s="32"/>
      <ns0:c r="G876" s="29"/>
      <ns0:c r="H876" s="29"/>
      <ns0:c r="I876" s="29"/>
      <ns0:c r="J876" s="29"/>
      <ns0:c r="K876" s="29"/>
    </ns0:row>
    <ns0:row r="877" ht="28" customHeight="1">
      <ns0:c r="A877" s="29"/>
      <ns0:c r="B877" s="30"/>
      <ns0:c r="C877" s="28"/>
      <ns0:c r="D877" s="29"/>
      <ns0:c r="E877" s="31"/>
      <ns0:c r="F877" s="32"/>
      <ns0:c r="G877" s="29"/>
      <ns0:c r="H877" s="29"/>
      <ns0:c r="I877" s="29"/>
      <ns0:c r="J877" s="29"/>
      <ns0:c r="K877" s="29"/>
    </ns0:row>
    <ns0:row r="878" ht="28" customHeight="1">
      <ns0:c r="A878" s="29"/>
      <ns0:c r="B878" s="30"/>
      <ns0:c r="C878" s="28"/>
      <ns0:c r="D878" s="29"/>
      <ns0:c r="E878" s="31"/>
      <ns0:c r="F878" s="32"/>
      <ns0:c r="G878" s="29"/>
      <ns0:c r="H878" s="29"/>
      <ns0:c r="I878" s="29"/>
      <ns0:c r="J878" s="29"/>
      <ns0:c r="K878" s="29"/>
    </ns0:row>
    <ns0:row r="879" ht="28" customHeight="1">
      <ns0:c r="A879" s="29"/>
      <ns0:c r="B879" s="30"/>
      <ns0:c r="C879" s="28"/>
      <ns0:c r="D879" s="29"/>
      <ns0:c r="E879" s="31"/>
      <ns0:c r="F879" s="32"/>
      <ns0:c r="G879" s="29"/>
      <ns0:c r="H879" s="29"/>
      <ns0:c r="I879" s="29"/>
      <ns0:c r="J879" s="29"/>
      <ns0:c r="K879" s="29"/>
    </ns0:row>
    <ns0:row r="880" ht="28" customHeight="1">
      <ns0:c r="A880" s="29"/>
      <ns0:c r="B880" s="30"/>
      <ns0:c r="C880" s="28"/>
      <ns0:c r="D880" s="29"/>
      <ns0:c r="E880" s="31"/>
      <ns0:c r="F880" s="32"/>
      <ns0:c r="G880" s="29"/>
      <ns0:c r="H880" s="29"/>
      <ns0:c r="I880" s="29"/>
      <ns0:c r="J880" s="29"/>
      <ns0:c r="K880" s="29"/>
    </ns0:row>
    <ns0:row r="881" ht="28" customHeight="1">
      <ns0:c r="A881" s="29"/>
      <ns0:c r="B881" s="30"/>
      <ns0:c r="C881" s="28"/>
      <ns0:c r="D881" s="29"/>
      <ns0:c r="E881" s="31"/>
      <ns0:c r="F881" s="32"/>
      <ns0:c r="G881" s="29"/>
      <ns0:c r="H881" s="29"/>
      <ns0:c r="I881" s="29"/>
      <ns0:c r="J881" s="29"/>
      <ns0:c r="K881" s="29"/>
    </ns0:row>
    <ns0:row r="882" ht="28" customHeight="1">
      <ns0:c r="A882" s="29"/>
      <ns0:c r="B882" s="30"/>
      <ns0:c r="C882" s="28"/>
      <ns0:c r="D882" s="29"/>
      <ns0:c r="E882" s="31"/>
      <ns0:c r="F882" s="32"/>
      <ns0:c r="G882" s="29"/>
      <ns0:c r="H882" s="29"/>
      <ns0:c r="I882" s="29"/>
      <ns0:c r="J882" s="29"/>
      <ns0:c r="K882" s="29"/>
    </ns0:row>
    <ns0:row r="883" ht="28" customHeight="1">
      <ns0:c r="A883" s="29"/>
      <ns0:c r="B883" s="30"/>
      <ns0:c r="C883" s="28"/>
      <ns0:c r="D883" s="29"/>
      <ns0:c r="E883" s="31"/>
      <ns0:c r="F883" s="32"/>
      <ns0:c r="G883" s="29"/>
      <ns0:c r="H883" s="29"/>
      <ns0:c r="I883" s="29"/>
      <ns0:c r="J883" s="29"/>
      <ns0:c r="K883" s="29"/>
    </ns0:row>
    <ns0:row r="884" ht="28" customHeight="1">
      <ns0:c r="A884" s="29"/>
      <ns0:c r="B884" s="30"/>
      <ns0:c r="C884" s="28"/>
      <ns0:c r="D884" s="29"/>
      <ns0:c r="E884" s="31"/>
      <ns0:c r="F884" s="32"/>
      <ns0:c r="G884" s="29"/>
      <ns0:c r="H884" s="29"/>
      <ns0:c r="I884" s="29"/>
      <ns0:c r="J884" s="29"/>
      <ns0:c r="K884" s="29"/>
    </ns0:row>
    <ns0:row r="885" ht="28" customHeight="1">
      <ns0:c r="A885" s="29"/>
      <ns0:c r="B885" s="30"/>
      <ns0:c r="C885" s="28"/>
      <ns0:c r="D885" s="29"/>
      <ns0:c r="E885" s="31"/>
      <ns0:c r="F885" s="32"/>
      <ns0:c r="G885" s="29"/>
      <ns0:c r="H885" s="29"/>
      <ns0:c r="I885" s="29"/>
      <ns0:c r="J885" s="29"/>
      <ns0:c r="K885" s="29"/>
    </ns0:row>
    <ns0:row r="886" ht="28" customHeight="1">
      <ns0:c r="A886" s="29"/>
      <ns0:c r="B886" s="30"/>
      <ns0:c r="C886" s="28"/>
      <ns0:c r="D886" s="29"/>
      <ns0:c r="E886" s="31"/>
      <ns0:c r="F886" s="32"/>
      <ns0:c r="G886" s="29"/>
      <ns0:c r="H886" s="29"/>
      <ns0:c r="I886" s="29"/>
      <ns0:c r="J886" s="29"/>
      <ns0:c r="K886" s="29"/>
    </ns0:row>
    <ns0:row r="887" ht="28" customHeight="1">
      <ns0:c r="A887" s="29"/>
      <ns0:c r="B887" s="30"/>
      <ns0:c r="C887" s="28"/>
      <ns0:c r="D887" s="29"/>
      <ns0:c r="E887" s="31"/>
      <ns0:c r="F887" s="32"/>
      <ns0:c r="G887" s="29"/>
      <ns0:c r="H887" s="29"/>
      <ns0:c r="I887" s="29"/>
      <ns0:c r="J887" s="29"/>
      <ns0:c r="K887" s="29"/>
    </ns0:row>
    <ns0:row r="888" ht="28" customHeight="1">
      <ns0:c r="A888" s="29"/>
      <ns0:c r="B888" s="30"/>
      <ns0:c r="C888" s="28"/>
      <ns0:c r="D888" s="29"/>
      <ns0:c r="E888" s="31"/>
      <ns0:c r="F888" s="32"/>
      <ns0:c r="G888" s="29"/>
      <ns0:c r="H888" s="29"/>
      <ns0:c r="I888" s="29"/>
      <ns0:c r="J888" s="29"/>
      <ns0:c r="K888" s="29"/>
    </ns0:row>
    <ns0:row r="889" ht="28" customHeight="1">
      <ns0:c r="A889" s="29"/>
      <ns0:c r="B889" s="30"/>
      <ns0:c r="C889" s="28"/>
      <ns0:c r="D889" s="29"/>
      <ns0:c r="E889" s="31"/>
      <ns0:c r="F889" s="32"/>
      <ns0:c r="G889" s="29"/>
      <ns0:c r="H889" s="29"/>
      <ns0:c r="I889" s="29"/>
      <ns0:c r="J889" s="29"/>
      <ns0:c r="K889" s="29"/>
    </ns0:row>
    <ns0:row r="890" ht="28" customHeight="1">
      <ns0:c r="A890" s="29"/>
      <ns0:c r="B890" s="30"/>
      <ns0:c r="C890" s="28"/>
      <ns0:c r="D890" s="29"/>
      <ns0:c r="E890" s="31"/>
      <ns0:c r="F890" s="32"/>
      <ns0:c r="G890" s="29"/>
      <ns0:c r="H890" s="29"/>
      <ns0:c r="I890" s="29"/>
      <ns0:c r="J890" s="29"/>
      <ns0:c r="K890" s="29"/>
    </ns0:row>
    <ns0:row r="891" ht="28" customHeight="1">
      <ns0:c r="A891" s="29"/>
      <ns0:c r="B891" s="30"/>
      <ns0:c r="C891" s="28"/>
      <ns0:c r="D891" s="29"/>
      <ns0:c r="E891" s="31"/>
      <ns0:c r="F891" s="32"/>
      <ns0:c r="G891" s="29"/>
      <ns0:c r="H891" s="29"/>
      <ns0:c r="I891" s="29"/>
      <ns0:c r="J891" s="29"/>
      <ns0:c r="K891" s="29"/>
    </ns0:row>
    <ns0:row r="892" ht="28" customHeight="1">
      <ns0:c r="A892" s="29"/>
      <ns0:c r="B892" s="30"/>
      <ns0:c r="C892" s="28"/>
      <ns0:c r="D892" s="29"/>
      <ns0:c r="E892" s="31"/>
      <ns0:c r="F892" s="32"/>
      <ns0:c r="G892" s="29"/>
      <ns0:c r="H892" s="29"/>
      <ns0:c r="I892" s="29"/>
      <ns0:c r="J892" s="29"/>
      <ns0:c r="K892" s="29"/>
    </ns0:row>
    <ns0:row r="893" ht="28" customHeight="1">
      <ns0:c r="A893" s="29"/>
      <ns0:c r="B893" s="30"/>
      <ns0:c r="C893" s="28"/>
      <ns0:c r="D893" s="29"/>
      <ns0:c r="E893" s="31"/>
      <ns0:c r="F893" s="32"/>
      <ns0:c r="G893" s="29"/>
      <ns0:c r="H893" s="29"/>
      <ns0:c r="I893" s="29"/>
      <ns0:c r="J893" s="29"/>
      <ns0:c r="K893" s="29"/>
    </ns0:row>
    <ns0:row r="894" ht="28" customHeight="1">
      <ns0:c r="A894" s="29"/>
      <ns0:c r="B894" s="30"/>
      <ns0:c r="C894" s="28"/>
      <ns0:c r="D894" s="29"/>
      <ns0:c r="E894" s="31"/>
      <ns0:c r="F894" s="32"/>
      <ns0:c r="G894" s="29"/>
      <ns0:c r="H894" s="29"/>
      <ns0:c r="I894" s="29"/>
      <ns0:c r="J894" s="29"/>
      <ns0:c r="K894" s="29"/>
    </ns0:row>
    <ns0:row r="895" ht="28" customHeight="1">
      <ns0:c r="A895" s="29"/>
      <ns0:c r="B895" s="30"/>
      <ns0:c r="C895" s="28"/>
      <ns0:c r="D895" s="29"/>
      <ns0:c r="E895" s="31"/>
      <ns0:c r="F895" s="32"/>
      <ns0:c r="G895" s="29"/>
      <ns0:c r="H895" s="29"/>
      <ns0:c r="I895" s="29"/>
      <ns0:c r="J895" s="29"/>
      <ns0:c r="K895" s="29"/>
    </ns0:row>
    <ns0:row r="896" ht="28" customHeight="1">
      <ns0:c r="A896" s="29"/>
      <ns0:c r="B896" s="30"/>
      <ns0:c r="C896" s="28"/>
      <ns0:c r="D896" s="29"/>
      <ns0:c r="E896" s="31"/>
      <ns0:c r="F896" s="32"/>
      <ns0:c r="G896" s="29"/>
      <ns0:c r="H896" s="29"/>
      <ns0:c r="I896" s="29"/>
      <ns0:c r="J896" s="29"/>
      <ns0:c r="K896" s="29"/>
    </ns0:row>
    <ns0:row r="897" ht="28" customHeight="1">
      <ns0:c r="A897" s="29"/>
      <ns0:c r="B897" s="30"/>
      <ns0:c r="C897" s="28"/>
      <ns0:c r="D897" s="29"/>
      <ns0:c r="E897" s="31"/>
      <ns0:c r="F897" s="32"/>
      <ns0:c r="G897" s="29"/>
      <ns0:c r="H897" s="29"/>
      <ns0:c r="I897" s="29"/>
      <ns0:c r="J897" s="29"/>
      <ns0:c r="K897" s="29"/>
    </ns0:row>
    <ns0:row r="898" ht="28" customHeight="1">
      <ns0:c r="A898" s="29"/>
      <ns0:c r="B898" s="30"/>
      <ns0:c r="C898" s="28"/>
      <ns0:c r="D898" s="29"/>
      <ns0:c r="E898" s="31"/>
      <ns0:c r="F898" s="32"/>
      <ns0:c r="G898" s="29"/>
      <ns0:c r="H898" s="29"/>
      <ns0:c r="I898" s="29"/>
      <ns0:c r="J898" s="29"/>
      <ns0:c r="K898" s="29"/>
    </ns0:row>
    <ns0:row r="899" ht="28" customHeight="1">
      <ns0:c r="A899" s="29"/>
      <ns0:c r="B899" s="30"/>
      <ns0:c r="C899" s="28"/>
      <ns0:c r="D899" s="29"/>
      <ns0:c r="E899" s="31"/>
      <ns0:c r="F899" s="32"/>
      <ns0:c r="G899" s="29"/>
      <ns0:c r="H899" s="29"/>
      <ns0:c r="I899" s="29"/>
      <ns0:c r="J899" s="29"/>
      <ns0:c r="K899" s="29"/>
    </ns0:row>
    <ns0:row r="900" ht="28" customHeight="1">
      <ns0:c r="A900" s="29"/>
      <ns0:c r="B900" s="30"/>
      <ns0:c r="C900" s="28"/>
      <ns0:c r="D900" s="29"/>
      <ns0:c r="E900" s="31"/>
      <ns0:c r="F900" s="32"/>
      <ns0:c r="G900" s="29"/>
      <ns0:c r="H900" s="29"/>
      <ns0:c r="I900" s="29"/>
      <ns0:c r="J900" s="29"/>
      <ns0:c r="K900" s="29"/>
    </ns0:row>
    <ns0:row r="901" ht="28" customHeight="1">
      <ns0:c r="A901" s="29"/>
      <ns0:c r="B901" s="30"/>
      <ns0:c r="C901" s="28"/>
      <ns0:c r="D901" s="29"/>
      <ns0:c r="E901" s="31"/>
      <ns0:c r="F901" s="32"/>
      <ns0:c r="G901" s="29"/>
      <ns0:c r="H901" s="29"/>
      <ns0:c r="I901" s="29"/>
      <ns0:c r="J901" s="29"/>
      <ns0:c r="K901" s="29"/>
    </ns0:row>
    <ns0:row r="902" ht="28" customHeight="1">
      <ns0:c r="A902" s="29"/>
      <ns0:c r="B902" s="30"/>
      <ns0:c r="C902" s="28"/>
      <ns0:c r="D902" s="29"/>
      <ns0:c r="E902" s="31"/>
      <ns0:c r="F902" s="32"/>
      <ns0:c r="G902" s="29"/>
      <ns0:c r="H902" s="29"/>
      <ns0:c r="I902" s="29"/>
      <ns0:c r="J902" s="29"/>
      <ns0:c r="K902" s="29"/>
    </ns0:row>
    <ns0:row r="903" ht="28" customHeight="1">
      <ns0:c r="A903" s="29"/>
      <ns0:c r="B903" s="30"/>
      <ns0:c r="C903" s="28"/>
      <ns0:c r="D903" s="29"/>
      <ns0:c r="E903" s="31"/>
      <ns0:c r="F903" s="32"/>
      <ns0:c r="G903" s="29"/>
      <ns0:c r="H903" s="29"/>
      <ns0:c r="I903" s="29"/>
      <ns0:c r="J903" s="29"/>
      <ns0:c r="K903" s="29"/>
    </ns0:row>
    <ns0:row r="904" ht="28" customHeight="1">
      <ns0:c r="A904" s="29"/>
      <ns0:c r="B904" s="30"/>
      <ns0:c r="C904" s="28"/>
      <ns0:c r="D904" s="29"/>
      <ns0:c r="E904" s="31"/>
      <ns0:c r="F904" s="32"/>
      <ns0:c r="G904" s="29"/>
      <ns0:c r="H904" s="29"/>
      <ns0:c r="I904" s="29"/>
      <ns0:c r="J904" s="29"/>
      <ns0:c r="K904" s="29"/>
    </ns0:row>
    <ns0:row r="905" ht="28" customHeight="1">
      <ns0:c r="A905" s="29"/>
      <ns0:c r="B905" s="30"/>
      <ns0:c r="C905" s="28"/>
      <ns0:c r="D905" s="29"/>
      <ns0:c r="E905" s="31"/>
      <ns0:c r="F905" s="32"/>
      <ns0:c r="G905" s="29"/>
      <ns0:c r="H905" s="29"/>
      <ns0:c r="I905" s="29"/>
      <ns0:c r="J905" s="29"/>
      <ns0:c r="K905" s="29"/>
    </ns0:row>
    <ns0:row r="906" ht="28" customHeight="1">
      <ns0:c r="A906" s="29"/>
      <ns0:c r="B906" s="30"/>
      <ns0:c r="C906" s="28"/>
      <ns0:c r="D906" s="29"/>
      <ns0:c r="E906" s="31"/>
      <ns0:c r="F906" s="32"/>
      <ns0:c r="G906" s="29"/>
      <ns0:c r="H906" s="29"/>
      <ns0:c r="I906" s="29"/>
      <ns0:c r="J906" s="29"/>
      <ns0:c r="K906" s="29"/>
    </ns0:row>
    <ns0:row r="907" ht="28" customHeight="1">
      <ns0:c r="A907" s="29"/>
      <ns0:c r="B907" s="30"/>
      <ns0:c r="C907" s="28"/>
      <ns0:c r="D907" s="29"/>
      <ns0:c r="E907" s="31"/>
      <ns0:c r="F907" s="32"/>
      <ns0:c r="G907" s="29"/>
      <ns0:c r="H907" s="29"/>
      <ns0:c r="I907" s="29"/>
      <ns0:c r="J907" s="29"/>
      <ns0:c r="K907" s="29"/>
    </ns0:row>
    <ns0:row r="908" ht="28" customHeight="1">
      <ns0:c r="A908" s="29"/>
      <ns0:c r="B908" s="30"/>
      <ns0:c r="C908" s="28"/>
      <ns0:c r="D908" s="29"/>
      <ns0:c r="E908" s="31"/>
      <ns0:c r="F908" s="32"/>
      <ns0:c r="G908" s="29"/>
      <ns0:c r="H908" s="29"/>
      <ns0:c r="I908" s="29"/>
      <ns0:c r="J908" s="29"/>
      <ns0:c r="K908" s="29"/>
    </ns0:row>
    <ns0:row r="909" ht="28" customHeight="1">
      <ns0:c r="A909" s="29"/>
      <ns0:c r="B909" s="30"/>
      <ns0:c r="C909" s="28"/>
      <ns0:c r="D909" s="29"/>
      <ns0:c r="E909" s="31"/>
      <ns0:c r="F909" s="32"/>
      <ns0:c r="G909" s="29"/>
      <ns0:c r="H909" s="29"/>
      <ns0:c r="I909" s="29"/>
      <ns0:c r="J909" s="29"/>
      <ns0:c r="K909" s="29"/>
    </ns0:row>
    <ns0:row r="910" ht="28" customHeight="1">
      <ns0:c r="A910" s="29"/>
      <ns0:c r="B910" s="30"/>
      <ns0:c r="C910" s="28"/>
      <ns0:c r="D910" s="29"/>
      <ns0:c r="E910" s="31"/>
      <ns0:c r="F910" s="32"/>
      <ns0:c r="G910" s="29"/>
      <ns0:c r="H910" s="29"/>
      <ns0:c r="I910" s="29"/>
      <ns0:c r="J910" s="29"/>
      <ns0:c r="K910" s="29"/>
    </ns0:row>
    <ns0:row r="911" ht="28" customHeight="1">
      <ns0:c r="A911" s="29"/>
      <ns0:c r="B911" s="30"/>
      <ns0:c r="C911" s="28"/>
      <ns0:c r="D911" s="29"/>
      <ns0:c r="E911" s="31"/>
      <ns0:c r="F911" s="32"/>
      <ns0:c r="G911" s="29"/>
      <ns0:c r="H911" s="29"/>
      <ns0:c r="I911" s="29"/>
      <ns0:c r="J911" s="29"/>
      <ns0:c r="K911" s="29"/>
    </ns0:row>
    <ns0:row r="912" ht="28" customHeight="1">
      <ns0:c r="A912" s="29"/>
      <ns0:c r="B912" s="30"/>
      <ns0:c r="C912" s="28"/>
      <ns0:c r="D912" s="29"/>
      <ns0:c r="E912" s="31"/>
      <ns0:c r="F912" s="32"/>
      <ns0:c r="G912" s="29"/>
      <ns0:c r="H912" s="29"/>
      <ns0:c r="I912" s="29"/>
      <ns0:c r="J912" s="29"/>
      <ns0:c r="K912" s="29"/>
    </ns0:row>
    <ns0:row r="913" ht="28" customHeight="1">
      <ns0:c r="A913" s="29"/>
      <ns0:c r="B913" s="30"/>
      <ns0:c r="C913" s="28"/>
      <ns0:c r="D913" s="29"/>
      <ns0:c r="E913" s="31"/>
      <ns0:c r="F913" s="32"/>
      <ns0:c r="G913" s="29"/>
      <ns0:c r="H913" s="29"/>
      <ns0:c r="I913" s="29"/>
      <ns0:c r="J913" s="29"/>
      <ns0:c r="K913" s="29"/>
    </ns0:row>
    <ns0:row r="914" ht="28" customHeight="1">
      <ns0:c r="A914" s="29"/>
      <ns0:c r="B914" s="30"/>
      <ns0:c r="C914" s="28"/>
      <ns0:c r="D914" s="29"/>
      <ns0:c r="E914" s="31"/>
      <ns0:c r="F914" s="32"/>
      <ns0:c r="G914" s="29"/>
      <ns0:c r="H914" s="29"/>
      <ns0:c r="I914" s="29"/>
      <ns0:c r="J914" s="29"/>
      <ns0:c r="K914" s="29"/>
    </ns0:row>
    <ns0:row r="915" ht="28" customHeight="1">
      <ns0:c r="A915" s="29"/>
      <ns0:c r="B915" s="30"/>
      <ns0:c r="C915" s="28"/>
      <ns0:c r="D915" s="29"/>
      <ns0:c r="E915" s="31"/>
      <ns0:c r="F915" s="32"/>
      <ns0:c r="G915" s="29"/>
      <ns0:c r="H915" s="29"/>
      <ns0:c r="I915" s="29"/>
      <ns0:c r="J915" s="29"/>
      <ns0:c r="K915" s="29"/>
    </ns0:row>
    <ns0:row r="916" ht="28" customHeight="1">
      <ns0:c r="A916" s="29"/>
      <ns0:c r="B916" s="30"/>
      <ns0:c r="C916" s="28"/>
      <ns0:c r="D916" s="29"/>
      <ns0:c r="E916" s="31"/>
      <ns0:c r="F916" s="32"/>
      <ns0:c r="G916" s="29"/>
      <ns0:c r="H916" s="29"/>
      <ns0:c r="I916" s="29"/>
      <ns0:c r="J916" s="29"/>
      <ns0:c r="K916" s="29"/>
    </ns0:row>
    <ns0:row r="917" ht="28" customHeight="1">
      <ns0:c r="A917" s="29"/>
      <ns0:c r="B917" s="30"/>
      <ns0:c r="C917" s="28"/>
      <ns0:c r="D917" s="29"/>
      <ns0:c r="E917" s="31"/>
      <ns0:c r="F917" s="32"/>
      <ns0:c r="G917" s="29"/>
      <ns0:c r="H917" s="29"/>
      <ns0:c r="I917" s="29"/>
      <ns0:c r="J917" s="29"/>
      <ns0:c r="K917" s="29"/>
    </ns0:row>
    <ns0:row r="918" ht="28" customHeight="1">
      <ns0:c r="A918" s="29"/>
      <ns0:c r="B918" s="30"/>
      <ns0:c r="C918" s="28"/>
      <ns0:c r="D918" s="29"/>
      <ns0:c r="E918" s="31"/>
      <ns0:c r="F918" s="32"/>
      <ns0:c r="G918" s="29"/>
      <ns0:c r="H918" s="29"/>
      <ns0:c r="I918" s="29"/>
      <ns0:c r="J918" s="29"/>
      <ns0:c r="K918" s="29"/>
    </ns0:row>
    <ns0:row r="919" ht="28" customHeight="1">
      <ns0:c r="A919" s="29"/>
      <ns0:c r="B919" s="30"/>
      <ns0:c r="C919" s="28"/>
      <ns0:c r="D919" s="29"/>
      <ns0:c r="E919" s="31"/>
      <ns0:c r="F919" s="32"/>
      <ns0:c r="G919" s="29"/>
      <ns0:c r="H919" s="29"/>
      <ns0:c r="I919" s="29"/>
      <ns0:c r="J919" s="29"/>
      <ns0:c r="K919" s="29"/>
    </ns0:row>
    <ns0:row r="920" ht="28" customHeight="1">
      <ns0:c r="A920" s="29"/>
      <ns0:c r="B920" s="30"/>
      <ns0:c r="C920" s="28"/>
      <ns0:c r="D920" s="29"/>
      <ns0:c r="E920" s="31"/>
      <ns0:c r="F920" s="32"/>
      <ns0:c r="G920" s="29"/>
      <ns0:c r="H920" s="29"/>
      <ns0:c r="I920" s="29"/>
      <ns0:c r="J920" s="29"/>
      <ns0:c r="K920" s="29"/>
    </ns0:row>
    <ns0:row r="921" ht="28" customHeight="1">
      <ns0:c r="A921" s="29"/>
      <ns0:c r="B921" s="30"/>
      <ns0:c r="C921" s="28"/>
      <ns0:c r="D921" s="29"/>
      <ns0:c r="E921" s="31"/>
      <ns0:c r="F921" s="32"/>
      <ns0:c r="G921" s="29"/>
      <ns0:c r="H921" s="29"/>
      <ns0:c r="I921" s="29"/>
      <ns0:c r="J921" s="29"/>
      <ns0:c r="K921" s="29"/>
    </ns0:row>
    <ns0:row r="922" ht="28" customHeight="1">
      <ns0:c r="A922" s="29"/>
      <ns0:c r="B922" s="30"/>
      <ns0:c r="C922" s="28"/>
      <ns0:c r="D922" s="29"/>
      <ns0:c r="E922" s="31"/>
      <ns0:c r="F922" s="32"/>
      <ns0:c r="G922" s="29"/>
      <ns0:c r="H922" s="29"/>
      <ns0:c r="I922" s="29"/>
      <ns0:c r="J922" s="29"/>
      <ns0:c r="K922" s="29"/>
    </ns0:row>
    <ns0:row r="923" ht="28" customHeight="1">
      <ns0:c r="A923" s="29"/>
      <ns0:c r="B923" s="30"/>
      <ns0:c r="C923" s="28"/>
      <ns0:c r="D923" s="29"/>
      <ns0:c r="E923" s="31"/>
      <ns0:c r="F923" s="32"/>
      <ns0:c r="G923" s="29"/>
      <ns0:c r="H923" s="29"/>
      <ns0:c r="I923" s="29"/>
      <ns0:c r="J923" s="29"/>
      <ns0:c r="K923" s="29"/>
    </ns0:row>
    <ns0:row r="924" ht="28" customHeight="1">
      <ns0:c r="A924" s="29"/>
      <ns0:c r="B924" s="30"/>
      <ns0:c r="C924" s="28"/>
      <ns0:c r="D924" s="29"/>
      <ns0:c r="E924" s="31"/>
      <ns0:c r="F924" s="32"/>
      <ns0:c r="G924" s="29"/>
      <ns0:c r="H924" s="29"/>
      <ns0:c r="I924" s="29"/>
      <ns0:c r="J924" s="29"/>
      <ns0:c r="K924" s="29"/>
    </ns0:row>
    <ns0:row r="925" ht="28" customHeight="1">
      <ns0:c r="A925" s="29"/>
      <ns0:c r="B925" s="30"/>
      <ns0:c r="C925" s="28"/>
      <ns0:c r="D925" s="29"/>
      <ns0:c r="E925" s="31"/>
      <ns0:c r="F925" s="32"/>
      <ns0:c r="G925" s="29"/>
      <ns0:c r="H925" s="29"/>
      <ns0:c r="I925" s="29"/>
      <ns0:c r="J925" s="29"/>
      <ns0:c r="K925" s="29"/>
    </ns0:row>
    <ns0:row r="926" ht="28" customHeight="1">
      <ns0:c r="A926" s="29"/>
      <ns0:c r="B926" s="30"/>
      <ns0:c r="C926" s="28"/>
      <ns0:c r="D926" s="29"/>
      <ns0:c r="E926" s="31"/>
      <ns0:c r="F926" s="32"/>
      <ns0:c r="G926" s="29"/>
      <ns0:c r="H926" s="29"/>
      <ns0:c r="I926" s="29"/>
      <ns0:c r="J926" s="29"/>
      <ns0:c r="K926" s="29"/>
    </ns0:row>
    <ns0:row r="927" ht="28" customHeight="1">
      <ns0:c r="A927" s="29"/>
      <ns0:c r="B927" s="30"/>
      <ns0:c r="C927" s="28"/>
      <ns0:c r="D927" s="29"/>
      <ns0:c r="E927" s="31"/>
      <ns0:c r="F927" s="32"/>
      <ns0:c r="G927" s="29"/>
      <ns0:c r="H927" s="29"/>
      <ns0:c r="I927" s="29"/>
      <ns0:c r="J927" s="29"/>
      <ns0:c r="K927" s="29"/>
    </ns0:row>
    <ns0:row r="928" ht="28" customHeight="1">
      <ns0:c r="A928" s="29"/>
      <ns0:c r="B928" s="30"/>
      <ns0:c r="C928" s="28"/>
      <ns0:c r="D928" s="29"/>
      <ns0:c r="E928" s="31"/>
      <ns0:c r="F928" s="32"/>
      <ns0:c r="G928" s="29"/>
      <ns0:c r="H928" s="29"/>
      <ns0:c r="I928" s="29"/>
      <ns0:c r="J928" s="29"/>
      <ns0:c r="K928" s="29"/>
    </ns0:row>
    <ns0:row r="929" ht="28" customHeight="1">
      <ns0:c r="A929" s="29"/>
      <ns0:c r="B929" s="30"/>
      <ns0:c r="C929" s="28"/>
      <ns0:c r="D929" s="29"/>
      <ns0:c r="E929" s="31"/>
      <ns0:c r="F929" s="32"/>
      <ns0:c r="G929" s="29"/>
      <ns0:c r="H929" s="29"/>
      <ns0:c r="I929" s="29"/>
      <ns0:c r="J929" s="29"/>
      <ns0:c r="K929" s="29"/>
    </ns0:row>
    <ns0:row r="930" ht="28" customHeight="1">
      <ns0:c r="A930" s="29"/>
      <ns0:c r="B930" s="30"/>
      <ns0:c r="C930" s="28"/>
      <ns0:c r="D930" s="29"/>
      <ns0:c r="E930" s="31"/>
      <ns0:c r="F930" s="32"/>
      <ns0:c r="G930" s="29"/>
      <ns0:c r="H930" s="29"/>
      <ns0:c r="I930" s="29"/>
      <ns0:c r="J930" s="29"/>
      <ns0:c r="K930" s="29"/>
    </ns0:row>
    <ns0:row r="931" ht="28" customHeight="1">
      <ns0:c r="A931" s="29"/>
      <ns0:c r="B931" s="30"/>
      <ns0:c r="C931" s="28"/>
      <ns0:c r="D931" s="29"/>
      <ns0:c r="E931" s="31"/>
      <ns0:c r="F931" s="32"/>
      <ns0:c r="G931" s="29"/>
      <ns0:c r="H931" s="29"/>
      <ns0:c r="I931" s="29"/>
      <ns0:c r="J931" s="29"/>
      <ns0:c r="K931" s="29"/>
    </ns0:row>
    <ns0:row r="932" ht="28" customHeight="1">
      <ns0:c r="A932" s="29"/>
      <ns0:c r="B932" s="30"/>
      <ns0:c r="C932" s="28"/>
      <ns0:c r="D932" s="29"/>
      <ns0:c r="E932" s="31"/>
      <ns0:c r="F932" s="32"/>
      <ns0:c r="G932" s="29"/>
      <ns0:c r="H932" s="29"/>
      <ns0:c r="I932" s="29"/>
      <ns0:c r="J932" s="29"/>
      <ns0:c r="K932" s="29"/>
    </ns0:row>
    <ns0:row r="933" ht="28" customHeight="1">
      <ns0:c r="A933" s="29"/>
      <ns0:c r="B933" s="30"/>
      <ns0:c r="C933" s="28"/>
      <ns0:c r="D933" s="29"/>
      <ns0:c r="E933" s="31"/>
      <ns0:c r="F933" s="32"/>
      <ns0:c r="G933" s="29"/>
      <ns0:c r="H933" s="29"/>
      <ns0:c r="I933" s="29"/>
      <ns0:c r="J933" s="29"/>
      <ns0:c r="K933" s="29"/>
    </ns0:row>
    <ns0:row r="934" ht="28" customHeight="1">
      <ns0:c r="A934" s="29"/>
      <ns0:c r="B934" s="30"/>
      <ns0:c r="C934" s="28"/>
      <ns0:c r="D934" s="29"/>
      <ns0:c r="E934" s="31"/>
      <ns0:c r="F934" s="32"/>
      <ns0:c r="G934" s="29"/>
      <ns0:c r="H934" s="29"/>
      <ns0:c r="I934" s="29"/>
      <ns0:c r="J934" s="29"/>
      <ns0:c r="K934" s="29"/>
    </ns0:row>
    <ns0:row r="935" ht="28" customHeight="1">
      <ns0:c r="A935" s="29"/>
      <ns0:c r="B935" s="30"/>
      <ns0:c r="C935" s="28"/>
      <ns0:c r="D935" s="29"/>
      <ns0:c r="E935" s="31"/>
      <ns0:c r="F935" s="32"/>
      <ns0:c r="G935" s="29"/>
      <ns0:c r="H935" s="29"/>
      <ns0:c r="I935" s="29"/>
      <ns0:c r="J935" s="29"/>
      <ns0:c r="K935" s="29"/>
    </ns0:row>
    <ns0:row r="936" ht="28" customHeight="1">
      <ns0:c r="A936" s="29"/>
      <ns0:c r="B936" s="30"/>
      <ns0:c r="C936" s="28"/>
      <ns0:c r="D936" s="29"/>
      <ns0:c r="E936" s="31"/>
      <ns0:c r="F936" s="32"/>
      <ns0:c r="G936" s="29"/>
      <ns0:c r="H936" s="29"/>
      <ns0:c r="I936" s="29"/>
      <ns0:c r="J936" s="29"/>
      <ns0:c r="K936" s="29"/>
    </ns0:row>
    <ns0:row r="937" ht="28" customHeight="1">
      <ns0:c r="A937" s="29"/>
      <ns0:c r="B937" s="30"/>
      <ns0:c r="C937" s="28"/>
      <ns0:c r="D937" s="29"/>
      <ns0:c r="E937" s="31"/>
      <ns0:c r="F937" s="32"/>
      <ns0:c r="G937" s="29"/>
      <ns0:c r="H937" s="29"/>
      <ns0:c r="I937" s="29"/>
      <ns0:c r="J937" s="29"/>
      <ns0:c r="K937" s="29"/>
    </ns0:row>
    <ns0:row r="938" ht="28" customHeight="1">
      <ns0:c r="A938" s="29"/>
      <ns0:c r="B938" s="30"/>
      <ns0:c r="C938" s="28"/>
      <ns0:c r="D938" s="29"/>
      <ns0:c r="E938" s="31"/>
      <ns0:c r="F938" s="32"/>
      <ns0:c r="G938" s="29"/>
      <ns0:c r="H938" s="29"/>
      <ns0:c r="I938" s="29"/>
      <ns0:c r="J938" s="29"/>
      <ns0:c r="K938" s="29"/>
    </ns0:row>
    <ns0:row r="939" ht="28" customHeight="1">
      <ns0:c r="A939" s="29"/>
      <ns0:c r="B939" s="30"/>
      <ns0:c r="C939" s="28"/>
      <ns0:c r="D939" s="29"/>
      <ns0:c r="E939" s="31"/>
      <ns0:c r="F939" s="32"/>
      <ns0:c r="G939" s="29"/>
      <ns0:c r="H939" s="29"/>
      <ns0:c r="I939" s="29"/>
      <ns0:c r="J939" s="29"/>
      <ns0:c r="K939" s="29"/>
    </ns0:row>
    <ns0:row r="940" ht="28" customHeight="1">
      <ns0:c r="A940" s="29"/>
      <ns0:c r="B940" s="30"/>
      <ns0:c r="C940" s="28"/>
      <ns0:c r="D940" s="29"/>
      <ns0:c r="E940" s="31"/>
      <ns0:c r="F940" s="32"/>
      <ns0:c r="G940" s="29"/>
      <ns0:c r="H940" s="29"/>
      <ns0:c r="I940" s="29"/>
      <ns0:c r="J940" s="29"/>
      <ns0:c r="K940" s="29"/>
    </ns0:row>
    <ns0:row r="941" ht="28" customHeight="1">
      <ns0:c r="A941" s="29"/>
      <ns0:c r="B941" s="30"/>
      <ns0:c r="C941" s="28"/>
      <ns0:c r="D941" s="29"/>
      <ns0:c r="E941" s="31"/>
      <ns0:c r="F941" s="32"/>
      <ns0:c r="G941" s="29"/>
      <ns0:c r="H941" s="29"/>
      <ns0:c r="I941" s="29"/>
      <ns0:c r="J941" s="29"/>
      <ns0:c r="K941" s="29"/>
    </ns0:row>
    <ns0:row r="942" ht="28" customHeight="1">
      <ns0:c r="A942" s="29"/>
      <ns0:c r="B942" s="30"/>
      <ns0:c r="C942" s="28"/>
      <ns0:c r="D942" s="29"/>
      <ns0:c r="E942" s="31"/>
      <ns0:c r="F942" s="32"/>
      <ns0:c r="G942" s="29"/>
      <ns0:c r="H942" s="29"/>
      <ns0:c r="I942" s="29"/>
      <ns0:c r="J942" s="29"/>
      <ns0:c r="K942" s="29"/>
    </ns0:row>
    <ns0:row r="943" ht="28" customHeight="1">
      <ns0:c r="A943" s="29"/>
      <ns0:c r="B943" s="30"/>
      <ns0:c r="C943" s="28"/>
      <ns0:c r="D943" s="29"/>
      <ns0:c r="E943" s="31"/>
      <ns0:c r="F943" s="32"/>
      <ns0:c r="G943" s="29"/>
      <ns0:c r="H943" s="29"/>
      <ns0:c r="I943" s="29"/>
      <ns0:c r="J943" s="29"/>
      <ns0:c r="K943" s="29"/>
    </ns0:row>
    <ns0:row r="944" ht="28" customHeight="1">
      <ns0:c r="A944" s="29"/>
      <ns0:c r="B944" s="30"/>
      <ns0:c r="C944" s="28"/>
      <ns0:c r="D944" s="29"/>
      <ns0:c r="E944" s="31"/>
      <ns0:c r="F944" s="32"/>
      <ns0:c r="G944" s="29"/>
      <ns0:c r="H944" s="29"/>
      <ns0:c r="I944" s="29"/>
      <ns0:c r="J944" s="29"/>
      <ns0:c r="K944" s="29"/>
    </ns0:row>
    <ns0:row r="945" ht="28" customHeight="1">
      <ns0:c r="A945" s="29"/>
      <ns0:c r="B945" s="30"/>
      <ns0:c r="C945" s="28"/>
      <ns0:c r="D945" s="29"/>
      <ns0:c r="E945" s="31"/>
      <ns0:c r="F945" s="32"/>
      <ns0:c r="G945" s="29"/>
      <ns0:c r="H945" s="29"/>
      <ns0:c r="I945" s="29"/>
      <ns0:c r="J945" s="29"/>
      <ns0:c r="K945" s="29"/>
    </ns0:row>
    <ns0:row r="946" ht="28" customHeight="1">
      <ns0:c r="A946" s="29"/>
      <ns0:c r="B946" s="30"/>
      <ns0:c r="C946" s="28"/>
      <ns0:c r="D946" s="29"/>
      <ns0:c r="E946" s="31"/>
      <ns0:c r="F946" s="32"/>
      <ns0:c r="G946" s="29"/>
      <ns0:c r="H946" s="29"/>
      <ns0:c r="I946" s="29"/>
      <ns0:c r="J946" s="29"/>
      <ns0:c r="K946" s="29"/>
    </ns0:row>
    <ns0:row r="947" ht="28" customHeight="1">
      <ns0:c r="A947" s="29"/>
      <ns0:c r="B947" s="30"/>
      <ns0:c r="C947" s="28"/>
      <ns0:c r="D947" s="29"/>
      <ns0:c r="E947" s="31"/>
      <ns0:c r="F947" s="32"/>
      <ns0:c r="G947" s="29"/>
      <ns0:c r="H947" s="29"/>
      <ns0:c r="I947" s="29"/>
      <ns0:c r="J947" s="29"/>
      <ns0:c r="K947" s="29"/>
    </ns0:row>
    <ns0:row r="948" ht="28" customHeight="1">
      <ns0:c r="A948" s="29"/>
      <ns0:c r="B948" s="30"/>
      <ns0:c r="C948" s="28"/>
      <ns0:c r="D948" s="29"/>
      <ns0:c r="E948" s="31"/>
      <ns0:c r="F948" s="32"/>
      <ns0:c r="G948" s="29"/>
      <ns0:c r="H948" s="29"/>
      <ns0:c r="I948" s="29"/>
      <ns0:c r="J948" s="29"/>
      <ns0:c r="K948" s="29"/>
    </ns0:row>
    <ns0:row r="949" ht="28" customHeight="1">
      <ns0:c r="A949" s="29"/>
      <ns0:c r="B949" s="30"/>
      <ns0:c r="C949" s="28"/>
      <ns0:c r="D949" s="29"/>
      <ns0:c r="E949" s="31"/>
      <ns0:c r="F949" s="32"/>
      <ns0:c r="G949" s="29"/>
      <ns0:c r="H949" s="29"/>
      <ns0:c r="I949" s="29"/>
      <ns0:c r="J949" s="29"/>
      <ns0:c r="K949" s="29"/>
    </ns0:row>
    <ns0:row r="950" ht="28" customHeight="1">
      <ns0:c r="A950" s="29"/>
      <ns0:c r="B950" s="30"/>
      <ns0:c r="C950" s="28"/>
      <ns0:c r="D950" s="29"/>
      <ns0:c r="E950" s="31"/>
      <ns0:c r="F950" s="32"/>
      <ns0:c r="G950" s="29"/>
      <ns0:c r="H950" s="29"/>
      <ns0:c r="I950" s="29"/>
      <ns0:c r="J950" s="29"/>
      <ns0:c r="K950" s="29"/>
    </ns0:row>
    <ns0:row r="951" ht="28" customHeight="1">
      <ns0:c r="A951" s="29"/>
      <ns0:c r="B951" s="30"/>
      <ns0:c r="C951" s="28"/>
      <ns0:c r="D951" s="29"/>
      <ns0:c r="E951" s="31"/>
      <ns0:c r="F951" s="32"/>
      <ns0:c r="G951" s="29"/>
      <ns0:c r="H951" s="29"/>
      <ns0:c r="I951" s="29"/>
      <ns0:c r="J951" s="29"/>
      <ns0:c r="K951" s="29"/>
    </ns0:row>
    <ns0:row r="952" ht="28" customHeight="1">
      <ns0:c r="A952" s="29"/>
      <ns0:c r="B952" s="30"/>
      <ns0:c r="C952" s="28"/>
      <ns0:c r="D952" s="29"/>
      <ns0:c r="E952" s="31"/>
      <ns0:c r="F952" s="32"/>
      <ns0:c r="G952" s="29"/>
      <ns0:c r="H952" s="29"/>
      <ns0:c r="I952" s="29"/>
      <ns0:c r="J952" s="29"/>
      <ns0:c r="K952" s="29"/>
    </ns0:row>
    <ns0:row r="953" ht="28" customHeight="1">
      <ns0:c r="A953" s="29"/>
      <ns0:c r="B953" s="30"/>
      <ns0:c r="C953" s="28"/>
      <ns0:c r="D953" s="29"/>
      <ns0:c r="E953" s="31"/>
      <ns0:c r="F953" s="32"/>
      <ns0:c r="G953" s="29"/>
      <ns0:c r="H953" s="29"/>
      <ns0:c r="I953" s="29"/>
      <ns0:c r="J953" s="29"/>
      <ns0:c r="K953" s="29"/>
    </ns0:row>
    <ns0:row r="954" ht="28" customHeight="1">
      <ns0:c r="A954" s="29"/>
      <ns0:c r="B954" s="30"/>
      <ns0:c r="C954" s="28"/>
      <ns0:c r="D954" s="29"/>
      <ns0:c r="E954" s="31"/>
      <ns0:c r="F954" s="32"/>
      <ns0:c r="G954" s="29"/>
      <ns0:c r="H954" s="29"/>
      <ns0:c r="I954" s="29"/>
      <ns0:c r="J954" s="29"/>
      <ns0:c r="K954" s="29"/>
    </ns0:row>
    <ns0:row r="955" ht="28" customHeight="1">
      <ns0:c r="A955" s="29"/>
      <ns0:c r="B955" s="30"/>
      <ns0:c r="C955" s="28"/>
      <ns0:c r="D955" s="29"/>
      <ns0:c r="E955" s="31"/>
      <ns0:c r="F955" s="32"/>
      <ns0:c r="G955" s="29"/>
      <ns0:c r="H955" s="29"/>
      <ns0:c r="I955" s="29"/>
      <ns0:c r="J955" s="29"/>
      <ns0:c r="K955" s="29"/>
    </ns0:row>
    <ns0:row r="956" ht="28" customHeight="1">
      <ns0:c r="A956" s="29"/>
      <ns0:c r="B956" s="30"/>
      <ns0:c r="C956" s="28"/>
      <ns0:c r="D956" s="29"/>
      <ns0:c r="E956" s="31"/>
      <ns0:c r="F956" s="32"/>
      <ns0:c r="G956" s="29"/>
      <ns0:c r="H956" s="29"/>
      <ns0:c r="I956" s="29"/>
      <ns0:c r="J956" s="29"/>
      <ns0:c r="K956" s="29"/>
    </ns0:row>
    <ns0:row r="957" ht="28" customHeight="1">
      <ns0:c r="A957" s="29"/>
      <ns0:c r="B957" s="30"/>
      <ns0:c r="C957" s="28"/>
      <ns0:c r="D957" s="29"/>
      <ns0:c r="E957" s="31"/>
      <ns0:c r="F957" s="32"/>
      <ns0:c r="G957" s="29"/>
      <ns0:c r="H957" s="29"/>
      <ns0:c r="I957" s="29"/>
      <ns0:c r="J957" s="29"/>
      <ns0:c r="K957" s="29"/>
    </ns0:row>
    <ns0:row r="958" ht="28" customHeight="1">
      <ns0:c r="A958" s="29"/>
      <ns0:c r="B958" s="30"/>
      <ns0:c r="C958" s="28"/>
      <ns0:c r="D958" s="29"/>
      <ns0:c r="E958" s="31"/>
      <ns0:c r="F958" s="32"/>
      <ns0:c r="G958" s="29"/>
      <ns0:c r="H958" s="29"/>
      <ns0:c r="I958" s="29"/>
      <ns0:c r="J958" s="29"/>
      <ns0:c r="K958" s="29"/>
    </ns0:row>
    <ns0:row r="959" ht="28" customHeight="1">
      <ns0:c r="A959" s="29"/>
      <ns0:c r="B959" s="30"/>
      <ns0:c r="C959" s="28"/>
      <ns0:c r="D959" s="29"/>
      <ns0:c r="E959" s="31"/>
      <ns0:c r="F959" s="32"/>
      <ns0:c r="G959" s="29"/>
      <ns0:c r="H959" s="29"/>
      <ns0:c r="I959" s="29"/>
      <ns0:c r="J959" s="29"/>
      <ns0:c r="K959" s="29"/>
    </ns0:row>
    <ns0:row r="960" ht="28" customHeight="1">
      <ns0:c r="A960" s="29"/>
      <ns0:c r="B960" s="30"/>
      <ns0:c r="C960" s="28"/>
      <ns0:c r="D960" s="29"/>
      <ns0:c r="E960" s="31"/>
      <ns0:c r="F960" s="32"/>
      <ns0:c r="G960" s="29"/>
      <ns0:c r="H960" s="29"/>
      <ns0:c r="I960" s="29"/>
      <ns0:c r="J960" s="29"/>
      <ns0:c r="K960" s="29"/>
    </ns0:row>
    <ns0:row r="961" ht="28" customHeight="1">
      <ns0:c r="A961" s="29"/>
      <ns0:c r="B961" s="30"/>
      <ns0:c r="C961" s="28"/>
      <ns0:c r="D961" s="29"/>
      <ns0:c r="E961" s="31"/>
      <ns0:c r="F961" s="32"/>
      <ns0:c r="G961" s="29"/>
      <ns0:c r="H961" s="29"/>
      <ns0:c r="I961" s="29"/>
      <ns0:c r="J961" s="29"/>
      <ns0:c r="K961" s="29"/>
    </ns0:row>
    <ns0:row r="962" ht="28" customHeight="1">
      <ns0:c r="A962" s="29"/>
      <ns0:c r="B962" s="30"/>
      <ns0:c r="C962" s="28"/>
      <ns0:c r="D962" s="29"/>
      <ns0:c r="E962" s="31"/>
      <ns0:c r="F962" s="32"/>
      <ns0:c r="G962" s="29"/>
      <ns0:c r="H962" s="29"/>
      <ns0:c r="I962" s="29"/>
      <ns0:c r="J962" s="29"/>
      <ns0:c r="K962" s="29"/>
    </ns0:row>
    <ns0:row r="963" ht="28" customHeight="1">
      <ns0:c r="A963" s="29"/>
      <ns0:c r="B963" s="30"/>
      <ns0:c r="C963" s="28"/>
      <ns0:c r="D963" s="29"/>
      <ns0:c r="E963" s="31"/>
      <ns0:c r="F963" s="32"/>
      <ns0:c r="G963" s="29"/>
      <ns0:c r="H963" s="29"/>
      <ns0:c r="I963" s="29"/>
      <ns0:c r="J963" s="29"/>
      <ns0:c r="K963" s="29"/>
    </ns0:row>
    <ns0:row r="964" ht="28" customHeight="1">
      <ns0:c r="A964" s="29"/>
      <ns0:c r="B964" s="30"/>
      <ns0:c r="C964" s="28"/>
      <ns0:c r="D964" s="29"/>
      <ns0:c r="E964" s="31"/>
      <ns0:c r="F964" s="32"/>
      <ns0:c r="G964" s="29"/>
      <ns0:c r="H964" s="29"/>
      <ns0:c r="I964" s="29"/>
      <ns0:c r="J964" s="29"/>
      <ns0:c r="K964" s="29"/>
    </ns0:row>
    <ns0:row r="965" ht="28" customHeight="1">
      <ns0:c r="A965" s="29"/>
      <ns0:c r="B965" s="30"/>
      <ns0:c r="C965" s="28"/>
      <ns0:c r="D965" s="29"/>
      <ns0:c r="E965" s="31"/>
      <ns0:c r="F965" s="32"/>
      <ns0:c r="G965" s="29"/>
      <ns0:c r="H965" s="29"/>
      <ns0:c r="I965" s="29"/>
      <ns0:c r="J965" s="29"/>
      <ns0:c r="K965" s="29"/>
    </ns0:row>
    <ns0:row r="966" ht="28" customHeight="1">
      <ns0:c r="A966" s="29"/>
      <ns0:c r="B966" s="30"/>
      <ns0:c r="C966" s="28"/>
      <ns0:c r="D966" s="29"/>
      <ns0:c r="E966" s="31"/>
      <ns0:c r="F966" s="32"/>
      <ns0:c r="G966" s="29"/>
      <ns0:c r="H966" s="29"/>
      <ns0:c r="I966" s="29"/>
      <ns0:c r="J966" s="29"/>
      <ns0:c r="K966" s="29"/>
    </ns0:row>
    <ns0:row r="967" ht="28" customHeight="1">
      <ns0:c r="A967" s="29"/>
      <ns0:c r="B967" s="30"/>
      <ns0:c r="C967" s="28"/>
      <ns0:c r="D967" s="29"/>
      <ns0:c r="E967" s="31"/>
      <ns0:c r="F967" s="32"/>
      <ns0:c r="G967" s="29"/>
      <ns0:c r="H967" s="29"/>
      <ns0:c r="I967" s="29"/>
      <ns0:c r="J967" s="29"/>
      <ns0:c r="K967" s="29"/>
    </ns0:row>
    <ns0:row r="968" ht="28" customHeight="1">
      <ns0:c r="A968" s="29"/>
      <ns0:c r="B968" s="30"/>
      <ns0:c r="C968" s="28"/>
      <ns0:c r="D968" s="29"/>
      <ns0:c r="E968" s="31"/>
      <ns0:c r="F968" s="32"/>
      <ns0:c r="G968" s="29"/>
      <ns0:c r="H968" s="29"/>
      <ns0:c r="I968" s="29"/>
      <ns0:c r="J968" s="29"/>
      <ns0:c r="K968" s="29"/>
    </ns0:row>
    <ns0:row r="969" ht="28" customHeight="1">
      <ns0:c r="A969" s="29"/>
      <ns0:c r="B969" s="30"/>
      <ns0:c r="C969" s="28"/>
      <ns0:c r="D969" s="29"/>
      <ns0:c r="E969" s="31"/>
      <ns0:c r="F969" s="32"/>
      <ns0:c r="G969" s="29"/>
      <ns0:c r="H969" s="29"/>
      <ns0:c r="I969" s="29"/>
      <ns0:c r="J969" s="29"/>
      <ns0:c r="K969" s="29"/>
    </ns0:row>
    <ns0:row r="970" ht="28" customHeight="1">
      <ns0:c r="A970" s="29"/>
      <ns0:c r="B970" s="30"/>
      <ns0:c r="C970" s="28"/>
      <ns0:c r="D970" s="29"/>
      <ns0:c r="E970" s="31"/>
      <ns0:c r="F970" s="32"/>
      <ns0:c r="G970" s="29"/>
      <ns0:c r="H970" s="29"/>
      <ns0:c r="I970" s="29"/>
      <ns0:c r="J970" s="29"/>
      <ns0:c r="K970" s="29"/>
    </ns0:row>
    <ns0:row r="971" ht="28" customHeight="1">
      <ns0:c r="A971" s="29"/>
      <ns0:c r="B971" s="30"/>
      <ns0:c r="C971" s="28"/>
      <ns0:c r="D971" s="29"/>
      <ns0:c r="E971" s="31"/>
      <ns0:c r="F971" s="32"/>
      <ns0:c r="G971" s="29"/>
      <ns0:c r="H971" s="29"/>
      <ns0:c r="I971" s="29"/>
      <ns0:c r="J971" s="29"/>
      <ns0:c r="K971" s="29"/>
    </ns0:row>
    <ns0:row r="972" ht="28" customHeight="1">
      <ns0:c r="A972" s="29"/>
      <ns0:c r="B972" s="30"/>
      <ns0:c r="C972" s="28"/>
      <ns0:c r="D972" s="29"/>
      <ns0:c r="E972" s="31"/>
      <ns0:c r="F972" s="32"/>
      <ns0:c r="G972" s="29"/>
      <ns0:c r="H972" s="29"/>
      <ns0:c r="I972" s="29"/>
      <ns0:c r="J972" s="29"/>
      <ns0:c r="K972" s="29"/>
    </ns0:row>
    <ns0:row r="973" ht="28" customHeight="1">
      <ns0:c r="A973" s="29"/>
      <ns0:c r="B973" s="30"/>
      <ns0:c r="C973" s="28"/>
      <ns0:c r="D973" s="29"/>
      <ns0:c r="E973" s="31"/>
      <ns0:c r="F973" s="32"/>
      <ns0:c r="G973" s="29"/>
      <ns0:c r="H973" s="29"/>
      <ns0:c r="I973" s="29"/>
      <ns0:c r="J973" s="29"/>
      <ns0:c r="K973" s="29"/>
    </ns0:row>
    <ns0:row r="974" ht="28" customHeight="1">
      <ns0:c r="A974" s="29"/>
      <ns0:c r="B974" s="30"/>
      <ns0:c r="C974" s="28"/>
      <ns0:c r="D974" s="29"/>
      <ns0:c r="E974" s="31"/>
      <ns0:c r="F974" s="32"/>
      <ns0:c r="G974" s="29"/>
      <ns0:c r="H974" s="29"/>
      <ns0:c r="I974" s="29"/>
      <ns0:c r="J974" s="29"/>
      <ns0:c r="K974" s="29"/>
    </ns0:row>
    <ns0:row r="975" ht="28" customHeight="1">
      <ns0:c r="A975" s="29"/>
      <ns0:c r="B975" s="30"/>
      <ns0:c r="C975" s="28"/>
      <ns0:c r="D975" s="29"/>
      <ns0:c r="E975" s="31"/>
      <ns0:c r="F975" s="32"/>
      <ns0:c r="G975" s="29"/>
      <ns0:c r="H975" s="29"/>
      <ns0:c r="I975" s="29"/>
      <ns0:c r="J975" s="29"/>
      <ns0:c r="K975" s="29"/>
    </ns0:row>
    <ns0:row r="976" ht="28" customHeight="1">
      <ns0:c r="A976" s="29"/>
      <ns0:c r="B976" s="30"/>
      <ns0:c r="C976" s="28"/>
      <ns0:c r="D976" s="29"/>
      <ns0:c r="E976" s="31"/>
      <ns0:c r="F976" s="32"/>
      <ns0:c r="G976" s="29"/>
      <ns0:c r="H976" s="29"/>
      <ns0:c r="I976" s="29"/>
      <ns0:c r="J976" s="29"/>
      <ns0:c r="K976" s="29"/>
    </ns0:row>
    <ns0:row r="977" ht="28" customHeight="1">
      <ns0:c r="A977" s="29"/>
      <ns0:c r="B977" s="30"/>
      <ns0:c r="C977" s="28"/>
      <ns0:c r="D977" s="29"/>
      <ns0:c r="E977" s="31"/>
      <ns0:c r="F977" s="32"/>
      <ns0:c r="G977" s="29"/>
      <ns0:c r="H977" s="29"/>
      <ns0:c r="I977" s="29"/>
      <ns0:c r="J977" s="29"/>
      <ns0:c r="K977" s="29"/>
    </ns0:row>
    <ns0:row r="978" ht="28" customHeight="1">
      <ns0:c r="A978" s="29"/>
      <ns0:c r="B978" s="30"/>
      <ns0:c r="C978" s="28"/>
      <ns0:c r="D978" s="29"/>
      <ns0:c r="E978" s="31"/>
      <ns0:c r="F978" s="32"/>
      <ns0:c r="G978" s="29"/>
      <ns0:c r="H978" s="29"/>
      <ns0:c r="I978" s="29"/>
      <ns0:c r="J978" s="29"/>
      <ns0:c r="K978" s="29"/>
    </ns0:row>
    <ns0:row r="979" ht="28" customHeight="1">
      <ns0:c r="A979" s="29"/>
      <ns0:c r="B979" s="30"/>
      <ns0:c r="C979" s="28"/>
      <ns0:c r="D979" s="29"/>
      <ns0:c r="E979" s="31"/>
      <ns0:c r="F979" s="32"/>
      <ns0:c r="G979" s="29"/>
      <ns0:c r="H979" s="29"/>
      <ns0:c r="I979" s="29"/>
      <ns0:c r="J979" s="29"/>
      <ns0:c r="K979" s="29"/>
    </ns0:row>
    <ns0:row r="980" ht="28" customHeight="1">
      <ns0:c r="A980" s="29"/>
      <ns0:c r="B980" s="30"/>
      <ns0:c r="C980" s="28"/>
      <ns0:c r="D980" s="29"/>
      <ns0:c r="E980" s="31"/>
      <ns0:c r="F980" s="32"/>
      <ns0:c r="G980" s="29"/>
      <ns0:c r="H980" s="29"/>
      <ns0:c r="I980" s="29"/>
      <ns0:c r="J980" s="29"/>
      <ns0:c r="K980" s="29"/>
    </ns0:row>
    <ns0:row r="981" ht="28" customHeight="1">
      <ns0:c r="A981" s="29"/>
      <ns0:c r="B981" s="30"/>
      <ns0:c r="C981" s="28"/>
      <ns0:c r="D981" s="29"/>
      <ns0:c r="E981" s="31"/>
      <ns0:c r="F981" s="32"/>
      <ns0:c r="G981" s="29"/>
      <ns0:c r="H981" s="29"/>
      <ns0:c r="I981" s="29"/>
      <ns0:c r="J981" s="29"/>
      <ns0:c r="K981" s="29"/>
    </ns0:row>
    <ns0:row r="982" ht="28" customHeight="1">
      <ns0:c r="A982" s="29"/>
      <ns0:c r="B982" s="30"/>
      <ns0:c r="C982" s="28"/>
      <ns0:c r="D982" s="29"/>
      <ns0:c r="E982" s="31"/>
      <ns0:c r="F982" s="32"/>
      <ns0:c r="G982" s="29"/>
      <ns0:c r="H982" s="29"/>
      <ns0:c r="I982" s="29"/>
      <ns0:c r="J982" s="29"/>
      <ns0:c r="K982" s="29"/>
    </ns0:row>
    <ns0:row r="983" ht="28" customHeight="1">
      <ns0:c r="A983" s="29"/>
      <ns0:c r="B983" s="30"/>
      <ns0:c r="C983" s="28"/>
      <ns0:c r="D983" s="29"/>
      <ns0:c r="E983" s="31"/>
      <ns0:c r="F983" s="32"/>
      <ns0:c r="G983" s="29"/>
      <ns0:c r="H983" s="29"/>
      <ns0:c r="I983" s="29"/>
      <ns0:c r="J983" s="29"/>
      <ns0:c r="K983" s="29"/>
    </ns0:row>
    <ns0:row r="984" ht="28" customHeight="1">
      <ns0:c r="A984" s="29"/>
      <ns0:c r="B984" s="30"/>
      <ns0:c r="C984" s="28"/>
      <ns0:c r="D984" s="29"/>
      <ns0:c r="E984" s="31"/>
      <ns0:c r="F984" s="32"/>
      <ns0:c r="G984" s="29"/>
      <ns0:c r="H984" s="29"/>
      <ns0:c r="I984" s="29"/>
      <ns0:c r="J984" s="29"/>
      <ns0:c r="K984" s="29"/>
    </ns0:row>
    <ns0:row r="985" ht="28" customHeight="1">
      <ns0:c r="A985" s="29"/>
      <ns0:c r="B985" s="30"/>
      <ns0:c r="C985" s="28"/>
      <ns0:c r="D985" s="29"/>
      <ns0:c r="E985" s="31"/>
      <ns0:c r="F985" s="32"/>
      <ns0:c r="G985" s="29"/>
      <ns0:c r="H985" s="29"/>
      <ns0:c r="I985" s="29"/>
      <ns0:c r="J985" s="29"/>
      <ns0:c r="K985" s="29"/>
    </ns0:row>
    <ns0:row r="986" ht="28" customHeight="1">
      <ns0:c r="A986" s="29"/>
      <ns0:c r="B986" s="30"/>
      <ns0:c r="C986" s="28"/>
      <ns0:c r="D986" s="29"/>
      <ns0:c r="E986" s="31"/>
      <ns0:c r="F986" s="32"/>
      <ns0:c r="G986" s="29"/>
      <ns0:c r="H986" s="29"/>
      <ns0:c r="I986" s="29"/>
      <ns0:c r="J986" s="29"/>
      <ns0:c r="K986" s="29"/>
    </ns0:row>
    <ns0:row r="987" ht="28" customHeight="1">
      <ns0:c r="A987" s="29"/>
      <ns0:c r="B987" s="30"/>
      <ns0:c r="C987" s="28"/>
      <ns0:c r="D987" s="29"/>
      <ns0:c r="E987" s="31"/>
      <ns0:c r="F987" s="32"/>
      <ns0:c r="G987" s="29"/>
      <ns0:c r="H987" s="29"/>
      <ns0:c r="I987" s="29"/>
      <ns0:c r="J987" s="29"/>
      <ns0:c r="K987" s="29"/>
    </ns0:row>
    <ns0:row r="988" ht="28" customHeight="1">
      <ns0:c r="A988" s="29"/>
      <ns0:c r="B988" s="30"/>
      <ns0:c r="C988" s="28"/>
      <ns0:c r="D988" s="29"/>
      <ns0:c r="E988" s="31"/>
      <ns0:c r="F988" s="32"/>
      <ns0:c r="G988" s="29"/>
      <ns0:c r="H988" s="29"/>
      <ns0:c r="I988" s="29"/>
      <ns0:c r="J988" s="29"/>
      <ns0:c r="K988" s="29"/>
    </ns0:row>
    <ns0:row r="989" ht="28" customHeight="1">
      <ns0:c r="A989" s="29"/>
      <ns0:c r="B989" s="30"/>
      <ns0:c r="C989" s="28"/>
      <ns0:c r="D989" s="29"/>
      <ns0:c r="E989" s="31"/>
      <ns0:c r="F989" s="32"/>
      <ns0:c r="G989" s="29"/>
      <ns0:c r="H989" s="29"/>
      <ns0:c r="I989" s="29"/>
      <ns0:c r="J989" s="29"/>
      <ns0:c r="K989" s="29"/>
    </ns0:row>
    <ns0:row r="990" ht="28" customHeight="1">
      <ns0:c r="A990" s="29"/>
      <ns0:c r="B990" s="30"/>
      <ns0:c r="C990" s="28"/>
      <ns0:c r="D990" s="29"/>
      <ns0:c r="E990" s="31"/>
      <ns0:c r="F990" s="32"/>
      <ns0:c r="G990" s="29"/>
      <ns0:c r="H990" s="29"/>
      <ns0:c r="I990" s="29"/>
      <ns0:c r="J990" s="29"/>
      <ns0:c r="K990" s="29"/>
    </ns0:row>
    <ns0:row r="991" ht="28" customHeight="1">
      <ns0:c r="A991" s="29"/>
      <ns0:c r="B991" s="30"/>
      <ns0:c r="C991" s="28"/>
      <ns0:c r="D991" s="29"/>
      <ns0:c r="E991" s="31"/>
      <ns0:c r="F991" s="32"/>
      <ns0:c r="G991" s="29"/>
      <ns0:c r="H991" s="29"/>
      <ns0:c r="I991" s="29"/>
      <ns0:c r="J991" s="29"/>
      <ns0:c r="K991" s="29"/>
    </ns0:row>
    <ns0:row r="992" ht="28" customHeight="1">
      <ns0:c r="A992" s="29"/>
      <ns0:c r="B992" s="30"/>
      <ns0:c r="C992" s="28"/>
      <ns0:c r="D992" s="29"/>
      <ns0:c r="E992" s="31"/>
      <ns0:c r="F992" s="32"/>
      <ns0:c r="G992" s="29"/>
      <ns0:c r="H992" s="29"/>
      <ns0:c r="I992" s="29"/>
      <ns0:c r="J992" s="29"/>
      <ns0:c r="K992" s="29"/>
    </ns0:row>
    <ns0:row r="993" ht="28" customHeight="1">
      <ns0:c r="A993" s="29"/>
      <ns0:c r="B993" s="30"/>
      <ns0:c r="C993" s="28"/>
      <ns0:c r="D993" s="29"/>
      <ns0:c r="E993" s="31"/>
      <ns0:c r="F993" s="32"/>
      <ns0:c r="G993" s="29"/>
      <ns0:c r="H993" s="29"/>
      <ns0:c r="I993" s="29"/>
      <ns0:c r="J993" s="29"/>
      <ns0:c r="K993" s="29"/>
    </ns0:row>
    <ns0:row r="994" ht="28" customHeight="1">
      <ns0:c r="A994" s="29"/>
      <ns0:c r="B994" s="30"/>
      <ns0:c r="C994" s="28"/>
      <ns0:c r="D994" s="29"/>
      <ns0:c r="E994" s="31"/>
      <ns0:c r="F994" s="32"/>
      <ns0:c r="G994" s="29"/>
      <ns0:c r="H994" s="29"/>
      <ns0:c r="I994" s="29"/>
      <ns0:c r="J994" s="29"/>
      <ns0:c r="K994" s="29"/>
    </ns0:row>
    <ns0:row r="995" ht="28" customHeight="1">
      <ns0:c r="A995" s="29"/>
      <ns0:c r="B995" s="30"/>
      <ns0:c r="C995" s="28"/>
      <ns0:c r="D995" s="29"/>
      <ns0:c r="E995" s="31"/>
      <ns0:c r="F995" s="32"/>
      <ns0:c r="G995" s="29"/>
      <ns0:c r="H995" s="29"/>
      <ns0:c r="I995" s="29"/>
      <ns0:c r="J995" s="29"/>
      <ns0:c r="K995" s="29"/>
    </ns0:row>
    <ns0:row r="996" ht="28" customHeight="1">
      <ns0:c r="A996" s="29"/>
      <ns0:c r="B996" s="30"/>
      <ns0:c r="C996" s="28"/>
      <ns0:c r="D996" s="29"/>
      <ns0:c r="E996" s="31"/>
      <ns0:c r="F996" s="32"/>
      <ns0:c r="G996" s="29"/>
      <ns0:c r="H996" s="29"/>
      <ns0:c r="I996" s="29"/>
      <ns0:c r="J996" s="29"/>
      <ns0:c r="K996" s="29"/>
    </ns0:row>
    <ns0:row r="997" ht="28" customHeight="1">
      <ns0:c r="A997" s="29"/>
      <ns0:c r="B997" s="30"/>
      <ns0:c r="C997" s="28"/>
      <ns0:c r="D997" s="29"/>
      <ns0:c r="E997" s="31"/>
      <ns0:c r="F997" s="32"/>
      <ns0:c r="G997" s="29"/>
      <ns0:c r="H997" s="29"/>
      <ns0:c r="I997" s="29"/>
      <ns0:c r="J997" s="29"/>
      <ns0:c r="K997" s="29"/>
    </ns0:row>
    <ns0:row r="998" ht="28" customHeight="1">
      <ns0:c r="A998" s="29"/>
      <ns0:c r="B998" s="30"/>
      <ns0:c r="C998" s="28"/>
      <ns0:c r="D998" s="29"/>
      <ns0:c r="E998" s="31"/>
      <ns0:c r="F998" s="32"/>
      <ns0:c r="G998" s="29"/>
      <ns0:c r="H998" s="29"/>
      <ns0:c r="I998" s="29"/>
      <ns0:c r="J998" s="29"/>
      <ns0:c r="K998" s="29"/>
    </ns0:row>
    <ns0:row r="999" ht="28" customHeight="1">
      <ns0:c r="A999" s="29"/>
      <ns0:c r="B999" s="30"/>
      <ns0:c r="C999" s="28"/>
      <ns0:c r="D999" s="29"/>
      <ns0:c r="E999" s="31"/>
      <ns0:c r="F999" s="32"/>
      <ns0:c r="G999" s="29"/>
      <ns0:c r="H999" s="29"/>
      <ns0:c r="I999" s="29"/>
      <ns0:c r="J999" s="29"/>
      <ns0:c r="K999" s="29"/>
    </ns0:row>
    <ns0:row r="1000" ht="28" customHeight="1">
      <ns0:c r="A1000" s="29"/>
      <ns0:c r="B1000" s="30"/>
      <ns0:c r="C1000" s="28"/>
      <ns0:c r="D1000" s="29"/>
      <ns0:c r="E1000" s="31"/>
      <ns0:c r="F1000" s="32"/>
      <ns0:c r="G1000" s="29"/>
      <ns0:c r="H1000" s="29"/>
      <ns0:c r="I1000" s="29"/>
      <ns0:c r="J1000" s="29"/>
      <ns0:c r="K1000" s="29"/>
    </ns0:row>
    <ns0:row r="1001" ht="28" customHeight="1">
      <ns0:c r="A1001" s="29"/>
      <ns0:c r="B1001" s="30"/>
      <ns0:c r="C1001" s="28"/>
      <ns0:c r="D1001" s="29"/>
      <ns0:c r="E1001" s="31"/>
      <ns0:c r="F1001" s="32"/>
      <ns0:c r="G1001" s="29"/>
      <ns0:c r="H1001" s="29"/>
      <ns0:c r="I1001" s="29"/>
      <ns0:c r="J1001" s="29"/>
      <ns0:c r="K1001" s="29"/>
    </ns0:row>
    <ns0:row r="1002" ht="28" customHeight="1">
      <ns0:c r="A1002" s="29"/>
      <ns0:c r="B1002" s="30"/>
      <ns0:c r="C1002" s="28"/>
      <ns0:c r="D1002" s="29"/>
      <ns0:c r="E1002" s="31"/>
      <ns0:c r="F1002" s="32"/>
      <ns0:c r="G1002" s="29"/>
      <ns0:c r="H1002" s="29"/>
      <ns0:c r="I1002" s="29"/>
      <ns0:c r="J1002" s="29"/>
      <ns0:c r="K1002" s="29"/>
    </ns0:row>
    <ns0:row r="1003" ht="28" customHeight="1">
      <ns0:c r="A1003" s="29"/>
      <ns0:c r="B1003" s="30"/>
      <ns0:c r="C1003" s="28"/>
      <ns0:c r="D1003" s="29"/>
      <ns0:c r="E1003" s="31"/>
      <ns0:c r="F1003" s="32"/>
      <ns0:c r="G1003" s="29"/>
      <ns0:c r="H1003" s="29"/>
      <ns0:c r="I1003" s="29"/>
      <ns0:c r="J1003" s="29"/>
      <ns0:c r="K1003" s="29"/>
    </ns0:row>
    <ns0:row r="1004" ht="28" customHeight="1">
      <ns0:c r="A1004" s="29"/>
      <ns0:c r="B1004" s="30"/>
      <ns0:c r="C1004" s="28"/>
      <ns0:c r="D1004" s="29"/>
      <ns0:c r="E1004" s="31"/>
      <ns0:c r="F1004" s="32"/>
      <ns0:c r="G1004" s="29"/>
      <ns0:c r="H1004" s="29"/>
      <ns0:c r="I1004" s="29"/>
      <ns0:c r="J1004" s="29"/>
      <ns0:c r="K1004" s="29"/>
    </ns0:row>
    <ns0:row r="1005" ht="28" customHeight="1">
      <ns0:c r="A1005" s="29"/>
      <ns0:c r="B1005" s="30"/>
      <ns0:c r="C1005" s="28"/>
      <ns0:c r="D1005" s="29"/>
      <ns0:c r="E1005" s="31"/>
      <ns0:c r="F1005" s="32"/>
      <ns0:c r="G1005" s="29"/>
      <ns0:c r="H1005" s="29"/>
      <ns0:c r="I1005" s="29"/>
      <ns0:c r="J1005" s="29"/>
      <ns0:c r="K1005" s="29"/>
    </ns0:row>
    <ns0:row r="1006" ht="28" customHeight="1">
      <ns0:c r="A1006" s="29"/>
      <ns0:c r="B1006" s="30"/>
      <ns0:c r="C1006" s="28"/>
      <ns0:c r="D1006" s="29"/>
      <ns0:c r="E1006" s="31"/>
      <ns0:c r="F1006" s="32"/>
      <ns0:c r="G1006" s="29"/>
      <ns0:c r="H1006" s="29"/>
      <ns0:c r="I1006" s="29"/>
      <ns0:c r="J1006" s="29"/>
      <ns0:c r="K1006" s="29"/>
    </ns0:row>
    <ns0:row r="1007" ht="28" customHeight="1">
      <ns0:c r="A1007" s="29"/>
      <ns0:c r="B1007" s="30"/>
      <ns0:c r="C1007" s="28"/>
      <ns0:c r="D1007" s="29"/>
      <ns0:c r="E1007" s="31"/>
      <ns0:c r="F1007" s="32"/>
      <ns0:c r="G1007" s="29"/>
      <ns0:c r="H1007" s="29"/>
      <ns0:c r="I1007" s="29"/>
      <ns0:c r="J1007" s="29"/>
      <ns0:c r="K1007" s="29"/>
    </ns0:row>
    <ns0:row r="1008" ht="28" customHeight="1">
      <ns0:c r="A1008" s="29"/>
      <ns0:c r="B1008" s="30"/>
      <ns0:c r="C1008" s="28"/>
      <ns0:c r="D1008" s="29"/>
      <ns0:c r="E1008" s="31"/>
      <ns0:c r="F1008" s="32"/>
      <ns0:c r="G1008" s="29"/>
      <ns0:c r="H1008" s="29"/>
      <ns0:c r="I1008" s="29"/>
      <ns0:c r="J1008" s="29"/>
      <ns0:c r="K1008" s="29"/>
    </ns0:row>
    <ns0:row r="1009" ht="28" customHeight="1">
      <ns0:c r="A1009" s="29"/>
      <ns0:c r="B1009" s="30"/>
      <ns0:c r="C1009" s="28"/>
      <ns0:c r="D1009" s="29"/>
      <ns0:c r="E1009" s="31"/>
      <ns0:c r="F1009" s="32"/>
      <ns0:c r="G1009" s="29"/>
      <ns0:c r="H1009" s="29"/>
      <ns0:c r="I1009" s="29"/>
      <ns0:c r="J1009" s="29"/>
      <ns0:c r="K1009" s="29"/>
    </ns0:row>
    <ns0:row r="1010" ht="28" customHeight="1">
      <ns0:c r="A1010" s="29"/>
      <ns0:c r="B1010" s="30"/>
      <ns0:c r="C1010" s="28"/>
      <ns0:c r="D1010" s="29"/>
      <ns0:c r="E1010" s="31"/>
      <ns0:c r="F1010" s="32"/>
      <ns0:c r="G1010" s="29"/>
      <ns0:c r="H1010" s="29"/>
      <ns0:c r="I1010" s="29"/>
      <ns0:c r="J1010" s="29"/>
      <ns0:c r="K1010" s="29"/>
    </ns0:row>
    <ns0:row r="1011" ht="28" customHeight="1">
      <ns0:c r="A1011" s="29"/>
      <ns0:c r="B1011" s="30"/>
      <ns0:c r="C1011" s="28"/>
      <ns0:c r="D1011" s="29"/>
      <ns0:c r="E1011" s="31"/>
      <ns0:c r="F1011" s="32"/>
      <ns0:c r="G1011" s="29"/>
      <ns0:c r="H1011" s="29"/>
      <ns0:c r="I1011" s="29"/>
      <ns0:c r="J1011" s="29"/>
      <ns0:c r="K1011" s="29"/>
    </ns0:row>
    <ns0:row r="1012" ht="28" customHeight="1">
      <ns0:c r="A1012" s="29"/>
      <ns0:c r="B1012" s="30"/>
      <ns0:c r="C1012" s="28"/>
      <ns0:c r="D1012" s="29"/>
      <ns0:c r="E1012" s="31"/>
      <ns0:c r="F1012" s="32"/>
      <ns0:c r="G1012" s="29"/>
      <ns0:c r="H1012" s="29"/>
      <ns0:c r="I1012" s="29"/>
      <ns0:c r="J1012" s="29"/>
      <ns0:c r="K1012" s="29"/>
    </ns0:row>
    <ns0:row r="1013" ht="28" customHeight="1">
      <ns0:c r="A1013" s="29"/>
      <ns0:c r="B1013" s="30"/>
      <ns0:c r="C1013" s="28"/>
      <ns0:c r="D1013" s="29"/>
      <ns0:c r="E1013" s="31"/>
      <ns0:c r="F1013" s="32"/>
      <ns0:c r="G1013" s="29"/>
      <ns0:c r="H1013" s="29"/>
      <ns0:c r="I1013" s="29"/>
      <ns0:c r="J1013" s="29"/>
      <ns0:c r="K1013" s="29"/>
    </ns0:row>
    <ns0:row r="1014" ht="28" customHeight="1">
      <ns0:c r="A1014" s="29"/>
      <ns0:c r="B1014" s="30"/>
      <ns0:c r="C1014" s="28"/>
      <ns0:c r="D1014" s="29"/>
      <ns0:c r="E1014" s="31"/>
      <ns0:c r="F1014" s="32"/>
      <ns0:c r="G1014" s="29"/>
      <ns0:c r="H1014" s="29"/>
      <ns0:c r="I1014" s="29"/>
      <ns0:c r="J1014" s="29"/>
      <ns0:c r="K1014" s="29"/>
    </ns0:row>
    <ns0:row r="1015" ht="28" customHeight="1">
      <ns0:c r="A1015" s="29"/>
      <ns0:c r="B1015" s="30"/>
      <ns0:c r="C1015" s="28"/>
      <ns0:c r="D1015" s="29"/>
      <ns0:c r="E1015" s="31"/>
      <ns0:c r="F1015" s="32"/>
      <ns0:c r="G1015" s="29"/>
      <ns0:c r="H1015" s="29"/>
      <ns0:c r="I1015" s="29"/>
      <ns0:c r="J1015" s="29"/>
      <ns0:c r="K1015" s="29"/>
    </ns0:row>
    <ns0:row r="1016" ht="28" customHeight="1">
      <ns0:c r="A1016" s="29"/>
      <ns0:c r="B1016" s="30"/>
      <ns0:c r="C1016" s="28"/>
      <ns0:c r="D1016" s="29"/>
      <ns0:c r="E1016" s="31"/>
      <ns0:c r="F1016" s="32"/>
      <ns0:c r="G1016" s="29"/>
      <ns0:c r="H1016" s="29"/>
      <ns0:c r="I1016" s="29"/>
      <ns0:c r="J1016" s="29"/>
      <ns0:c r="K1016" s="29"/>
    </ns0:row>
    <ns0:row r="1017" ht="28" customHeight="1">
      <ns0:c r="A1017" s="29"/>
      <ns0:c r="B1017" s="30"/>
      <ns0:c r="C1017" s="28"/>
      <ns0:c r="D1017" s="29"/>
      <ns0:c r="E1017" s="31"/>
      <ns0:c r="F1017" s="32"/>
      <ns0:c r="G1017" s="29"/>
      <ns0:c r="H1017" s="29"/>
      <ns0:c r="I1017" s="29"/>
      <ns0:c r="J1017" s="29"/>
      <ns0:c r="K1017" s="29"/>
    </ns0:row>
    <ns0:row r="1018" ht="28" customHeight="1">
      <ns0:c r="A1018" s="29"/>
      <ns0:c r="B1018" s="30"/>
      <ns0:c r="C1018" s="28"/>
      <ns0:c r="D1018" s="29"/>
      <ns0:c r="E1018" s="31"/>
      <ns0:c r="F1018" s="32"/>
      <ns0:c r="G1018" s="29"/>
      <ns0:c r="H1018" s="29"/>
      <ns0:c r="I1018" s="29"/>
      <ns0:c r="J1018" s="29"/>
      <ns0:c r="K1018" s="29"/>
    </ns0:row>
    <ns0:row r="1019" ht="28" customHeight="1">
      <ns0:c r="A1019" s="29"/>
      <ns0:c r="B1019" s="30"/>
      <ns0:c r="C1019" s="28"/>
      <ns0:c r="D1019" s="29"/>
      <ns0:c r="E1019" s="31"/>
      <ns0:c r="F1019" s="32"/>
      <ns0:c r="G1019" s="29"/>
      <ns0:c r="H1019" s="29"/>
      <ns0:c r="I1019" s="29"/>
      <ns0:c r="J1019" s="29"/>
      <ns0:c r="K1019" s="29"/>
    </ns0:row>
    <ns0:row r="1020" ht="28" customHeight="1">
      <ns0:c r="A1020" s="29"/>
      <ns0:c r="B1020" s="30"/>
      <ns0:c r="C1020" s="28"/>
      <ns0:c r="D1020" s="29"/>
      <ns0:c r="E1020" s="31"/>
      <ns0:c r="F1020" s="32"/>
      <ns0:c r="G1020" s="29"/>
      <ns0:c r="H1020" s="29"/>
      <ns0:c r="I1020" s="29"/>
      <ns0:c r="J1020" s="29"/>
      <ns0:c r="K1020" s="29"/>
    </ns0:row>
    <ns0:row r="1021" ht="28" customHeight="1">
      <ns0:c r="A1021" s="29"/>
      <ns0:c r="B1021" s="30"/>
      <ns0:c r="C1021" s="28"/>
      <ns0:c r="D1021" s="29"/>
      <ns0:c r="E1021" s="31"/>
      <ns0:c r="F1021" s="32"/>
      <ns0:c r="G1021" s="29"/>
      <ns0:c r="H1021" s="29"/>
      <ns0:c r="I1021" s="29"/>
      <ns0:c r="J1021" s="29"/>
      <ns0:c r="K1021" s="29"/>
    </ns0:row>
    <ns0:row r="1022" ht="28" customHeight="1">
      <ns0:c r="A1022" s="29"/>
      <ns0:c r="B1022" s="30"/>
      <ns0:c r="C1022" s="28"/>
      <ns0:c r="D1022" s="29"/>
      <ns0:c r="E1022" s="31"/>
      <ns0:c r="F1022" s="32"/>
      <ns0:c r="G1022" s="29"/>
      <ns0:c r="H1022" s="29"/>
      <ns0:c r="I1022" s="29"/>
      <ns0:c r="J1022" s="29"/>
      <ns0:c r="K1022" s="29"/>
    </ns0:row>
    <ns0:row r="1023" ht="28" customHeight="1">
      <ns0:c r="A1023" s="29"/>
      <ns0:c r="B1023" s="30"/>
      <ns0:c r="C1023" s="28"/>
      <ns0:c r="D1023" s="29"/>
      <ns0:c r="E1023" s="31"/>
      <ns0:c r="F1023" s="32"/>
      <ns0:c r="G1023" s="29"/>
      <ns0:c r="H1023" s="29"/>
      <ns0:c r="I1023" s="29"/>
      <ns0:c r="J1023" s="29"/>
      <ns0:c r="K1023" s="29"/>
    </ns0:row>
    <ns0:row r="1024" ht="28" customHeight="1">
      <ns0:c r="A1024" s="29"/>
      <ns0:c r="B1024" s="30"/>
      <ns0:c r="C1024" s="28"/>
      <ns0:c r="D1024" s="29"/>
      <ns0:c r="E1024" s="31"/>
      <ns0:c r="F1024" s="32"/>
      <ns0:c r="G1024" s="29"/>
      <ns0:c r="H1024" s="29"/>
      <ns0:c r="I1024" s="29"/>
      <ns0:c r="J1024" s="29"/>
      <ns0:c r="K1024" s="29"/>
    </ns0:row>
    <ns0:row r="1025" ht="28" customHeight="1">
      <ns0:c r="A1025" s="29"/>
      <ns0:c r="B1025" s="30"/>
      <ns0:c r="C1025" s="28"/>
      <ns0:c r="D1025" s="29"/>
      <ns0:c r="E1025" s="31"/>
      <ns0:c r="F1025" s="32"/>
      <ns0:c r="G1025" s="29"/>
      <ns0:c r="H1025" s="29"/>
      <ns0:c r="I1025" s="29"/>
      <ns0:c r="J1025" s="29"/>
      <ns0:c r="K1025" s="29"/>
    </ns0:row>
    <ns0:row r="1026" ht="28" customHeight="1">
      <ns0:c r="A1026" s="29"/>
      <ns0:c r="B1026" s="30"/>
      <ns0:c r="C1026" s="28"/>
      <ns0:c r="D1026" s="29"/>
      <ns0:c r="E1026" s="31"/>
      <ns0:c r="F1026" s="32"/>
      <ns0:c r="G1026" s="29"/>
      <ns0:c r="H1026" s="29"/>
      <ns0:c r="I1026" s="29"/>
      <ns0:c r="J1026" s="29"/>
      <ns0:c r="K1026" s="29"/>
    </ns0:row>
    <ns0:row r="1027" ht="28" customHeight="1">
      <ns0:c r="A1027" s="29"/>
      <ns0:c r="B1027" s="30"/>
      <ns0:c r="C1027" s="28"/>
      <ns0:c r="D1027" s="29"/>
      <ns0:c r="E1027" s="31"/>
      <ns0:c r="F1027" s="32"/>
      <ns0:c r="G1027" s="29"/>
      <ns0:c r="H1027" s="29"/>
      <ns0:c r="I1027" s="29"/>
      <ns0:c r="J1027" s="29"/>
      <ns0:c r="K1027" s="29"/>
    </ns0:row>
    <ns0:row r="1028" ht="28" customHeight="1">
      <ns0:c r="A1028" s="29"/>
      <ns0:c r="B1028" s="30"/>
      <ns0:c r="C1028" s="28"/>
      <ns0:c r="D1028" s="29"/>
      <ns0:c r="E1028" s="31"/>
      <ns0:c r="F1028" s="32"/>
      <ns0:c r="G1028" s="29"/>
      <ns0:c r="H1028" s="29"/>
      <ns0:c r="I1028" s="29"/>
      <ns0:c r="J1028" s="29"/>
      <ns0:c r="K1028" s="29"/>
    </ns0:row>
    <ns0:row r="1029" ht="28" customHeight="1">
      <ns0:c r="A1029" s="29"/>
      <ns0:c r="B1029" s="30"/>
      <ns0:c r="C1029" s="28"/>
      <ns0:c r="D1029" s="29"/>
      <ns0:c r="E1029" s="31"/>
      <ns0:c r="F1029" s="32"/>
      <ns0:c r="G1029" s="29"/>
      <ns0:c r="H1029" s="29"/>
      <ns0:c r="I1029" s="29"/>
      <ns0:c r="J1029" s="29"/>
      <ns0:c r="K1029" s="29"/>
    </ns0:row>
    <ns0:row r="1030" ht="28" customHeight="1">
      <ns0:c r="A1030" s="29"/>
      <ns0:c r="B1030" s="30"/>
      <ns0:c r="C1030" s="28"/>
      <ns0:c r="D1030" s="29"/>
      <ns0:c r="E1030" s="31"/>
      <ns0:c r="F1030" s="32"/>
      <ns0:c r="G1030" s="29"/>
      <ns0:c r="H1030" s="29"/>
      <ns0:c r="I1030" s="29"/>
      <ns0:c r="J1030" s="29"/>
      <ns0:c r="K1030" s="29"/>
    </ns0:row>
    <ns0:row r="1031" ht="28" customHeight="1">
      <ns0:c r="A1031" s="29"/>
      <ns0:c r="B1031" s="30"/>
      <ns0:c r="C1031" s="28"/>
      <ns0:c r="D1031" s="29"/>
      <ns0:c r="E1031" s="31"/>
      <ns0:c r="F1031" s="32"/>
      <ns0:c r="G1031" s="29"/>
      <ns0:c r="H1031" s="29"/>
      <ns0:c r="I1031" s="29"/>
      <ns0:c r="J1031" s="29"/>
      <ns0:c r="K1031" s="29"/>
    </ns0:row>
    <ns0:row r="1032" ht="28" customHeight="1">
      <ns0:c r="A1032" s="29"/>
      <ns0:c r="B1032" s="30"/>
      <ns0:c r="C1032" s="28"/>
      <ns0:c r="D1032" s="29"/>
      <ns0:c r="E1032" s="31"/>
      <ns0:c r="F1032" s="32"/>
      <ns0:c r="G1032" s="29"/>
      <ns0:c r="H1032" s="29"/>
      <ns0:c r="I1032" s="29"/>
      <ns0:c r="J1032" s="29"/>
      <ns0:c r="K1032" s="29"/>
    </ns0:row>
    <ns0:row r="1033" ht="28" customHeight="1">
      <ns0:c r="A1033" s="29"/>
      <ns0:c r="B1033" s="30"/>
      <ns0:c r="C1033" s="28"/>
      <ns0:c r="D1033" s="29"/>
      <ns0:c r="E1033" s="31"/>
      <ns0:c r="F1033" s="32"/>
      <ns0:c r="G1033" s="29"/>
      <ns0:c r="H1033" s="29"/>
      <ns0:c r="I1033" s="29"/>
      <ns0:c r="J1033" s="29"/>
      <ns0:c r="K1033" s="29"/>
    </ns0:row>
    <ns0:row r="1034" ht="28" customHeight="1">
      <ns0:c r="A1034" s="29"/>
      <ns0:c r="B1034" s="30"/>
      <ns0:c r="C1034" s="28"/>
      <ns0:c r="D1034" s="29"/>
      <ns0:c r="E1034" s="31"/>
      <ns0:c r="F1034" s="32"/>
      <ns0:c r="G1034" s="29"/>
      <ns0:c r="H1034" s="29"/>
      <ns0:c r="I1034" s="29"/>
      <ns0:c r="J1034" s="29"/>
      <ns0:c r="K1034" s="29"/>
    </ns0:row>
    <ns0:row r="1035" ht="28" customHeight="1">
      <ns0:c r="A1035" s="29"/>
      <ns0:c r="B1035" s="30"/>
      <ns0:c r="C1035" s="28"/>
      <ns0:c r="D1035" s="29"/>
      <ns0:c r="E1035" s="31"/>
      <ns0:c r="F1035" s="32"/>
      <ns0:c r="G1035" s="29"/>
      <ns0:c r="H1035" s="29"/>
      <ns0:c r="I1035" s="29"/>
      <ns0:c r="J1035" s="29"/>
      <ns0:c r="K1035" s="29"/>
    </ns0:row>
    <ns0:row r="1036" ht="28" customHeight="1">
      <ns0:c r="A1036" s="29"/>
      <ns0:c r="B1036" s="30"/>
      <ns0:c r="C1036" s="28"/>
      <ns0:c r="D1036" s="29"/>
      <ns0:c r="E1036" s="31"/>
      <ns0:c r="F1036" s="32"/>
      <ns0:c r="G1036" s="29"/>
      <ns0:c r="H1036" s="29"/>
      <ns0:c r="I1036" s="29"/>
      <ns0:c r="J1036" s="29"/>
      <ns0:c r="K1036" s="29"/>
    </ns0:row>
    <ns0:row r="1037" ht="28" customHeight="1">
      <ns0:c r="A1037" s="29"/>
      <ns0:c r="B1037" s="30"/>
      <ns0:c r="C1037" s="28"/>
      <ns0:c r="D1037" s="29"/>
      <ns0:c r="E1037" s="31"/>
      <ns0:c r="F1037" s="32"/>
      <ns0:c r="G1037" s="29"/>
      <ns0:c r="H1037" s="29"/>
      <ns0:c r="I1037" s="29"/>
      <ns0:c r="J1037" s="29"/>
      <ns0:c r="K1037" s="29"/>
    </ns0:row>
    <ns0:row r="1038" ht="28" customHeight="1">
      <ns0:c r="A1038" s="29"/>
      <ns0:c r="B1038" s="30"/>
      <ns0:c r="C1038" s="28"/>
      <ns0:c r="D1038" s="29"/>
      <ns0:c r="E1038" s="31"/>
      <ns0:c r="F1038" s="32"/>
      <ns0:c r="G1038" s="29"/>
      <ns0:c r="H1038" s="29"/>
      <ns0:c r="I1038" s="29"/>
      <ns0:c r="J1038" s="29"/>
      <ns0:c r="K1038" s="29"/>
    </ns0:row>
    <ns0:row r="1039" ht="28" customHeight="1">
      <ns0:c r="A1039" s="29"/>
      <ns0:c r="B1039" s="30"/>
      <ns0:c r="C1039" s="28"/>
      <ns0:c r="D1039" s="29"/>
      <ns0:c r="E1039" s="31"/>
      <ns0:c r="F1039" s="32"/>
      <ns0:c r="G1039" s="29"/>
      <ns0:c r="H1039" s="29"/>
      <ns0:c r="I1039" s="29"/>
      <ns0:c r="J1039" s="29"/>
      <ns0:c r="K1039" s="29"/>
    </ns0:row>
    <ns0:row r="1040" ht="28" customHeight="1">
      <ns0:c r="A1040" s="29"/>
      <ns0:c r="B1040" s="30"/>
      <ns0:c r="C1040" s="28"/>
      <ns0:c r="D1040" s="29"/>
      <ns0:c r="E1040" s="31"/>
      <ns0:c r="F1040" s="32"/>
      <ns0:c r="G1040" s="29"/>
      <ns0:c r="H1040" s="29"/>
      <ns0:c r="I1040" s="29"/>
      <ns0:c r="J1040" s="29"/>
      <ns0:c r="K1040" s="29"/>
    </ns0:row>
    <ns0:row r="1041" ht="28" customHeight="1">
      <ns0:c r="A1041" s="29"/>
      <ns0:c r="B1041" s="30"/>
      <ns0:c r="C1041" s="28"/>
      <ns0:c r="D1041" s="29"/>
      <ns0:c r="E1041" s="31"/>
      <ns0:c r="F1041" s="32"/>
      <ns0:c r="G1041" s="29"/>
      <ns0:c r="H1041" s="29"/>
      <ns0:c r="I1041" s="29"/>
      <ns0:c r="J1041" s="29"/>
      <ns0:c r="K1041" s="29"/>
    </ns0:row>
    <ns0:row r="1042" ht="28" customHeight="1">
      <ns0:c r="A1042" s="29"/>
      <ns0:c r="B1042" s="30"/>
      <ns0:c r="C1042" s="28"/>
      <ns0:c r="D1042" s="29"/>
      <ns0:c r="E1042" s="31"/>
      <ns0:c r="F1042" s="32"/>
      <ns0:c r="G1042" s="29"/>
      <ns0:c r="H1042" s="29"/>
      <ns0:c r="I1042" s="29"/>
      <ns0:c r="J1042" s="29"/>
      <ns0:c r="K1042" s="29"/>
    </ns0:row>
    <ns0:row r="1043" ht="28" customHeight="1">
      <ns0:c r="A1043" s="29"/>
      <ns0:c r="B1043" s="30"/>
      <ns0:c r="C1043" s="28"/>
      <ns0:c r="D1043" s="29"/>
      <ns0:c r="E1043" s="31"/>
      <ns0:c r="F1043" s="32"/>
      <ns0:c r="G1043" s="29"/>
      <ns0:c r="H1043" s="29"/>
      <ns0:c r="I1043" s="29"/>
      <ns0:c r="J1043" s="29"/>
      <ns0:c r="K1043" s="29"/>
    </ns0:row>
    <ns0:row r="1044" ht="28" customHeight="1">
      <ns0:c r="A1044" s="29"/>
      <ns0:c r="B1044" s="30"/>
      <ns0:c r="C1044" s="28"/>
      <ns0:c r="D1044" s="29"/>
      <ns0:c r="E1044" s="31"/>
      <ns0:c r="F1044" s="32"/>
      <ns0:c r="G1044" s="29"/>
      <ns0:c r="H1044" s="29"/>
      <ns0:c r="I1044" s="29"/>
      <ns0:c r="J1044" s="29"/>
      <ns0:c r="K1044" s="29"/>
    </ns0:row>
    <ns0:row r="1045" ht="28" customHeight="1">
      <ns0:c r="A1045" s="29"/>
      <ns0:c r="B1045" s="30"/>
      <ns0:c r="C1045" s="28"/>
      <ns0:c r="D1045" s="29"/>
      <ns0:c r="E1045" s="31"/>
      <ns0:c r="F1045" s="32"/>
      <ns0:c r="G1045" s="29"/>
      <ns0:c r="H1045" s="29"/>
      <ns0:c r="I1045" s="29"/>
      <ns0:c r="J1045" s="29"/>
      <ns0:c r="K1045" s="29"/>
    </ns0:row>
    <ns0:row r="1046" ht="28" customHeight="1">
      <ns0:c r="A1046" s="29"/>
      <ns0:c r="B1046" s="30"/>
      <ns0:c r="C1046" s="28"/>
      <ns0:c r="D1046" s="29"/>
      <ns0:c r="E1046" s="31"/>
      <ns0:c r="F1046" s="32"/>
      <ns0:c r="G1046" s="29"/>
      <ns0:c r="H1046" s="29"/>
      <ns0:c r="I1046" s="29"/>
      <ns0:c r="J1046" s="29"/>
      <ns0:c r="K1046" s="29"/>
    </ns0:row>
    <ns0:row r="1047" ht="28" customHeight="1">
      <ns0:c r="A1047" s="29"/>
      <ns0:c r="B1047" s="30"/>
      <ns0:c r="C1047" s="28"/>
      <ns0:c r="D1047" s="29"/>
      <ns0:c r="E1047" s="31"/>
      <ns0:c r="F1047" s="32"/>
      <ns0:c r="G1047" s="29"/>
      <ns0:c r="H1047" s="29"/>
      <ns0:c r="I1047" s="29"/>
      <ns0:c r="J1047" s="29"/>
      <ns0:c r="K1047" s="29"/>
    </ns0:row>
    <ns0:row r="1048" ht="28" customHeight="1">
      <ns0:c r="A1048" s="29"/>
      <ns0:c r="B1048" s="30"/>
      <ns0:c r="C1048" s="28"/>
      <ns0:c r="D1048" s="29"/>
      <ns0:c r="E1048" s="31"/>
      <ns0:c r="F1048" s="32"/>
      <ns0:c r="G1048" s="29"/>
      <ns0:c r="H1048" s="29"/>
      <ns0:c r="I1048" s="29"/>
      <ns0:c r="J1048" s="29"/>
      <ns0:c r="K1048" s="29"/>
    </ns0:row>
    <ns0:row r="1049" ht="28" customHeight="1">
      <ns0:c r="A1049" s="29"/>
      <ns0:c r="B1049" s="30"/>
      <ns0:c r="C1049" s="28"/>
      <ns0:c r="D1049" s="29"/>
      <ns0:c r="E1049" s="31"/>
      <ns0:c r="F1049" s="32"/>
      <ns0:c r="G1049" s="29"/>
      <ns0:c r="H1049" s="29"/>
      <ns0:c r="I1049" s="29"/>
      <ns0:c r="J1049" s="29"/>
      <ns0:c r="K1049" s="29"/>
    </ns0:row>
    <ns0:row r="1050" ht="28" customHeight="1">
      <ns0:c r="A1050" s="29"/>
      <ns0:c r="B1050" s="30"/>
      <ns0:c r="C1050" s="28"/>
      <ns0:c r="D1050" s="29"/>
      <ns0:c r="E1050" s="31"/>
      <ns0:c r="F1050" s="32"/>
      <ns0:c r="G1050" s="29"/>
      <ns0:c r="H1050" s="29"/>
      <ns0:c r="I1050" s="29"/>
      <ns0:c r="J1050" s="29"/>
      <ns0:c r="K1050" s="29"/>
    </ns0:row>
    <ns0:row r="1051" ht="28" customHeight="1">
      <ns0:c r="A1051" s="29"/>
      <ns0:c r="B1051" s="30"/>
      <ns0:c r="C1051" s="28"/>
      <ns0:c r="D1051" s="29"/>
      <ns0:c r="E1051" s="31"/>
      <ns0:c r="F1051" s="32"/>
      <ns0:c r="G1051" s="29"/>
      <ns0:c r="H1051" s="29"/>
      <ns0:c r="I1051" s="29"/>
      <ns0:c r="J1051" s="29"/>
      <ns0:c r="K1051" s="29"/>
    </ns0:row>
    <ns0:row r="1052" ht="28" customHeight="1">
      <ns0:c r="A1052" s="29"/>
      <ns0:c r="B1052" s="30"/>
      <ns0:c r="C1052" s="28"/>
      <ns0:c r="D1052" s="29"/>
      <ns0:c r="E1052" s="31"/>
      <ns0:c r="F1052" s="32"/>
      <ns0:c r="G1052" s="29"/>
      <ns0:c r="H1052" s="29"/>
      <ns0:c r="I1052" s="29"/>
      <ns0:c r="J1052" s="29"/>
      <ns0:c r="K1052" s="29"/>
    </ns0:row>
    <ns0:row r="1053" ht="28" customHeight="1">
      <ns0:c r="A1053" s="29"/>
      <ns0:c r="B1053" s="30"/>
      <ns0:c r="C1053" s="28"/>
      <ns0:c r="D1053" s="29"/>
      <ns0:c r="E1053" s="31"/>
      <ns0:c r="F1053" s="32"/>
      <ns0:c r="G1053" s="29"/>
      <ns0:c r="H1053" s="29"/>
      <ns0:c r="I1053" s="29"/>
      <ns0:c r="J1053" s="29"/>
      <ns0:c r="K1053" s="29"/>
    </ns0:row>
    <ns0:row r="1054" ht="28" customHeight="1">
      <ns0:c r="A1054" s="29"/>
      <ns0:c r="B1054" s="30"/>
      <ns0:c r="C1054" s="28"/>
      <ns0:c r="D1054" s="29"/>
      <ns0:c r="E1054" s="31"/>
      <ns0:c r="F1054" s="32"/>
      <ns0:c r="G1054" s="29"/>
      <ns0:c r="H1054" s="29"/>
      <ns0:c r="I1054" s="29"/>
      <ns0:c r="J1054" s="29"/>
      <ns0:c r="K1054" s="29"/>
    </ns0:row>
    <ns0:row r="1055" ht="28" customHeight="1">
      <ns0:c r="A1055" s="29"/>
      <ns0:c r="B1055" s="30"/>
      <ns0:c r="C1055" s="28"/>
      <ns0:c r="D1055" s="29"/>
      <ns0:c r="E1055" s="31"/>
      <ns0:c r="F1055" s="32"/>
      <ns0:c r="G1055" s="29"/>
      <ns0:c r="H1055" s="29"/>
      <ns0:c r="I1055" s="29"/>
      <ns0:c r="J1055" s="29"/>
      <ns0:c r="K1055" s="29"/>
    </ns0:row>
    <ns0:row r="1056" ht="28" customHeight="1">
      <ns0:c r="A1056" s="29"/>
      <ns0:c r="B1056" s="30"/>
      <ns0:c r="C1056" s="28"/>
      <ns0:c r="D1056" s="29"/>
      <ns0:c r="E1056" s="31"/>
      <ns0:c r="F1056" s="32"/>
      <ns0:c r="G1056" s="29"/>
      <ns0:c r="H1056" s="29"/>
      <ns0:c r="I1056" s="29"/>
      <ns0:c r="J1056" s="29"/>
      <ns0:c r="K1056" s="29"/>
    </ns0:row>
    <ns0:row r="1057" ht="28" customHeight="1">
      <ns0:c r="A1057" s="29"/>
      <ns0:c r="B1057" s="30"/>
      <ns0:c r="C1057" s="28"/>
      <ns0:c r="D1057" s="29"/>
      <ns0:c r="E1057" s="31"/>
      <ns0:c r="F1057" s="32"/>
      <ns0:c r="G1057" s="29"/>
      <ns0:c r="H1057" s="29"/>
      <ns0:c r="I1057" s="29"/>
      <ns0:c r="J1057" s="29"/>
      <ns0:c r="K1057" s="29"/>
    </ns0:row>
    <ns0:row r="1058" ht="28" customHeight="1">
      <ns0:c r="A1058" s="29"/>
      <ns0:c r="B1058" s="30"/>
      <ns0:c r="C1058" s="28"/>
      <ns0:c r="D1058" s="29"/>
      <ns0:c r="E1058" s="31"/>
      <ns0:c r="F1058" s="32"/>
      <ns0:c r="G1058" s="29"/>
      <ns0:c r="H1058" s="29"/>
      <ns0:c r="I1058" s="29"/>
      <ns0:c r="J1058" s="29"/>
      <ns0:c r="K1058" s="29"/>
    </ns0:row>
    <ns0:row r="1059" ht="28" customHeight="1">
      <ns0:c r="A1059" s="29"/>
      <ns0:c r="B1059" s="30"/>
      <ns0:c r="C1059" s="28"/>
      <ns0:c r="D1059" s="29"/>
      <ns0:c r="E1059" s="31"/>
      <ns0:c r="F1059" s="32"/>
      <ns0:c r="G1059" s="29"/>
      <ns0:c r="H1059" s="29"/>
      <ns0:c r="I1059" s="29"/>
      <ns0:c r="J1059" s="29"/>
      <ns0:c r="K1059" s="29"/>
    </ns0:row>
    <ns0:row r="1060" ht="28" customHeight="1">
      <ns0:c r="A1060" s="29"/>
      <ns0:c r="B1060" s="30"/>
      <ns0:c r="C1060" s="28"/>
      <ns0:c r="D1060" s="29"/>
      <ns0:c r="E1060" s="31"/>
      <ns0:c r="F1060" s="32"/>
      <ns0:c r="G1060" s="29"/>
      <ns0:c r="H1060" s="29"/>
      <ns0:c r="I1060" s="29"/>
      <ns0:c r="J1060" s="29"/>
      <ns0:c r="K1060" s="29"/>
    </ns0:row>
    <ns0:row r="1061" ht="28" customHeight="1">
      <ns0:c r="A1061" s="29"/>
      <ns0:c r="B1061" s="30"/>
      <ns0:c r="C1061" s="28"/>
      <ns0:c r="D1061" s="29"/>
      <ns0:c r="E1061" s="31"/>
      <ns0:c r="F1061" s="32"/>
      <ns0:c r="G1061" s="29"/>
      <ns0:c r="H1061" s="29"/>
      <ns0:c r="I1061" s="29"/>
      <ns0:c r="J1061" s="29"/>
      <ns0:c r="K1061" s="29"/>
    </ns0:row>
    <ns0:row r="1062" ht="28" customHeight="1">
      <ns0:c r="A1062" s="29"/>
      <ns0:c r="B1062" s="30"/>
      <ns0:c r="C1062" s="28"/>
      <ns0:c r="D1062" s="29"/>
      <ns0:c r="E1062" s="31"/>
      <ns0:c r="F1062" s="32"/>
      <ns0:c r="G1062" s="29"/>
      <ns0:c r="H1062" s="29"/>
      <ns0:c r="I1062" s="29"/>
      <ns0:c r="J1062" s="29"/>
      <ns0:c r="K1062" s="29"/>
    </ns0:row>
    <ns0:row r="1063" ht="28" customHeight="1">
      <ns0:c r="A1063" s="29"/>
      <ns0:c r="B1063" s="30"/>
      <ns0:c r="C1063" s="28"/>
      <ns0:c r="D1063" s="29"/>
      <ns0:c r="E1063" s="31"/>
      <ns0:c r="F1063" s="32"/>
      <ns0:c r="G1063" s="29"/>
      <ns0:c r="H1063" s="29"/>
      <ns0:c r="I1063" s="29"/>
      <ns0:c r="J1063" s="29"/>
      <ns0:c r="K1063" s="29"/>
    </ns0:row>
    <ns0:row r="1064" ht="28" customHeight="1">
      <ns0:c r="A1064" s="29"/>
      <ns0:c r="B1064" s="30"/>
      <ns0:c r="C1064" s="28"/>
      <ns0:c r="D1064" s="29"/>
      <ns0:c r="E1064" s="31"/>
      <ns0:c r="F1064" s="32"/>
      <ns0:c r="G1064" s="29"/>
      <ns0:c r="H1064" s="29"/>
      <ns0:c r="I1064" s="29"/>
      <ns0:c r="J1064" s="29"/>
      <ns0:c r="K1064" s="29"/>
    </ns0:row>
    <ns0:row r="1065" ht="28" customHeight="1">
      <ns0:c r="A1065" s="29"/>
      <ns0:c r="B1065" s="30"/>
      <ns0:c r="C1065" s="28"/>
      <ns0:c r="D1065" s="29"/>
      <ns0:c r="E1065" s="31"/>
      <ns0:c r="F1065" s="32"/>
      <ns0:c r="G1065" s="29"/>
      <ns0:c r="H1065" s="29"/>
      <ns0:c r="I1065" s="29"/>
      <ns0:c r="J1065" s="29"/>
      <ns0:c r="K1065" s="29"/>
    </ns0:row>
    <ns0:row r="1066" ht="28" customHeight="1">
      <ns0:c r="A1066" s="29"/>
      <ns0:c r="B1066" s="30"/>
      <ns0:c r="C1066" s="28"/>
      <ns0:c r="D1066" s="29"/>
      <ns0:c r="E1066" s="31"/>
      <ns0:c r="F1066" s="32"/>
      <ns0:c r="G1066" s="29"/>
      <ns0:c r="H1066" s="29"/>
      <ns0:c r="I1066" s="29"/>
      <ns0:c r="J1066" s="29"/>
      <ns0:c r="K1066" s="29"/>
    </ns0:row>
    <ns0:row r="1067" ht="28" customHeight="1">
      <ns0:c r="A1067" s="29"/>
      <ns0:c r="B1067" s="30"/>
      <ns0:c r="C1067" s="28"/>
      <ns0:c r="D1067" s="29"/>
      <ns0:c r="E1067" s="31"/>
      <ns0:c r="F1067" s="32"/>
      <ns0:c r="G1067" s="29"/>
      <ns0:c r="H1067" s="29"/>
      <ns0:c r="I1067" s="29"/>
      <ns0:c r="J1067" s="29"/>
      <ns0:c r="K1067" s="29"/>
    </ns0:row>
    <ns0:row r="1068" ht="28" customHeight="1">
      <ns0:c r="A1068" s="29"/>
      <ns0:c r="B1068" s="30"/>
      <ns0:c r="C1068" s="28"/>
      <ns0:c r="D1068" s="29"/>
      <ns0:c r="E1068" s="31"/>
      <ns0:c r="F1068" s="32"/>
      <ns0:c r="G1068" s="29"/>
      <ns0:c r="H1068" s="29"/>
      <ns0:c r="I1068" s="29"/>
      <ns0:c r="J1068" s="29"/>
      <ns0:c r="K1068" s="29"/>
    </ns0:row>
    <ns0:row r="1069" ht="28" customHeight="1">
      <ns0:c r="A1069" s="29"/>
      <ns0:c r="B1069" s="30"/>
      <ns0:c r="C1069" s="28"/>
      <ns0:c r="D1069" s="29"/>
      <ns0:c r="E1069" s="31"/>
      <ns0:c r="F1069" s="32"/>
      <ns0:c r="G1069" s="29"/>
      <ns0:c r="H1069" s="29"/>
      <ns0:c r="I1069" s="29"/>
      <ns0:c r="J1069" s="29"/>
      <ns0:c r="K1069" s="29"/>
    </ns0:row>
    <ns0:row r="1070" ht="28" customHeight="1">
      <ns0:c r="A1070" s="29"/>
      <ns0:c r="B1070" s="30"/>
      <ns0:c r="C1070" s="28"/>
      <ns0:c r="D1070" s="29"/>
      <ns0:c r="E1070" s="31"/>
      <ns0:c r="F1070" s="32"/>
      <ns0:c r="G1070" s="29"/>
      <ns0:c r="H1070" s="29"/>
      <ns0:c r="I1070" s="29"/>
      <ns0:c r="J1070" s="29"/>
      <ns0:c r="K1070" s="29"/>
    </ns0:row>
    <ns0:row r="1071" ht="28" customHeight="1">
      <ns0:c r="A1071" s="29"/>
      <ns0:c r="B1071" s="30"/>
      <ns0:c r="C1071" s="28"/>
      <ns0:c r="D1071" s="29"/>
      <ns0:c r="E1071" s="31"/>
      <ns0:c r="F1071" s="32"/>
      <ns0:c r="G1071" s="29"/>
      <ns0:c r="H1071" s="29"/>
      <ns0:c r="I1071" s="29"/>
      <ns0:c r="J1071" s="29"/>
      <ns0:c r="K1071" s="29"/>
    </ns0:row>
    <ns0:row r="1072" ht="28" customHeight="1">
      <ns0:c r="A1072" s="29"/>
      <ns0:c r="B1072" s="30"/>
      <ns0:c r="C1072" s="28"/>
      <ns0:c r="D1072" s="29"/>
      <ns0:c r="E1072" s="31"/>
      <ns0:c r="F1072" s="32"/>
      <ns0:c r="G1072" s="29"/>
      <ns0:c r="H1072" s="29"/>
      <ns0:c r="I1072" s="29"/>
      <ns0:c r="J1072" s="29"/>
      <ns0:c r="K1072" s="29"/>
    </ns0:row>
    <ns0:row r="1073" ht="28" customHeight="1">
      <ns0:c r="A1073" s="29"/>
      <ns0:c r="B1073" s="30"/>
      <ns0:c r="C1073" s="28"/>
      <ns0:c r="D1073" s="29"/>
      <ns0:c r="E1073" s="31"/>
      <ns0:c r="F1073" s="32"/>
      <ns0:c r="G1073" s="29"/>
      <ns0:c r="H1073" s="29"/>
      <ns0:c r="I1073" s="29"/>
      <ns0:c r="J1073" s="29"/>
      <ns0:c r="K1073" s="29"/>
    </ns0:row>
    <ns0:row r="1074" ht="28" customHeight="1">
      <ns0:c r="A1074" s="29"/>
      <ns0:c r="B1074" s="30"/>
      <ns0:c r="C1074" s="28"/>
      <ns0:c r="D1074" s="29"/>
      <ns0:c r="E1074" s="31"/>
      <ns0:c r="F1074" s="32"/>
      <ns0:c r="G1074" s="29"/>
      <ns0:c r="H1074" s="29"/>
      <ns0:c r="I1074" s="29"/>
      <ns0:c r="J1074" s="29"/>
      <ns0:c r="K1074" s="29"/>
    </ns0:row>
    <ns0:row r="1075" ht="28" customHeight="1">
      <ns0:c r="A1075" s="29"/>
      <ns0:c r="B1075" s="30"/>
      <ns0:c r="C1075" s="28"/>
      <ns0:c r="D1075" s="29"/>
      <ns0:c r="E1075" s="31"/>
      <ns0:c r="F1075" s="32"/>
      <ns0:c r="G1075" s="29"/>
      <ns0:c r="H1075" s="29"/>
      <ns0:c r="I1075" s="29"/>
      <ns0:c r="J1075" s="29"/>
      <ns0:c r="K1075" s="29"/>
    </ns0:row>
    <ns0:row r="1076" ht="28" customHeight="1">
      <ns0:c r="A1076" s="29"/>
      <ns0:c r="B1076" s="30"/>
      <ns0:c r="C1076" s="28"/>
      <ns0:c r="D1076" s="29"/>
      <ns0:c r="E1076" s="31"/>
      <ns0:c r="F1076" s="32"/>
      <ns0:c r="G1076" s="29"/>
      <ns0:c r="H1076" s="29"/>
      <ns0:c r="I1076" s="29"/>
      <ns0:c r="J1076" s="29"/>
      <ns0:c r="K1076" s="29"/>
    </ns0:row>
    <ns0:row r="1077" ht="28" customHeight="1">
      <ns0:c r="A1077" s="29"/>
      <ns0:c r="B1077" s="30"/>
      <ns0:c r="C1077" s="28"/>
      <ns0:c r="D1077" s="29"/>
      <ns0:c r="E1077" s="31"/>
      <ns0:c r="F1077" s="32"/>
      <ns0:c r="G1077" s="29"/>
      <ns0:c r="H1077" s="29"/>
      <ns0:c r="I1077" s="29"/>
      <ns0:c r="J1077" s="29"/>
      <ns0:c r="K1077" s="29"/>
    </ns0:row>
    <ns0:row r="1078" ht="28" customHeight="1">
      <ns0:c r="A1078" s="29"/>
      <ns0:c r="B1078" s="30"/>
      <ns0:c r="C1078" s="28"/>
      <ns0:c r="D1078" s="29"/>
      <ns0:c r="E1078" s="31"/>
      <ns0:c r="F1078" s="32"/>
      <ns0:c r="G1078" s="29"/>
      <ns0:c r="H1078" s="29"/>
      <ns0:c r="I1078" s="29"/>
      <ns0:c r="J1078" s="29"/>
      <ns0:c r="K1078" s="29"/>
    </ns0:row>
    <ns0:row r="1079" ht="28" customHeight="1">
      <ns0:c r="A1079" s="29"/>
      <ns0:c r="B1079" s="30"/>
      <ns0:c r="C1079" s="28"/>
      <ns0:c r="D1079" s="29"/>
      <ns0:c r="E1079" s="31"/>
      <ns0:c r="F1079" s="32"/>
      <ns0:c r="G1079" s="29"/>
      <ns0:c r="H1079" s="29"/>
      <ns0:c r="I1079" s="29"/>
      <ns0:c r="J1079" s="29"/>
      <ns0:c r="K1079" s="29"/>
    </ns0:row>
    <ns0:row r="1080" ht="28" customHeight="1">
      <ns0:c r="A1080" s="29"/>
      <ns0:c r="B1080" s="30"/>
      <ns0:c r="C1080" s="28"/>
      <ns0:c r="D1080" s="29"/>
      <ns0:c r="E1080" s="31"/>
      <ns0:c r="F1080" s="32"/>
      <ns0:c r="G1080" s="29"/>
      <ns0:c r="H1080" s="29"/>
      <ns0:c r="I1080" s="29"/>
      <ns0:c r="J1080" s="29"/>
      <ns0:c r="K1080" s="29"/>
    </ns0:row>
    <ns0:row r="1081" ht="28" customHeight="1">
      <ns0:c r="A1081" s="29"/>
      <ns0:c r="B1081" s="30"/>
      <ns0:c r="C1081" s="28"/>
      <ns0:c r="D1081" s="29"/>
      <ns0:c r="E1081" s="31"/>
      <ns0:c r="F1081" s="32"/>
      <ns0:c r="G1081" s="29"/>
      <ns0:c r="H1081" s="29"/>
      <ns0:c r="I1081" s="29"/>
      <ns0:c r="J1081" s="29"/>
      <ns0:c r="K1081" s="29"/>
    </ns0:row>
    <ns0:row r="1082" ht="28" customHeight="1">
      <ns0:c r="A1082" s="29"/>
      <ns0:c r="B1082" s="30"/>
      <ns0:c r="C1082" s="28"/>
      <ns0:c r="D1082" s="29"/>
      <ns0:c r="E1082" s="31"/>
      <ns0:c r="F1082" s="32"/>
      <ns0:c r="G1082" s="29"/>
      <ns0:c r="H1082" s="29"/>
      <ns0:c r="I1082" s="29"/>
      <ns0:c r="J1082" s="29"/>
      <ns0:c r="K1082" s="29"/>
    </ns0:row>
    <ns0:row r="1083" ht="28" customHeight="1">
      <ns0:c r="A1083" s="29"/>
      <ns0:c r="B1083" s="30"/>
      <ns0:c r="C1083" s="28"/>
      <ns0:c r="D1083" s="29"/>
      <ns0:c r="E1083" s="31"/>
      <ns0:c r="F1083" s="32"/>
      <ns0:c r="G1083" s="29"/>
      <ns0:c r="H1083" s="29"/>
      <ns0:c r="I1083" s="29"/>
      <ns0:c r="J1083" s="29"/>
      <ns0:c r="K1083" s="29"/>
    </ns0:row>
    <ns0:row r="1084" ht="28" customHeight="1">
      <ns0:c r="A1084" s="29"/>
      <ns0:c r="B1084" s="30"/>
      <ns0:c r="C1084" s="28"/>
      <ns0:c r="D1084" s="29"/>
      <ns0:c r="E1084" s="31"/>
      <ns0:c r="F1084" s="32"/>
      <ns0:c r="G1084" s="29"/>
      <ns0:c r="H1084" s="29"/>
      <ns0:c r="I1084" s="29"/>
      <ns0:c r="J1084" s="29"/>
      <ns0:c r="K1084" s="29"/>
    </ns0:row>
    <ns0:row r="1085" ht="28" customHeight="1">
      <ns0:c r="A1085" s="29"/>
      <ns0:c r="B1085" s="30"/>
      <ns0:c r="C1085" s="28"/>
      <ns0:c r="D1085" s="29"/>
      <ns0:c r="E1085" s="31"/>
      <ns0:c r="F1085" s="32"/>
      <ns0:c r="G1085" s="29"/>
      <ns0:c r="H1085" s="29"/>
      <ns0:c r="I1085" s="29"/>
      <ns0:c r="J1085" s="29"/>
      <ns0:c r="K1085" s="29"/>
    </ns0:row>
    <ns0:row r="1086" ht="28" customHeight="1">
      <ns0:c r="A1086" s="29"/>
      <ns0:c r="B1086" s="30"/>
      <ns0:c r="C1086" s="28"/>
      <ns0:c r="D1086" s="29"/>
      <ns0:c r="E1086" s="31"/>
      <ns0:c r="F1086" s="32"/>
      <ns0:c r="G1086" s="29"/>
      <ns0:c r="H1086" s="29"/>
      <ns0:c r="I1086" s="29"/>
      <ns0:c r="J1086" s="29"/>
      <ns0:c r="K1086" s="29"/>
    </ns0:row>
    <ns0:row r="1087" ht="28" customHeight="1">
      <ns0:c r="A1087" s="29"/>
      <ns0:c r="B1087" s="30"/>
      <ns0:c r="C1087" s="28"/>
      <ns0:c r="D1087" s="29"/>
      <ns0:c r="E1087" s="31"/>
      <ns0:c r="F1087" s="32"/>
      <ns0:c r="G1087" s="29"/>
      <ns0:c r="H1087" s="29"/>
      <ns0:c r="I1087" s="29"/>
      <ns0:c r="J1087" s="29"/>
      <ns0:c r="K1087" s="29"/>
    </ns0:row>
    <ns0:row r="1088" ht="28" customHeight="1">
      <ns0:c r="A1088" s="29"/>
      <ns0:c r="B1088" s="30"/>
      <ns0:c r="C1088" s="28"/>
      <ns0:c r="D1088" s="29"/>
      <ns0:c r="E1088" s="31"/>
      <ns0:c r="F1088" s="32"/>
      <ns0:c r="G1088" s="29"/>
      <ns0:c r="H1088" s="29"/>
      <ns0:c r="I1088" s="29"/>
      <ns0:c r="J1088" s="29"/>
      <ns0:c r="K1088" s="29"/>
    </ns0:row>
    <ns0:row r="1089" ht="28" customHeight="1">
      <ns0:c r="A1089" s="29"/>
      <ns0:c r="B1089" s="30"/>
      <ns0:c r="C1089" s="28"/>
      <ns0:c r="D1089" s="29"/>
      <ns0:c r="E1089" s="31"/>
      <ns0:c r="F1089" s="32"/>
      <ns0:c r="G1089" s="29"/>
      <ns0:c r="H1089" s="29"/>
      <ns0:c r="I1089" s="29"/>
      <ns0:c r="J1089" s="29"/>
      <ns0:c r="K1089" s="29"/>
    </ns0:row>
    <ns0:row r="1090" ht="28" customHeight="1">
      <ns0:c r="A1090" s="29"/>
      <ns0:c r="B1090" s="30"/>
      <ns0:c r="C1090" s="28"/>
      <ns0:c r="D1090" s="29"/>
      <ns0:c r="E1090" s="31"/>
      <ns0:c r="F1090" s="32"/>
      <ns0:c r="G1090" s="29"/>
      <ns0:c r="H1090" s="29"/>
      <ns0:c r="I1090" s="29"/>
      <ns0:c r="J1090" s="29"/>
      <ns0:c r="K1090" s="29"/>
    </ns0:row>
    <ns0:row r="1091" ht="28" customHeight="1">
      <ns0:c r="A1091" s="29"/>
      <ns0:c r="B1091" s="30"/>
      <ns0:c r="C1091" s="28"/>
      <ns0:c r="D1091" s="29"/>
      <ns0:c r="E1091" s="31"/>
      <ns0:c r="F1091" s="32"/>
      <ns0:c r="G1091" s="29"/>
      <ns0:c r="H1091" s="29"/>
      <ns0:c r="I1091" s="29"/>
      <ns0:c r="J1091" s="29"/>
      <ns0:c r="K1091" s="29"/>
    </ns0:row>
    <ns0:row r="1092" ht="28" customHeight="1">
      <ns0:c r="A1092" s="29"/>
      <ns0:c r="B1092" s="30"/>
      <ns0:c r="C1092" s="28"/>
      <ns0:c r="D1092" s="29"/>
      <ns0:c r="E1092" s="31"/>
      <ns0:c r="F1092" s="32"/>
      <ns0:c r="G1092" s="29"/>
      <ns0:c r="H1092" s="29"/>
      <ns0:c r="I1092" s="29"/>
      <ns0:c r="J1092" s="29"/>
      <ns0:c r="K1092" s="29"/>
    </ns0:row>
    <ns0:row r="1093" ht="28" customHeight="1">
      <ns0:c r="A1093" s="29"/>
      <ns0:c r="B1093" s="30"/>
      <ns0:c r="C1093" s="28"/>
      <ns0:c r="D1093" s="29"/>
      <ns0:c r="E1093" s="31"/>
      <ns0:c r="F1093" s="32"/>
      <ns0:c r="G1093" s="29"/>
      <ns0:c r="H1093" s="29"/>
      <ns0:c r="I1093" s="29"/>
      <ns0:c r="J1093" s="29"/>
      <ns0:c r="K1093" s="29"/>
    </ns0:row>
    <ns0:row r="1094" ht="28" customHeight="1">
      <ns0:c r="A1094" s="29"/>
      <ns0:c r="B1094" s="30"/>
      <ns0:c r="C1094" s="28"/>
      <ns0:c r="D1094" s="29"/>
      <ns0:c r="E1094" s="31"/>
      <ns0:c r="F1094" s="32"/>
      <ns0:c r="G1094" s="29"/>
      <ns0:c r="H1094" s="29"/>
      <ns0:c r="I1094" s="29"/>
      <ns0:c r="J1094" s="29"/>
      <ns0:c r="K1094" s="29"/>
    </ns0:row>
    <ns0:row r="1095" ht="28" customHeight="1">
      <ns0:c r="A1095" s="29"/>
      <ns0:c r="B1095" s="30"/>
      <ns0:c r="C1095" s="28"/>
      <ns0:c r="D1095" s="29"/>
      <ns0:c r="E1095" s="31"/>
      <ns0:c r="F1095" s="32"/>
      <ns0:c r="G1095" s="29"/>
      <ns0:c r="H1095" s="29"/>
      <ns0:c r="I1095" s="29"/>
      <ns0:c r="J1095" s="29"/>
      <ns0:c r="K1095" s="29"/>
    </ns0:row>
    <ns0:row r="1096" ht="28" customHeight="1">
      <ns0:c r="A1096" s="29"/>
      <ns0:c r="B1096" s="30"/>
      <ns0:c r="C1096" s="28"/>
      <ns0:c r="D1096" s="29"/>
      <ns0:c r="E1096" s="31"/>
      <ns0:c r="F1096" s="32"/>
      <ns0:c r="G1096" s="29"/>
      <ns0:c r="H1096" s="29"/>
      <ns0:c r="I1096" s="29"/>
      <ns0:c r="J1096" s="29"/>
      <ns0:c r="K1096" s="29"/>
    </ns0:row>
    <ns0:row r="1097" ht="28" customHeight="1">
      <ns0:c r="A1097" s="29"/>
      <ns0:c r="B1097" s="30"/>
      <ns0:c r="C1097" s="28"/>
      <ns0:c r="D1097" s="29"/>
      <ns0:c r="E1097" s="31"/>
      <ns0:c r="F1097" s="32"/>
      <ns0:c r="G1097" s="29"/>
      <ns0:c r="H1097" s="29"/>
      <ns0:c r="I1097" s="29"/>
      <ns0:c r="J1097" s="29"/>
      <ns0:c r="K1097" s="29"/>
    </ns0:row>
    <ns0:row r="1098" ht="28" customHeight="1">
      <ns0:c r="A1098" s="29"/>
      <ns0:c r="B1098" s="30"/>
      <ns0:c r="C1098" s="28"/>
      <ns0:c r="D1098" s="29"/>
      <ns0:c r="E1098" s="31"/>
      <ns0:c r="F1098" s="32"/>
      <ns0:c r="G1098" s="29"/>
      <ns0:c r="H1098" s="29"/>
      <ns0:c r="I1098" s="29"/>
      <ns0:c r="J1098" s="29"/>
      <ns0:c r="K1098" s="29"/>
    </ns0:row>
    <ns0:row r="1099" ht="28" customHeight="1">
      <ns0:c r="A1099" s="29"/>
      <ns0:c r="B1099" s="30"/>
      <ns0:c r="C1099" s="28"/>
      <ns0:c r="D1099" s="29"/>
      <ns0:c r="E1099" s="31"/>
      <ns0:c r="F1099" s="32"/>
      <ns0:c r="G1099" s="29"/>
      <ns0:c r="H1099" s="29"/>
      <ns0:c r="I1099" s="29"/>
      <ns0:c r="J1099" s="29"/>
      <ns0:c r="K1099" s="29"/>
    </ns0:row>
    <ns0:row r="1100" ht="28" customHeight="1">
      <ns0:c r="A1100" s="29"/>
      <ns0:c r="B1100" s="30"/>
      <ns0:c r="C1100" s="28"/>
      <ns0:c r="D1100" s="29"/>
      <ns0:c r="E1100" s="31"/>
      <ns0:c r="F1100" s="32"/>
      <ns0:c r="G1100" s="29"/>
      <ns0:c r="H1100" s="29"/>
      <ns0:c r="I1100" s="29"/>
      <ns0:c r="J1100" s="29"/>
      <ns0:c r="K1100" s="29"/>
    </ns0:row>
    <ns0:row r="1101" ht="28" customHeight="1">
      <ns0:c r="A1101" s="29"/>
      <ns0:c r="B1101" s="30"/>
      <ns0:c r="C1101" s="28"/>
      <ns0:c r="D1101" s="29"/>
      <ns0:c r="E1101" s="31"/>
      <ns0:c r="F1101" s="32"/>
      <ns0:c r="G1101" s="29"/>
      <ns0:c r="H1101" s="29"/>
      <ns0:c r="I1101" s="29"/>
      <ns0:c r="J1101" s="29"/>
      <ns0:c r="K1101" s="29"/>
    </ns0:row>
    <ns0:row r="1102" ht="28" customHeight="1">
      <ns0:c r="A1102" s="29"/>
      <ns0:c r="B1102" s="30"/>
      <ns0:c r="C1102" s="28"/>
      <ns0:c r="D1102" s="29"/>
      <ns0:c r="E1102" s="31"/>
      <ns0:c r="F1102" s="32"/>
      <ns0:c r="G1102" s="29"/>
      <ns0:c r="H1102" s="29"/>
      <ns0:c r="I1102" s="29"/>
      <ns0:c r="J1102" s="29"/>
      <ns0:c r="K1102" s="29"/>
    </ns0:row>
    <ns0:row r="1103" ht="28" customHeight="1">
      <ns0:c r="A1103" s="29"/>
      <ns0:c r="B1103" s="30"/>
      <ns0:c r="C1103" s="28"/>
      <ns0:c r="D1103" s="29"/>
      <ns0:c r="E1103" s="31"/>
      <ns0:c r="F1103" s="32"/>
      <ns0:c r="G1103" s="29"/>
      <ns0:c r="H1103" s="29"/>
      <ns0:c r="I1103" s="29"/>
      <ns0:c r="J1103" s="29"/>
      <ns0:c r="K1103" s="29"/>
    </ns0:row>
    <ns0:row r="1104" ht="28" customHeight="1">
      <ns0:c r="A1104" s="29"/>
      <ns0:c r="B1104" s="30"/>
      <ns0:c r="C1104" s="28"/>
      <ns0:c r="D1104" s="29"/>
      <ns0:c r="E1104" s="31"/>
      <ns0:c r="F1104" s="32"/>
      <ns0:c r="G1104" s="29"/>
      <ns0:c r="H1104" s="29"/>
      <ns0:c r="I1104" s="29"/>
      <ns0:c r="J1104" s="29"/>
      <ns0:c r="K1104" s="29"/>
    </ns0:row>
    <ns0:row r="1105" ht="28" customHeight="1">
      <ns0:c r="A1105" s="29"/>
      <ns0:c r="B1105" s="30"/>
      <ns0:c r="C1105" s="28"/>
      <ns0:c r="D1105" s="29"/>
      <ns0:c r="E1105" s="31"/>
      <ns0:c r="F1105" s="32"/>
      <ns0:c r="G1105" s="29"/>
      <ns0:c r="H1105" s="29"/>
      <ns0:c r="I1105" s="29"/>
      <ns0:c r="J1105" s="29"/>
      <ns0:c r="K1105" s="29"/>
    </ns0:row>
    <ns0:row r="1106" ht="28" customHeight="1">
      <ns0:c r="A1106" s="29"/>
      <ns0:c r="B1106" s="30"/>
      <ns0:c r="C1106" s="28"/>
      <ns0:c r="D1106" s="29"/>
      <ns0:c r="E1106" s="31"/>
      <ns0:c r="F1106" s="32"/>
      <ns0:c r="G1106" s="29"/>
      <ns0:c r="H1106" s="29"/>
      <ns0:c r="I1106" s="29"/>
      <ns0:c r="J1106" s="29"/>
      <ns0:c r="K1106" s="29"/>
    </ns0:row>
    <ns0:row r="1107" ht="28" customHeight="1">
      <ns0:c r="A1107" s="29"/>
      <ns0:c r="B1107" s="30"/>
      <ns0:c r="C1107" s="28"/>
      <ns0:c r="D1107" s="29"/>
      <ns0:c r="E1107" s="31"/>
      <ns0:c r="F1107" s="32"/>
      <ns0:c r="G1107" s="29"/>
      <ns0:c r="H1107" s="29"/>
      <ns0:c r="I1107" s="29"/>
      <ns0:c r="J1107" s="29"/>
      <ns0:c r="K1107" s="29"/>
    </ns0:row>
    <ns0:row r="1108" ht="28" customHeight="1">
      <ns0:c r="A1108" s="29"/>
      <ns0:c r="B1108" s="30"/>
      <ns0:c r="C1108" s="28"/>
      <ns0:c r="D1108" s="29"/>
      <ns0:c r="E1108" s="31"/>
      <ns0:c r="F1108" s="32"/>
      <ns0:c r="G1108" s="29"/>
      <ns0:c r="H1108" s="29"/>
      <ns0:c r="I1108" s="29"/>
      <ns0:c r="J1108" s="29"/>
      <ns0:c r="K1108" s="29"/>
    </ns0:row>
    <ns0:row r="1109" ht="28" customHeight="1">
      <ns0:c r="A1109" s="29"/>
      <ns0:c r="B1109" s="30"/>
      <ns0:c r="C1109" s="28"/>
      <ns0:c r="D1109" s="29"/>
      <ns0:c r="E1109" s="31"/>
      <ns0:c r="F1109" s="32"/>
      <ns0:c r="G1109" s="29"/>
      <ns0:c r="H1109" s="29"/>
      <ns0:c r="I1109" s="29"/>
      <ns0:c r="J1109" s="29"/>
      <ns0:c r="K1109" s="29"/>
    </ns0:row>
    <ns0:row r="1110" ht="28" customHeight="1">
      <ns0:c r="A1110" s="29"/>
      <ns0:c r="B1110" s="30"/>
      <ns0:c r="C1110" s="28"/>
      <ns0:c r="D1110" s="29"/>
      <ns0:c r="E1110" s="31"/>
      <ns0:c r="F1110" s="32"/>
      <ns0:c r="G1110" s="29"/>
      <ns0:c r="H1110" s="29"/>
      <ns0:c r="I1110" s="29"/>
      <ns0:c r="J1110" s="29"/>
      <ns0:c r="K1110" s="29"/>
    </ns0:row>
    <ns0:row r="1111" ht="28" customHeight="1">
      <ns0:c r="A1111" s="29"/>
      <ns0:c r="B1111" s="30"/>
      <ns0:c r="C1111" s="28"/>
      <ns0:c r="D1111" s="29"/>
      <ns0:c r="E1111" s="31"/>
      <ns0:c r="F1111" s="32"/>
      <ns0:c r="G1111" s="29"/>
      <ns0:c r="H1111" s="29"/>
      <ns0:c r="I1111" s="29"/>
      <ns0:c r="J1111" s="29"/>
      <ns0:c r="K1111" s="29"/>
    </ns0:row>
    <ns0:row r="1112" ht="28" customHeight="1">
      <ns0:c r="A1112" s="29"/>
      <ns0:c r="B1112" s="30"/>
      <ns0:c r="C1112" s="28"/>
      <ns0:c r="D1112" s="29"/>
      <ns0:c r="E1112" s="31"/>
      <ns0:c r="F1112" s="32"/>
      <ns0:c r="G1112" s="29"/>
      <ns0:c r="H1112" s="29"/>
      <ns0:c r="I1112" s="29"/>
      <ns0:c r="J1112" s="29"/>
      <ns0:c r="K1112" s="29"/>
    </ns0:row>
    <ns0:row r="1113" ht="28" customHeight="1">
      <ns0:c r="A1113" s="29"/>
      <ns0:c r="B1113" s="30"/>
      <ns0:c r="C1113" s="28"/>
      <ns0:c r="D1113" s="29"/>
      <ns0:c r="E1113" s="31"/>
      <ns0:c r="F1113" s="32"/>
      <ns0:c r="G1113" s="29"/>
      <ns0:c r="H1113" s="29"/>
      <ns0:c r="I1113" s="29"/>
      <ns0:c r="J1113" s="29"/>
      <ns0:c r="K1113" s="29"/>
    </ns0:row>
    <ns0:row r="1114" ht="28" customHeight="1">
      <ns0:c r="A1114" s="29"/>
      <ns0:c r="B1114" s="30"/>
      <ns0:c r="C1114" s="28"/>
      <ns0:c r="D1114" s="29"/>
      <ns0:c r="E1114" s="31"/>
      <ns0:c r="F1114" s="32"/>
      <ns0:c r="G1114" s="29"/>
      <ns0:c r="H1114" s="29"/>
      <ns0:c r="I1114" s="29"/>
      <ns0:c r="J1114" s="29"/>
      <ns0:c r="K1114" s="29"/>
    </ns0:row>
    <ns0:row r="1115" ht="28" customHeight="1">
      <ns0:c r="A1115" s="29"/>
      <ns0:c r="B1115" s="30"/>
      <ns0:c r="C1115" s="28"/>
      <ns0:c r="D1115" s="29"/>
      <ns0:c r="E1115" s="31"/>
      <ns0:c r="F1115" s="32"/>
      <ns0:c r="G1115" s="29"/>
      <ns0:c r="H1115" s="29"/>
      <ns0:c r="I1115" s="29"/>
      <ns0:c r="J1115" s="29"/>
      <ns0:c r="K1115" s="29"/>
    </ns0:row>
    <ns0:row r="1116" ht="28" customHeight="1">
      <ns0:c r="A1116" s="29"/>
      <ns0:c r="B1116" s="30"/>
      <ns0:c r="C1116" s="28"/>
      <ns0:c r="D1116" s="29"/>
      <ns0:c r="E1116" s="31"/>
      <ns0:c r="F1116" s="32"/>
      <ns0:c r="G1116" s="29"/>
      <ns0:c r="H1116" s="29"/>
      <ns0:c r="I1116" s="29"/>
      <ns0:c r="J1116" s="29"/>
      <ns0:c r="K1116" s="29"/>
    </ns0:row>
    <ns0:row r="1117" ht="28" customHeight="1">
      <ns0:c r="A1117" s="29"/>
      <ns0:c r="B1117" s="30"/>
      <ns0:c r="C1117" s="28"/>
      <ns0:c r="D1117" s="29"/>
      <ns0:c r="E1117" s="31"/>
      <ns0:c r="F1117" s="32"/>
      <ns0:c r="G1117" s="29"/>
      <ns0:c r="H1117" s="29"/>
      <ns0:c r="I1117" s="29"/>
      <ns0:c r="J1117" s="29"/>
      <ns0:c r="K1117" s="29"/>
    </ns0:row>
    <ns0:row r="1118" ht="28" customHeight="1">
      <ns0:c r="A1118" s="29"/>
      <ns0:c r="B1118" s="30"/>
      <ns0:c r="C1118" s="28"/>
      <ns0:c r="D1118" s="29"/>
      <ns0:c r="E1118" s="31"/>
      <ns0:c r="F1118" s="32"/>
      <ns0:c r="G1118" s="29"/>
      <ns0:c r="H1118" s="29"/>
      <ns0:c r="I1118" s="29"/>
      <ns0:c r="J1118" s="29"/>
      <ns0:c r="K1118" s="29"/>
    </ns0:row>
    <ns0:row r="1119" ht="28" customHeight="1">
      <ns0:c r="A1119" s="29"/>
      <ns0:c r="B1119" s="30"/>
      <ns0:c r="C1119" s="28"/>
      <ns0:c r="D1119" s="29"/>
      <ns0:c r="E1119" s="31"/>
      <ns0:c r="F1119" s="32"/>
      <ns0:c r="G1119" s="29"/>
      <ns0:c r="H1119" s="29"/>
      <ns0:c r="I1119" s="29"/>
      <ns0:c r="J1119" s="29"/>
      <ns0:c r="K1119" s="29"/>
    </ns0:row>
    <ns0:row r="1120" ht="28" customHeight="1">
      <ns0:c r="A1120" s="29"/>
      <ns0:c r="B1120" s="30"/>
      <ns0:c r="C1120" s="28"/>
      <ns0:c r="D1120" s="29"/>
      <ns0:c r="E1120" s="31"/>
      <ns0:c r="F1120" s="32"/>
      <ns0:c r="G1120" s="29"/>
      <ns0:c r="H1120" s="29"/>
      <ns0:c r="I1120" s="29"/>
      <ns0:c r="J1120" s="29"/>
      <ns0:c r="K1120" s="29"/>
    </ns0:row>
    <ns0:row r="1121" ht="28" customHeight="1">
      <ns0:c r="A1121" s="29"/>
      <ns0:c r="B1121" s="30"/>
      <ns0:c r="C1121" s="28"/>
      <ns0:c r="D1121" s="29"/>
      <ns0:c r="E1121" s="31"/>
      <ns0:c r="F1121" s="32"/>
      <ns0:c r="G1121" s="29"/>
      <ns0:c r="H1121" s="29"/>
      <ns0:c r="I1121" s="29"/>
      <ns0:c r="J1121" s="29"/>
      <ns0:c r="K1121" s="29"/>
    </ns0:row>
    <ns0:row r="1122" ht="28" customHeight="1">
      <ns0:c r="A1122" s="29"/>
      <ns0:c r="B1122" s="30"/>
      <ns0:c r="C1122" s="28"/>
      <ns0:c r="D1122" s="29"/>
      <ns0:c r="E1122" s="31"/>
      <ns0:c r="F1122" s="32"/>
      <ns0:c r="G1122" s="29"/>
      <ns0:c r="H1122" s="29"/>
      <ns0:c r="I1122" s="29"/>
      <ns0:c r="J1122" s="29"/>
      <ns0:c r="K1122" s="29"/>
    </ns0:row>
    <ns0:row r="1123" ht="28" customHeight="1">
      <ns0:c r="A1123" s="29"/>
      <ns0:c r="B1123" s="30"/>
      <ns0:c r="C1123" s="28"/>
      <ns0:c r="D1123" s="29"/>
      <ns0:c r="E1123" s="31"/>
      <ns0:c r="F1123" s="32"/>
      <ns0:c r="G1123" s="29"/>
      <ns0:c r="H1123" s="29"/>
      <ns0:c r="I1123" s="29"/>
      <ns0:c r="J1123" s="29"/>
      <ns0:c r="K1123" s="29"/>
    </ns0:row>
    <ns0:row r="1124" ht="28" customHeight="1">
      <ns0:c r="A1124" s="29"/>
      <ns0:c r="B1124" s="30"/>
      <ns0:c r="C1124" s="28"/>
      <ns0:c r="D1124" s="29"/>
      <ns0:c r="E1124" s="31"/>
      <ns0:c r="F1124" s="32"/>
      <ns0:c r="G1124" s="29"/>
      <ns0:c r="H1124" s="29"/>
      <ns0:c r="I1124" s="29"/>
      <ns0:c r="J1124" s="29"/>
      <ns0:c r="K1124" s="29"/>
    </ns0:row>
    <ns0:row r="1125" ht="28" customHeight="1">
      <ns0:c r="A1125" s="29"/>
      <ns0:c r="B1125" s="30"/>
      <ns0:c r="C1125" s="28"/>
      <ns0:c r="D1125" s="29"/>
      <ns0:c r="E1125" s="31"/>
      <ns0:c r="F1125" s="32"/>
      <ns0:c r="G1125" s="29"/>
      <ns0:c r="H1125" s="29"/>
      <ns0:c r="I1125" s="29"/>
      <ns0:c r="J1125" s="29"/>
      <ns0:c r="K1125" s="29"/>
    </ns0:row>
    <ns0:row r="1126" ht="28" customHeight="1">
      <ns0:c r="A1126" s="29"/>
      <ns0:c r="B1126" s="30"/>
      <ns0:c r="C1126" s="28"/>
      <ns0:c r="D1126" s="29"/>
      <ns0:c r="E1126" s="31"/>
      <ns0:c r="F1126" s="32"/>
      <ns0:c r="G1126" s="29"/>
      <ns0:c r="H1126" s="29"/>
      <ns0:c r="I1126" s="29"/>
      <ns0:c r="J1126" s="29"/>
      <ns0:c r="K1126" s="29"/>
    </ns0:row>
    <ns0:row r="1127" ht="28" customHeight="1">
      <ns0:c r="A1127" s="29"/>
      <ns0:c r="B1127" s="30"/>
      <ns0:c r="C1127" s="28"/>
      <ns0:c r="D1127" s="29"/>
      <ns0:c r="E1127" s="31"/>
      <ns0:c r="F1127" s="32"/>
      <ns0:c r="G1127" s="29"/>
      <ns0:c r="H1127" s="29"/>
      <ns0:c r="I1127" s="29"/>
      <ns0:c r="J1127" s="29"/>
      <ns0:c r="K1127" s="29"/>
    </ns0:row>
    <ns0:row r="1128" ht="28" customHeight="1">
      <ns0:c r="A1128" s="29"/>
      <ns0:c r="B1128" s="30"/>
      <ns0:c r="C1128" s="28"/>
      <ns0:c r="D1128" s="29"/>
      <ns0:c r="E1128" s="31"/>
      <ns0:c r="F1128" s="32"/>
      <ns0:c r="G1128" s="29"/>
      <ns0:c r="H1128" s="29"/>
      <ns0:c r="I1128" s="29"/>
      <ns0:c r="J1128" s="29"/>
      <ns0:c r="K1128" s="29"/>
    </ns0:row>
    <ns0:row r="1129" ht="28" customHeight="1">
      <ns0:c r="A1129" s="29"/>
      <ns0:c r="B1129" s="30"/>
      <ns0:c r="C1129" s="28"/>
      <ns0:c r="D1129" s="29"/>
      <ns0:c r="E1129" s="31"/>
      <ns0:c r="F1129" s="32"/>
      <ns0:c r="G1129" s="29"/>
      <ns0:c r="H1129" s="29"/>
      <ns0:c r="I1129" s="29"/>
      <ns0:c r="J1129" s="29"/>
      <ns0:c r="K1129" s="29"/>
    </ns0:row>
    <ns0:row r="1130" ht="28" customHeight="1">
      <ns0:c r="A1130" s="29"/>
      <ns0:c r="B1130" s="30"/>
      <ns0:c r="C1130" s="28"/>
      <ns0:c r="D1130" s="29"/>
      <ns0:c r="E1130" s="31"/>
      <ns0:c r="F1130" s="32"/>
      <ns0:c r="G1130" s="29"/>
      <ns0:c r="H1130" s="29"/>
      <ns0:c r="I1130" s="29"/>
      <ns0:c r="J1130" s="29"/>
      <ns0:c r="K1130" s="29"/>
    </ns0:row>
    <ns0:row r="1131" ht="28" customHeight="1">
      <ns0:c r="A1131" s="29"/>
      <ns0:c r="B1131" s="30"/>
      <ns0:c r="C1131" s="28"/>
      <ns0:c r="D1131" s="29"/>
      <ns0:c r="E1131" s="31"/>
      <ns0:c r="F1131" s="32"/>
      <ns0:c r="G1131" s="29"/>
      <ns0:c r="H1131" s="29"/>
      <ns0:c r="I1131" s="29"/>
      <ns0:c r="J1131" s="29"/>
      <ns0:c r="K1131" s="29"/>
    </ns0:row>
    <ns0:row r="1132" ht="28" customHeight="1">
      <ns0:c r="A1132" s="29"/>
      <ns0:c r="B1132" s="30"/>
      <ns0:c r="C1132" s="28"/>
      <ns0:c r="D1132" s="29"/>
      <ns0:c r="E1132" s="31"/>
      <ns0:c r="F1132" s="32"/>
      <ns0:c r="G1132" s="29"/>
      <ns0:c r="H1132" s="29"/>
      <ns0:c r="I1132" s="29"/>
      <ns0:c r="J1132" s="29"/>
      <ns0:c r="K1132" s="29"/>
    </ns0:row>
    <ns0:row r="1133" ht="28" customHeight="1">
      <ns0:c r="A1133" s="29"/>
      <ns0:c r="B1133" s="30"/>
      <ns0:c r="C1133" s="28"/>
      <ns0:c r="D1133" s="29"/>
      <ns0:c r="E1133" s="31"/>
      <ns0:c r="F1133" s="32"/>
      <ns0:c r="G1133" s="29"/>
      <ns0:c r="H1133" s="29"/>
      <ns0:c r="I1133" s="29"/>
      <ns0:c r="J1133" s="29"/>
      <ns0:c r="K1133" s="29"/>
    </ns0:row>
    <ns0:row r="1134" ht="28" customHeight="1">
      <ns0:c r="A1134" s="29"/>
      <ns0:c r="B1134" s="30"/>
      <ns0:c r="C1134" s="28"/>
      <ns0:c r="D1134" s="29"/>
      <ns0:c r="E1134" s="31"/>
      <ns0:c r="F1134" s="32"/>
      <ns0:c r="G1134" s="29"/>
      <ns0:c r="H1134" s="29"/>
      <ns0:c r="I1134" s="29"/>
      <ns0:c r="J1134" s="29"/>
      <ns0:c r="K1134" s="29"/>
    </ns0:row>
    <ns0:row r="1135" ht="28" customHeight="1">
      <ns0:c r="A1135" s="29"/>
      <ns0:c r="B1135" s="30"/>
      <ns0:c r="C1135" s="28"/>
      <ns0:c r="D1135" s="29"/>
      <ns0:c r="E1135" s="31"/>
      <ns0:c r="F1135" s="32"/>
      <ns0:c r="G1135" s="29"/>
      <ns0:c r="H1135" s="29"/>
      <ns0:c r="I1135" s="29"/>
      <ns0:c r="J1135" s="29"/>
      <ns0:c r="K1135" s="29"/>
    </ns0:row>
    <ns0:row r="1136" ht="28" customHeight="1">
      <ns0:c r="A1136" s="29"/>
      <ns0:c r="B1136" s="30"/>
      <ns0:c r="C1136" s="28"/>
      <ns0:c r="D1136" s="29"/>
      <ns0:c r="E1136" s="31"/>
      <ns0:c r="F1136" s="32"/>
      <ns0:c r="G1136" s="29"/>
      <ns0:c r="H1136" s="29"/>
      <ns0:c r="I1136" s="29"/>
      <ns0:c r="J1136" s="29"/>
      <ns0:c r="K1136" s="29"/>
    </ns0:row>
    <ns0:row r="1137" ht="28" customHeight="1">
      <ns0:c r="A1137" s="29"/>
      <ns0:c r="B1137" s="30"/>
      <ns0:c r="C1137" s="28"/>
      <ns0:c r="D1137" s="29"/>
      <ns0:c r="E1137" s="31"/>
      <ns0:c r="F1137" s="32"/>
      <ns0:c r="G1137" s="29"/>
      <ns0:c r="H1137" s="29"/>
      <ns0:c r="I1137" s="29"/>
      <ns0:c r="J1137" s="29"/>
      <ns0:c r="K1137" s="29"/>
    </ns0:row>
    <ns0:row r="1138" ht="28" customHeight="1">
      <ns0:c r="A1138" s="29"/>
      <ns0:c r="B1138" s="30"/>
      <ns0:c r="C1138" s="28"/>
      <ns0:c r="D1138" s="29"/>
      <ns0:c r="E1138" s="31"/>
      <ns0:c r="F1138" s="32"/>
      <ns0:c r="G1138" s="29"/>
      <ns0:c r="H1138" s="29"/>
      <ns0:c r="I1138" s="29"/>
      <ns0:c r="J1138" s="29"/>
      <ns0:c r="K1138" s="29"/>
    </ns0:row>
    <ns0:row r="1139" ht="28" customHeight="1">
      <ns0:c r="A1139" s="29"/>
      <ns0:c r="B1139" s="30"/>
      <ns0:c r="C1139" s="28"/>
      <ns0:c r="D1139" s="29"/>
      <ns0:c r="E1139" s="31"/>
      <ns0:c r="F1139" s="32"/>
      <ns0:c r="G1139" s="29"/>
      <ns0:c r="H1139" s="29"/>
      <ns0:c r="I1139" s="29"/>
      <ns0:c r="J1139" s="29"/>
      <ns0:c r="K1139" s="29"/>
    </ns0:row>
    <ns0:row r="1140" ht="28" customHeight="1">
      <ns0:c r="A1140" s="29"/>
      <ns0:c r="B1140" s="30"/>
      <ns0:c r="C1140" s="28"/>
      <ns0:c r="D1140" s="29"/>
      <ns0:c r="E1140" s="31"/>
      <ns0:c r="F1140" s="32"/>
      <ns0:c r="G1140" s="29"/>
      <ns0:c r="H1140" s="29"/>
      <ns0:c r="I1140" s="29"/>
      <ns0:c r="J1140" s="29"/>
      <ns0:c r="K1140" s="29"/>
    </ns0:row>
    <ns0:row r="1141" ht="28" customHeight="1">
      <ns0:c r="A1141" s="29"/>
      <ns0:c r="B1141" s="30"/>
      <ns0:c r="C1141" s="28"/>
      <ns0:c r="D1141" s="29"/>
      <ns0:c r="E1141" s="31"/>
      <ns0:c r="F1141" s="32"/>
      <ns0:c r="G1141" s="29"/>
      <ns0:c r="H1141" s="29"/>
      <ns0:c r="I1141" s="29"/>
      <ns0:c r="J1141" s="29"/>
      <ns0:c r="K1141" s="29"/>
    </ns0:row>
    <ns0:row r="1142" ht="28" customHeight="1">
      <ns0:c r="A1142" s="29"/>
      <ns0:c r="B1142" s="30"/>
      <ns0:c r="C1142" s="28"/>
      <ns0:c r="D1142" s="29"/>
      <ns0:c r="E1142" s="31"/>
      <ns0:c r="F1142" s="32"/>
      <ns0:c r="G1142" s="29"/>
      <ns0:c r="H1142" s="29"/>
      <ns0:c r="I1142" s="29"/>
      <ns0:c r="J1142" s="29"/>
      <ns0:c r="K1142" s="29"/>
    </ns0:row>
    <ns0:row r="1143" ht="28" customHeight="1">
      <ns0:c r="A1143" s="29"/>
      <ns0:c r="B1143" s="30"/>
      <ns0:c r="C1143" s="28"/>
      <ns0:c r="D1143" s="29"/>
      <ns0:c r="E1143" s="31"/>
      <ns0:c r="F1143" s="32"/>
      <ns0:c r="G1143" s="29"/>
      <ns0:c r="H1143" s="29"/>
      <ns0:c r="I1143" s="29"/>
      <ns0:c r="J1143" s="29"/>
      <ns0:c r="K1143" s="29"/>
    </ns0:row>
    <ns0:row r="1144" ht="28" customHeight="1">
      <ns0:c r="A1144" s="29"/>
      <ns0:c r="B1144" s="30"/>
      <ns0:c r="C1144" s="28"/>
      <ns0:c r="D1144" s="29"/>
      <ns0:c r="E1144" s="31"/>
      <ns0:c r="F1144" s="32"/>
      <ns0:c r="G1144" s="29"/>
      <ns0:c r="H1144" s="29"/>
      <ns0:c r="I1144" s="29"/>
      <ns0:c r="J1144" s="29"/>
      <ns0:c r="K1144" s="29"/>
    </ns0:row>
    <ns0:row r="1145" ht="28" customHeight="1">
      <ns0:c r="A1145" s="29"/>
      <ns0:c r="B1145" s="30"/>
      <ns0:c r="C1145" s="28"/>
      <ns0:c r="D1145" s="29"/>
      <ns0:c r="E1145" s="31"/>
      <ns0:c r="F1145" s="32"/>
      <ns0:c r="G1145" s="29"/>
      <ns0:c r="H1145" s="29"/>
      <ns0:c r="I1145" s="29"/>
      <ns0:c r="J1145" s="29"/>
      <ns0:c r="K1145" s="29"/>
    </ns0:row>
    <ns0:row r="1146" ht="28" customHeight="1">
      <ns0:c r="A1146" s="29"/>
      <ns0:c r="B1146" s="30"/>
      <ns0:c r="C1146" s="28"/>
      <ns0:c r="D1146" s="29"/>
      <ns0:c r="E1146" s="31"/>
      <ns0:c r="F1146" s="32"/>
      <ns0:c r="G1146" s="29"/>
      <ns0:c r="H1146" s="29"/>
      <ns0:c r="I1146" s="29"/>
      <ns0:c r="J1146" s="29"/>
      <ns0:c r="K1146" s="29"/>
    </ns0:row>
    <ns0:row r="1147" ht="28" customHeight="1">
      <ns0:c r="A1147" s="29"/>
      <ns0:c r="B1147" s="30"/>
      <ns0:c r="C1147" s="28"/>
      <ns0:c r="D1147" s="29"/>
      <ns0:c r="E1147" s="31"/>
      <ns0:c r="F1147" s="32"/>
      <ns0:c r="G1147" s="29"/>
      <ns0:c r="H1147" s="29"/>
      <ns0:c r="I1147" s="29"/>
      <ns0:c r="J1147" s="29"/>
      <ns0:c r="K1147" s="29"/>
    </ns0:row>
    <ns0:row r="1148" ht="28" customHeight="1">
      <ns0:c r="A1148" s="29"/>
      <ns0:c r="B1148" s="30"/>
      <ns0:c r="C1148" s="28"/>
      <ns0:c r="D1148" s="29"/>
      <ns0:c r="E1148" s="31"/>
      <ns0:c r="F1148" s="32"/>
      <ns0:c r="G1148" s="29"/>
      <ns0:c r="H1148" s="29"/>
      <ns0:c r="I1148" s="29"/>
      <ns0:c r="J1148" s="29"/>
      <ns0:c r="K1148" s="29"/>
    </ns0:row>
    <ns0:row r="1149" ht="28" customHeight="1">
      <ns0:c r="A1149" s="29"/>
      <ns0:c r="B1149" s="30"/>
      <ns0:c r="C1149" s="28"/>
      <ns0:c r="D1149" s="29"/>
      <ns0:c r="E1149" s="31"/>
      <ns0:c r="F1149" s="32"/>
      <ns0:c r="G1149" s="29"/>
      <ns0:c r="H1149" s="29"/>
      <ns0:c r="I1149" s="29"/>
      <ns0:c r="J1149" s="29"/>
      <ns0:c r="K1149" s="29"/>
    </ns0:row>
    <ns0:row r="1150" ht="28" customHeight="1">
      <ns0:c r="A1150" s="29"/>
      <ns0:c r="B1150" s="30"/>
      <ns0:c r="C1150" s="28"/>
      <ns0:c r="D1150" s="29"/>
      <ns0:c r="E1150" s="31"/>
      <ns0:c r="F1150" s="32"/>
      <ns0:c r="G1150" s="29"/>
      <ns0:c r="H1150" s="29"/>
      <ns0:c r="I1150" s="29"/>
      <ns0:c r="J1150" s="29"/>
      <ns0:c r="K1150" s="29"/>
    </ns0:row>
    <ns0:row r="1151" ht="28" customHeight="1">
      <ns0:c r="A1151" s="29"/>
      <ns0:c r="B1151" s="30"/>
      <ns0:c r="C1151" s="28"/>
      <ns0:c r="D1151" s="29"/>
      <ns0:c r="E1151" s="31"/>
      <ns0:c r="F1151" s="32"/>
      <ns0:c r="G1151" s="29"/>
      <ns0:c r="H1151" s="29"/>
      <ns0:c r="I1151" s="29"/>
      <ns0:c r="J1151" s="29"/>
      <ns0:c r="K1151" s="29"/>
    </ns0:row>
    <ns0:row r="1152" ht="28" customHeight="1">
      <ns0:c r="A1152" s="29"/>
      <ns0:c r="B1152" s="30"/>
      <ns0:c r="C1152" s="28"/>
      <ns0:c r="D1152" s="29"/>
      <ns0:c r="E1152" s="31"/>
      <ns0:c r="F1152" s="32"/>
      <ns0:c r="G1152" s="29"/>
      <ns0:c r="H1152" s="29"/>
      <ns0:c r="I1152" s="29"/>
      <ns0:c r="J1152" s="29"/>
      <ns0:c r="K1152" s="29"/>
    </ns0:row>
    <ns0:row r="1153" ht="28" customHeight="1">
      <ns0:c r="A1153" s="29"/>
      <ns0:c r="B1153" s="30"/>
      <ns0:c r="C1153" s="28"/>
      <ns0:c r="D1153" s="29"/>
      <ns0:c r="E1153" s="31"/>
      <ns0:c r="F1153" s="32"/>
      <ns0:c r="G1153" s="29"/>
      <ns0:c r="H1153" s="29"/>
      <ns0:c r="I1153" s="29"/>
      <ns0:c r="J1153" s="29"/>
      <ns0:c r="K1153" s="29"/>
    </ns0:row>
    <ns0:row r="1154" ht="28" customHeight="1">
      <ns0:c r="A1154" s="29"/>
      <ns0:c r="B1154" s="30"/>
      <ns0:c r="C1154" s="28"/>
      <ns0:c r="D1154" s="29"/>
      <ns0:c r="E1154" s="31"/>
      <ns0:c r="F1154" s="32"/>
      <ns0:c r="G1154" s="29"/>
      <ns0:c r="H1154" s="29"/>
      <ns0:c r="I1154" s="29"/>
      <ns0:c r="J1154" s="29"/>
      <ns0:c r="K1154" s="29"/>
    </ns0:row>
    <ns0:row r="1155" ht="28" customHeight="1">
      <ns0:c r="A1155" s="29"/>
      <ns0:c r="B1155" s="30"/>
      <ns0:c r="C1155" s="28"/>
      <ns0:c r="D1155" s="29"/>
      <ns0:c r="E1155" s="31"/>
      <ns0:c r="F1155" s="32"/>
      <ns0:c r="G1155" s="29"/>
      <ns0:c r="H1155" s="29"/>
      <ns0:c r="I1155" s="29"/>
      <ns0:c r="J1155" s="29"/>
      <ns0:c r="K1155" s="29"/>
    </ns0:row>
    <ns0:row r="1156" ht="28" customHeight="1">
      <ns0:c r="A1156" s="29"/>
      <ns0:c r="B1156" s="30"/>
      <ns0:c r="C1156" s="28"/>
      <ns0:c r="D1156" s="29"/>
      <ns0:c r="E1156" s="31"/>
      <ns0:c r="F1156" s="32"/>
      <ns0:c r="G1156" s="29"/>
      <ns0:c r="H1156" s="29"/>
      <ns0:c r="I1156" s="29"/>
      <ns0:c r="J1156" s="29"/>
      <ns0:c r="K1156" s="29"/>
    </ns0:row>
    <ns0:row r="1157" ht="28" customHeight="1">
      <ns0:c r="A1157" s="29"/>
      <ns0:c r="B1157" s="30"/>
      <ns0:c r="C1157" s="28"/>
      <ns0:c r="D1157" s="29"/>
      <ns0:c r="E1157" s="31"/>
      <ns0:c r="F1157" s="32"/>
      <ns0:c r="G1157" s="29"/>
      <ns0:c r="H1157" s="29"/>
      <ns0:c r="I1157" s="29"/>
      <ns0:c r="J1157" s="29"/>
      <ns0:c r="K1157" s="29"/>
    </ns0:row>
    <ns0:row r="1158" ht="28" customHeight="1">
      <ns0:c r="A1158" s="29"/>
      <ns0:c r="B1158" s="30"/>
      <ns0:c r="C1158" s="28"/>
      <ns0:c r="D1158" s="29"/>
      <ns0:c r="E1158" s="31"/>
      <ns0:c r="F1158" s="32"/>
      <ns0:c r="G1158" s="29"/>
      <ns0:c r="H1158" s="29"/>
      <ns0:c r="I1158" s="29"/>
      <ns0:c r="J1158" s="29"/>
      <ns0:c r="K1158" s="29"/>
    </ns0:row>
    <ns0:row r="1159" ht="28" customHeight="1">
      <ns0:c r="A1159" s="29"/>
      <ns0:c r="B1159" s="30"/>
      <ns0:c r="C1159" s="28"/>
      <ns0:c r="D1159" s="29"/>
      <ns0:c r="E1159" s="31"/>
      <ns0:c r="F1159" s="32"/>
      <ns0:c r="G1159" s="29"/>
      <ns0:c r="H1159" s="29"/>
      <ns0:c r="I1159" s="29"/>
      <ns0:c r="J1159" s="29"/>
      <ns0:c r="K1159" s="29"/>
    </ns0:row>
    <ns0:row r="1160" ht="28" customHeight="1">
      <ns0:c r="A1160" s="29"/>
      <ns0:c r="B1160" s="30"/>
      <ns0:c r="C1160" s="28"/>
      <ns0:c r="D1160" s="29"/>
      <ns0:c r="E1160" s="31"/>
      <ns0:c r="F1160" s="32"/>
      <ns0:c r="G1160" s="29"/>
      <ns0:c r="H1160" s="29"/>
      <ns0:c r="I1160" s="29"/>
      <ns0:c r="J1160" s="29"/>
      <ns0:c r="K1160" s="29"/>
    </ns0:row>
    <ns0:row r="1161" ht="28" customHeight="1">
      <ns0:c r="A1161" s="29"/>
      <ns0:c r="B1161" s="30"/>
      <ns0:c r="C1161" s="28"/>
      <ns0:c r="D1161" s="29"/>
      <ns0:c r="E1161" s="31"/>
      <ns0:c r="F1161" s="32"/>
      <ns0:c r="G1161" s="29"/>
      <ns0:c r="H1161" s="29"/>
      <ns0:c r="I1161" s="29"/>
      <ns0:c r="J1161" s="29"/>
      <ns0:c r="K1161" s="29"/>
    </ns0:row>
    <ns0:row r="1162" ht="28" customHeight="1">
      <ns0:c r="A1162" s="29"/>
      <ns0:c r="B1162" s="30"/>
      <ns0:c r="C1162" s="28"/>
      <ns0:c r="D1162" s="29"/>
      <ns0:c r="E1162" s="31"/>
      <ns0:c r="F1162" s="32"/>
      <ns0:c r="G1162" s="29"/>
      <ns0:c r="H1162" s="29"/>
      <ns0:c r="I1162" s="29"/>
      <ns0:c r="J1162" s="29"/>
      <ns0:c r="K1162" s="29"/>
    </ns0:row>
    <ns0:row r="1163" ht="28" customHeight="1">
      <ns0:c r="A1163" s="29"/>
      <ns0:c r="B1163" s="30"/>
      <ns0:c r="C1163" s="28"/>
      <ns0:c r="D1163" s="29"/>
      <ns0:c r="E1163" s="31"/>
      <ns0:c r="F1163" s="32"/>
      <ns0:c r="G1163" s="29"/>
      <ns0:c r="H1163" s="29"/>
      <ns0:c r="I1163" s="29"/>
      <ns0:c r="J1163" s="29"/>
      <ns0:c r="K1163" s="29"/>
    </ns0:row>
    <ns0:row r="1164" ht="28" customHeight="1">
      <ns0:c r="A1164" s="29"/>
      <ns0:c r="B1164" s="30"/>
      <ns0:c r="C1164" s="28"/>
      <ns0:c r="D1164" s="29"/>
      <ns0:c r="E1164" s="31"/>
      <ns0:c r="F1164" s="32"/>
      <ns0:c r="G1164" s="29"/>
      <ns0:c r="H1164" s="29"/>
      <ns0:c r="I1164" s="29"/>
      <ns0:c r="J1164" s="29"/>
      <ns0:c r="K1164" s="29"/>
    </ns0:row>
    <ns0:row r="1165" ht="28" customHeight="1">
      <ns0:c r="A1165" s="29"/>
      <ns0:c r="B1165" s="30"/>
      <ns0:c r="C1165" s="28"/>
      <ns0:c r="D1165" s="29"/>
      <ns0:c r="E1165" s="31"/>
      <ns0:c r="F1165" s="32"/>
      <ns0:c r="G1165" s="29"/>
      <ns0:c r="H1165" s="29"/>
      <ns0:c r="I1165" s="29"/>
      <ns0:c r="J1165" s="29"/>
      <ns0:c r="K1165" s="29"/>
    </ns0:row>
    <ns0:row r="1166" ht="28" customHeight="1">
      <ns0:c r="A1166" s="29"/>
      <ns0:c r="B1166" s="30"/>
      <ns0:c r="C1166" s="28"/>
      <ns0:c r="D1166" s="29"/>
      <ns0:c r="E1166" s="31"/>
      <ns0:c r="F1166" s="32"/>
      <ns0:c r="G1166" s="29"/>
      <ns0:c r="H1166" s="29"/>
      <ns0:c r="I1166" s="29"/>
      <ns0:c r="J1166" s="29"/>
      <ns0:c r="K1166" s="29"/>
    </ns0:row>
    <ns0:row r="1167" ht="28" customHeight="1">
      <ns0:c r="A1167" s="29"/>
      <ns0:c r="B1167" s="30"/>
      <ns0:c r="C1167" s="28"/>
      <ns0:c r="D1167" s="29"/>
      <ns0:c r="E1167" s="31"/>
      <ns0:c r="F1167" s="32"/>
      <ns0:c r="G1167" s="29"/>
      <ns0:c r="H1167" s="29"/>
      <ns0:c r="I1167" s="29"/>
      <ns0:c r="J1167" s="29"/>
      <ns0:c r="K1167" s="29"/>
    </ns0:row>
    <ns0:row r="1168" ht="28" customHeight="1">
      <ns0:c r="A1168" s="29"/>
      <ns0:c r="B1168" s="30"/>
      <ns0:c r="C1168" s="28"/>
      <ns0:c r="D1168" s="29"/>
      <ns0:c r="E1168" s="31"/>
      <ns0:c r="F1168" s="32"/>
      <ns0:c r="G1168" s="29"/>
      <ns0:c r="H1168" s="29"/>
      <ns0:c r="I1168" s="29"/>
      <ns0:c r="J1168" s="29"/>
      <ns0:c r="K1168" s="29"/>
    </ns0:row>
    <ns0:row r="1169" ht="28" customHeight="1">
      <ns0:c r="A1169" s="29"/>
      <ns0:c r="B1169" s="30"/>
      <ns0:c r="C1169" s="28"/>
      <ns0:c r="D1169" s="29"/>
      <ns0:c r="E1169" s="31"/>
      <ns0:c r="F1169" s="32"/>
      <ns0:c r="G1169" s="29"/>
      <ns0:c r="H1169" s="29"/>
      <ns0:c r="I1169" s="29"/>
      <ns0:c r="J1169" s="29"/>
      <ns0:c r="K1169" s="29"/>
    </ns0:row>
    <ns0:row r="1170" ht="28" customHeight="1">
      <ns0:c r="A1170" s="29"/>
      <ns0:c r="B1170" s="30"/>
      <ns0:c r="C1170" s="28"/>
      <ns0:c r="D1170" s="29"/>
      <ns0:c r="E1170" s="31"/>
      <ns0:c r="F1170" s="32"/>
      <ns0:c r="G1170" s="29"/>
      <ns0:c r="H1170" s="29"/>
      <ns0:c r="I1170" s="29"/>
      <ns0:c r="J1170" s="29"/>
      <ns0:c r="K1170" s="29"/>
    </ns0:row>
    <ns0:row r="1171" ht="28" customHeight="1">
      <ns0:c r="A1171" s="29"/>
      <ns0:c r="B1171" s="30"/>
      <ns0:c r="C1171" s="28"/>
      <ns0:c r="D1171" s="29"/>
      <ns0:c r="E1171" s="31"/>
      <ns0:c r="F1171" s="32"/>
      <ns0:c r="G1171" s="29"/>
      <ns0:c r="H1171" s="29"/>
      <ns0:c r="I1171" s="29"/>
      <ns0:c r="J1171" s="29"/>
      <ns0:c r="K1171" s="29"/>
    </ns0:row>
    <ns0:row r="1172" ht="28" customHeight="1">
      <ns0:c r="A1172" s="29"/>
      <ns0:c r="B1172" s="30"/>
      <ns0:c r="C1172" s="28"/>
      <ns0:c r="D1172" s="29"/>
      <ns0:c r="E1172" s="31"/>
      <ns0:c r="F1172" s="32"/>
      <ns0:c r="G1172" s="29"/>
      <ns0:c r="H1172" s="29"/>
      <ns0:c r="I1172" s="29"/>
      <ns0:c r="J1172" s="29"/>
      <ns0:c r="K1172" s="29"/>
    </ns0:row>
    <ns0:row r="1173" ht="28" customHeight="1">
      <ns0:c r="A1173" s="29"/>
      <ns0:c r="B1173" s="30"/>
      <ns0:c r="C1173" s="28"/>
      <ns0:c r="D1173" s="29"/>
      <ns0:c r="E1173" s="31"/>
      <ns0:c r="F1173" s="32"/>
      <ns0:c r="G1173" s="29"/>
      <ns0:c r="H1173" s="29"/>
      <ns0:c r="I1173" s="29"/>
      <ns0:c r="J1173" s="29"/>
      <ns0:c r="K1173" s="29"/>
    </ns0:row>
    <ns0:row r="1174" ht="28" customHeight="1">
      <ns0:c r="A1174" s="29"/>
      <ns0:c r="B1174" s="30"/>
      <ns0:c r="C1174" s="28"/>
      <ns0:c r="D1174" s="29"/>
      <ns0:c r="E1174" s="31"/>
      <ns0:c r="F1174" s="32"/>
      <ns0:c r="G1174" s="29"/>
      <ns0:c r="H1174" s="29"/>
      <ns0:c r="I1174" s="29"/>
      <ns0:c r="J1174" s="29"/>
      <ns0:c r="K1174" s="29"/>
    </ns0:row>
    <ns0:row r="1175" ht="28" customHeight="1">
      <ns0:c r="A1175" s="29"/>
      <ns0:c r="B1175" s="30"/>
      <ns0:c r="C1175" s="28"/>
      <ns0:c r="D1175" s="29"/>
      <ns0:c r="E1175" s="31"/>
      <ns0:c r="F1175" s="32"/>
      <ns0:c r="G1175" s="29"/>
      <ns0:c r="H1175" s="29"/>
      <ns0:c r="I1175" s="29"/>
      <ns0:c r="J1175" s="29"/>
      <ns0:c r="K1175" s="29"/>
    </ns0:row>
    <ns0:row r="1176" ht="28" customHeight="1">
      <ns0:c r="A1176" s="29"/>
      <ns0:c r="B1176" s="30"/>
      <ns0:c r="C1176" s="28"/>
      <ns0:c r="D1176" s="29"/>
      <ns0:c r="E1176" s="31"/>
      <ns0:c r="F1176" s="32"/>
      <ns0:c r="G1176" s="29"/>
      <ns0:c r="H1176" s="29"/>
      <ns0:c r="I1176" s="29"/>
      <ns0:c r="J1176" s="29"/>
      <ns0:c r="K1176" s="29"/>
    </ns0:row>
    <ns0:row r="1177" ht="28" customHeight="1">
      <ns0:c r="A1177" s="29"/>
      <ns0:c r="B1177" s="30"/>
      <ns0:c r="C1177" s="28"/>
      <ns0:c r="D1177" s="29"/>
      <ns0:c r="E1177" s="31"/>
      <ns0:c r="F1177" s="32"/>
      <ns0:c r="G1177" s="29"/>
      <ns0:c r="H1177" s="29"/>
      <ns0:c r="I1177" s="29"/>
      <ns0:c r="J1177" s="29"/>
      <ns0:c r="K1177" s="29"/>
    </ns0:row>
    <ns0:row r="1178" ht="28" customHeight="1">
      <ns0:c r="A1178" s="29"/>
      <ns0:c r="B1178" s="30"/>
      <ns0:c r="C1178" s="28"/>
      <ns0:c r="D1178" s="29"/>
      <ns0:c r="E1178" s="31"/>
      <ns0:c r="F1178" s="32"/>
      <ns0:c r="G1178" s="29"/>
      <ns0:c r="H1178" s="29"/>
      <ns0:c r="I1178" s="29"/>
      <ns0:c r="J1178" s="29"/>
      <ns0:c r="K1178" s="29"/>
    </ns0:row>
    <ns0:row r="1179" ht="28" customHeight="1">
      <ns0:c r="A1179" s="29"/>
      <ns0:c r="B1179" s="30"/>
      <ns0:c r="C1179" s="28"/>
      <ns0:c r="D1179" s="29"/>
      <ns0:c r="E1179" s="31"/>
      <ns0:c r="F1179" s="32"/>
      <ns0:c r="G1179" s="29"/>
      <ns0:c r="H1179" s="29"/>
      <ns0:c r="I1179" s="29"/>
      <ns0:c r="J1179" s="29"/>
      <ns0:c r="K1179" s="29"/>
    </ns0:row>
    <ns0:row r="1180" ht="28" customHeight="1">
      <ns0:c r="A1180" s="29"/>
      <ns0:c r="B1180" s="30"/>
      <ns0:c r="C1180" s="28"/>
      <ns0:c r="D1180" s="29"/>
      <ns0:c r="E1180" s="31"/>
      <ns0:c r="F1180" s="32"/>
      <ns0:c r="G1180" s="29"/>
      <ns0:c r="H1180" s="29"/>
      <ns0:c r="I1180" s="29"/>
      <ns0:c r="J1180" s="29"/>
      <ns0:c r="K1180" s="29"/>
    </ns0:row>
    <ns0:row r="1181" ht="28" customHeight="1">
      <ns0:c r="A1181" s="29"/>
      <ns0:c r="B1181" s="30"/>
      <ns0:c r="C1181" s="28"/>
      <ns0:c r="D1181" s="29"/>
      <ns0:c r="E1181" s="31"/>
      <ns0:c r="F1181" s="32"/>
      <ns0:c r="G1181" s="29"/>
      <ns0:c r="H1181" s="29"/>
      <ns0:c r="I1181" s="29"/>
      <ns0:c r="J1181" s="29"/>
      <ns0:c r="K1181" s="29"/>
    </ns0:row>
    <ns0:row r="1182" ht="28" customHeight="1">
      <ns0:c r="A1182" s="29"/>
      <ns0:c r="B1182" s="30"/>
      <ns0:c r="C1182" s="28"/>
      <ns0:c r="D1182" s="29"/>
      <ns0:c r="E1182" s="31"/>
      <ns0:c r="F1182" s="32"/>
      <ns0:c r="G1182" s="29"/>
      <ns0:c r="H1182" s="29"/>
      <ns0:c r="I1182" s="29"/>
      <ns0:c r="J1182" s="29"/>
      <ns0:c r="K1182" s="29"/>
    </ns0:row>
    <ns0:row r="1183" ht="28" customHeight="1">
      <ns0:c r="A1183" s="29"/>
      <ns0:c r="B1183" s="30"/>
      <ns0:c r="C1183" s="28"/>
      <ns0:c r="D1183" s="29"/>
      <ns0:c r="E1183" s="31"/>
      <ns0:c r="F1183" s="32"/>
      <ns0:c r="G1183" s="29"/>
      <ns0:c r="H1183" s="29"/>
      <ns0:c r="I1183" s="29"/>
      <ns0:c r="J1183" s="29"/>
      <ns0:c r="K1183" s="29"/>
    </ns0:row>
    <ns0:row r="1184" ht="28" customHeight="1">
      <ns0:c r="A1184" s="29"/>
      <ns0:c r="B1184" s="30"/>
      <ns0:c r="C1184" s="28"/>
      <ns0:c r="D1184" s="29"/>
      <ns0:c r="E1184" s="31"/>
      <ns0:c r="F1184" s="32"/>
      <ns0:c r="G1184" s="29"/>
      <ns0:c r="H1184" s="29"/>
      <ns0:c r="I1184" s="29"/>
      <ns0:c r="J1184" s="29"/>
      <ns0:c r="K1184" s="29"/>
    </ns0:row>
    <ns0:row r="1185" ht="28" customHeight="1">
      <ns0:c r="A1185" s="29"/>
      <ns0:c r="B1185" s="30"/>
      <ns0:c r="C1185" s="28"/>
      <ns0:c r="D1185" s="29"/>
      <ns0:c r="E1185" s="31"/>
      <ns0:c r="F1185" s="32"/>
      <ns0:c r="G1185" s="29"/>
      <ns0:c r="H1185" s="29"/>
      <ns0:c r="I1185" s="29"/>
      <ns0:c r="J1185" s="29"/>
      <ns0:c r="K1185" s="29"/>
    </ns0:row>
    <ns0:row r="1186" ht="28" customHeight="1">
      <ns0:c r="A1186" s="29"/>
      <ns0:c r="B1186" s="30"/>
      <ns0:c r="C1186" s="28"/>
      <ns0:c r="D1186" s="29"/>
      <ns0:c r="E1186" s="31"/>
      <ns0:c r="F1186" s="32"/>
      <ns0:c r="G1186" s="29"/>
      <ns0:c r="H1186" s="29"/>
      <ns0:c r="I1186" s="29"/>
      <ns0:c r="J1186" s="29"/>
      <ns0:c r="K1186" s="29"/>
    </ns0:row>
    <ns0:row r="1187" ht="28" customHeight="1">
      <ns0:c r="A1187" s="29"/>
      <ns0:c r="B1187" s="30"/>
      <ns0:c r="C1187" s="28"/>
      <ns0:c r="D1187" s="29"/>
      <ns0:c r="E1187" s="31"/>
      <ns0:c r="F1187" s="32"/>
      <ns0:c r="G1187" s="29"/>
      <ns0:c r="H1187" s="29"/>
      <ns0:c r="I1187" s="29"/>
      <ns0:c r="J1187" s="29"/>
      <ns0:c r="K1187" s="29"/>
    </ns0:row>
    <ns0:row r="1188" ht="28" customHeight="1">
      <ns0:c r="A1188" s="29"/>
      <ns0:c r="B1188" s="30"/>
      <ns0:c r="C1188" s="28"/>
      <ns0:c r="D1188" s="29"/>
      <ns0:c r="E1188" s="31"/>
      <ns0:c r="F1188" s="32"/>
      <ns0:c r="G1188" s="29"/>
      <ns0:c r="H1188" s="29"/>
      <ns0:c r="I1188" s="29"/>
      <ns0:c r="J1188" s="29"/>
      <ns0:c r="K1188" s="29"/>
    </ns0:row>
    <ns0:row r="1189" ht="28" customHeight="1">
      <ns0:c r="A1189" s="29"/>
      <ns0:c r="B1189" s="30"/>
      <ns0:c r="C1189" s="28"/>
      <ns0:c r="D1189" s="29"/>
      <ns0:c r="E1189" s="31"/>
      <ns0:c r="F1189" s="32"/>
      <ns0:c r="G1189" s="29"/>
      <ns0:c r="H1189" s="29"/>
      <ns0:c r="I1189" s="29"/>
      <ns0:c r="J1189" s="29"/>
      <ns0:c r="K1189" s="29"/>
    </ns0:row>
    <ns0:row r="1190" ht="28" customHeight="1">
      <ns0:c r="A1190" s="29"/>
      <ns0:c r="B1190" s="30"/>
      <ns0:c r="C1190" s="28"/>
      <ns0:c r="D1190" s="29"/>
      <ns0:c r="E1190" s="31"/>
      <ns0:c r="F1190" s="32"/>
      <ns0:c r="G1190" s="29"/>
      <ns0:c r="H1190" s="29"/>
      <ns0:c r="I1190" s="29"/>
      <ns0:c r="J1190" s="29"/>
      <ns0:c r="K1190" s="29"/>
    </ns0:row>
    <ns0:row r="1191" ht="28" customHeight="1">
      <ns0:c r="A1191" s="29"/>
      <ns0:c r="B1191" s="30"/>
      <ns0:c r="C1191" s="28"/>
      <ns0:c r="D1191" s="29"/>
      <ns0:c r="E1191" s="31"/>
      <ns0:c r="F1191" s="32"/>
      <ns0:c r="G1191" s="29"/>
      <ns0:c r="H1191" s="29"/>
      <ns0:c r="I1191" s="29"/>
      <ns0:c r="J1191" s="29"/>
      <ns0:c r="K1191" s="29"/>
    </ns0:row>
    <ns0:row r="1192" ht="28" customHeight="1">
      <ns0:c r="A1192" s="29"/>
      <ns0:c r="B1192" s="30"/>
      <ns0:c r="C1192" s="28"/>
      <ns0:c r="D1192" s="29"/>
      <ns0:c r="E1192" s="31"/>
      <ns0:c r="F1192" s="32"/>
      <ns0:c r="G1192" s="29"/>
      <ns0:c r="H1192" s="29"/>
      <ns0:c r="I1192" s="29"/>
      <ns0:c r="J1192" s="29"/>
      <ns0:c r="K1192" s="29"/>
    </ns0:row>
    <ns0:row r="1193" ht="28" customHeight="1">
      <ns0:c r="A1193" s="29"/>
      <ns0:c r="B1193" s="30"/>
      <ns0:c r="C1193" s="28"/>
      <ns0:c r="D1193" s="29"/>
      <ns0:c r="E1193" s="31"/>
      <ns0:c r="F1193" s="32"/>
      <ns0:c r="G1193" s="29"/>
      <ns0:c r="H1193" s="29"/>
      <ns0:c r="I1193" s="29"/>
      <ns0:c r="J1193" s="29"/>
      <ns0:c r="K1193" s="29"/>
    </ns0:row>
    <ns0:row r="1194" ht="28" customHeight="1">
      <ns0:c r="A1194" s="29"/>
      <ns0:c r="B1194" s="30"/>
      <ns0:c r="C1194" s="28"/>
      <ns0:c r="D1194" s="29"/>
      <ns0:c r="E1194" s="31"/>
      <ns0:c r="F1194" s="32"/>
      <ns0:c r="G1194" s="29"/>
      <ns0:c r="H1194" s="29"/>
      <ns0:c r="I1194" s="29"/>
      <ns0:c r="J1194" s="29"/>
      <ns0:c r="K1194" s="29"/>
    </ns0:row>
    <ns0:row r="1195" ht="28" customHeight="1">
      <ns0:c r="A1195" s="29"/>
      <ns0:c r="B1195" s="30"/>
      <ns0:c r="C1195" s="28"/>
      <ns0:c r="D1195" s="29"/>
      <ns0:c r="E1195" s="31"/>
      <ns0:c r="F1195" s="32"/>
      <ns0:c r="G1195" s="29"/>
      <ns0:c r="H1195" s="29"/>
      <ns0:c r="I1195" s="29"/>
      <ns0:c r="J1195" s="29"/>
      <ns0:c r="K1195" s="29"/>
    </ns0:row>
    <ns0:row r="1196" ht="28" customHeight="1">
      <ns0:c r="A1196" s="29"/>
      <ns0:c r="B1196" s="30"/>
      <ns0:c r="C1196" s="28"/>
      <ns0:c r="D1196" s="29"/>
      <ns0:c r="E1196" s="31"/>
      <ns0:c r="F1196" s="32"/>
      <ns0:c r="G1196" s="29"/>
      <ns0:c r="H1196" s="29"/>
      <ns0:c r="I1196" s="29"/>
      <ns0:c r="J1196" s="29"/>
      <ns0:c r="K1196" s="29"/>
    </ns0:row>
    <ns0:row r="1197" ht="28" customHeight="1">
      <ns0:c r="A1197" s="29"/>
      <ns0:c r="B1197" s="30"/>
      <ns0:c r="C1197" s="28"/>
      <ns0:c r="D1197" s="29"/>
      <ns0:c r="E1197" s="31"/>
      <ns0:c r="F1197" s="32"/>
      <ns0:c r="G1197" s="29"/>
      <ns0:c r="H1197" s="29"/>
      <ns0:c r="I1197" s="29"/>
      <ns0:c r="J1197" s="29"/>
      <ns0:c r="K1197" s="29"/>
    </ns0:row>
    <ns0:row r="1198" ht="28" customHeight="1">
      <ns0:c r="A1198" s="29"/>
      <ns0:c r="B1198" s="30"/>
      <ns0:c r="C1198" s="28"/>
      <ns0:c r="D1198" s="29"/>
      <ns0:c r="E1198" s="31"/>
      <ns0:c r="F1198" s="32"/>
      <ns0:c r="G1198" s="29"/>
      <ns0:c r="H1198" s="29"/>
      <ns0:c r="I1198" s="29"/>
      <ns0:c r="J1198" s="29"/>
      <ns0:c r="K1198" s="29"/>
    </ns0:row>
    <ns0:row r="1199" ht="28" customHeight="1">
      <ns0:c r="A1199" s="29"/>
      <ns0:c r="B1199" s="30"/>
      <ns0:c r="C1199" s="28"/>
      <ns0:c r="D1199" s="29"/>
      <ns0:c r="E1199" s="31"/>
      <ns0:c r="F1199" s="32"/>
      <ns0:c r="G1199" s="29"/>
      <ns0:c r="H1199" s="29"/>
      <ns0:c r="I1199" s="29"/>
      <ns0:c r="J1199" s="29"/>
      <ns0:c r="K1199" s="29"/>
    </ns0:row>
    <ns0:row r="1200" ht="28" customHeight="1">
      <ns0:c r="A1200" s="29"/>
      <ns0:c r="B1200" s="30"/>
      <ns0:c r="C1200" s="28"/>
      <ns0:c r="D1200" s="29"/>
      <ns0:c r="E1200" s="31"/>
      <ns0:c r="F1200" s="32"/>
      <ns0:c r="G1200" s="29"/>
      <ns0:c r="H1200" s="29"/>
      <ns0:c r="I1200" s="29"/>
      <ns0:c r="J1200" s="29"/>
      <ns0:c r="K1200" s="29"/>
    </ns0:row>
    <ns0:row r="1201" ht="28" customHeight="1">
      <ns0:c r="A1201" s="29"/>
      <ns0:c r="B1201" s="30"/>
      <ns0:c r="C1201" s="28"/>
      <ns0:c r="D1201" s="29"/>
      <ns0:c r="E1201" s="31"/>
      <ns0:c r="F1201" s="32"/>
      <ns0:c r="G1201" s="29"/>
      <ns0:c r="H1201" s="29"/>
      <ns0:c r="I1201" s="29"/>
      <ns0:c r="J1201" s="29"/>
      <ns0:c r="K1201" s="29"/>
    </ns0:row>
    <ns0:row r="1202" ht="28" customHeight="1">
      <ns0:c r="A1202" s="29"/>
      <ns0:c r="B1202" s="30"/>
      <ns0:c r="C1202" s="28"/>
      <ns0:c r="D1202" s="29"/>
      <ns0:c r="E1202" s="31"/>
      <ns0:c r="F1202" s="32"/>
      <ns0:c r="G1202" s="29"/>
      <ns0:c r="H1202" s="29"/>
      <ns0:c r="I1202" s="29"/>
      <ns0:c r="J1202" s="29"/>
      <ns0:c r="K1202" s="29"/>
    </ns0:row>
    <ns0:row r="1203" ht="28" customHeight="1">
      <ns0:c r="A1203" s="29"/>
      <ns0:c r="B1203" s="30"/>
      <ns0:c r="C1203" s="28"/>
      <ns0:c r="D1203" s="29"/>
      <ns0:c r="E1203" s="31"/>
      <ns0:c r="F1203" s="32"/>
      <ns0:c r="G1203" s="29"/>
      <ns0:c r="H1203" s="29"/>
      <ns0:c r="I1203" s="29"/>
      <ns0:c r="J1203" s="29"/>
      <ns0:c r="K1203" s="29"/>
    </ns0:row>
    <ns0:row r="1204" ht="28" customHeight="1">
      <ns0:c r="A1204" s="29"/>
      <ns0:c r="B1204" s="30"/>
      <ns0:c r="C1204" s="28"/>
      <ns0:c r="D1204" s="29"/>
      <ns0:c r="E1204" s="31"/>
      <ns0:c r="F1204" s="32"/>
      <ns0:c r="G1204" s="29"/>
      <ns0:c r="H1204" s="29"/>
      <ns0:c r="I1204" s="29"/>
      <ns0:c r="J1204" s="29"/>
      <ns0:c r="K1204" s="29"/>
    </ns0:row>
    <ns0:row r="1205" ht="28" customHeight="1">
      <ns0:c r="A1205" s="29"/>
      <ns0:c r="B1205" s="30"/>
      <ns0:c r="C1205" s="28"/>
      <ns0:c r="D1205" s="29"/>
      <ns0:c r="E1205" s="31"/>
      <ns0:c r="F1205" s="32"/>
      <ns0:c r="G1205" s="29"/>
      <ns0:c r="H1205" s="29"/>
      <ns0:c r="I1205" s="29"/>
      <ns0:c r="J1205" s="29"/>
      <ns0:c r="K1205" s="29"/>
    </ns0:row>
    <ns0:row r="1206" ht="28" customHeight="1">
      <ns0:c r="A1206" s="29"/>
      <ns0:c r="B1206" s="30"/>
      <ns0:c r="C1206" s="28"/>
      <ns0:c r="D1206" s="29"/>
      <ns0:c r="E1206" s="31"/>
      <ns0:c r="F1206" s="32"/>
      <ns0:c r="G1206" s="29"/>
      <ns0:c r="H1206" s="29"/>
      <ns0:c r="I1206" s="29"/>
      <ns0:c r="J1206" s="29"/>
      <ns0:c r="K1206" s="29"/>
    </ns0:row>
    <ns0:row r="1207" ht="28" customHeight="1">
      <ns0:c r="A1207" s="29"/>
      <ns0:c r="B1207" s="30"/>
      <ns0:c r="C1207" s="28"/>
      <ns0:c r="D1207" s="29"/>
      <ns0:c r="E1207" s="31"/>
      <ns0:c r="F1207" s="32"/>
      <ns0:c r="G1207" s="29"/>
      <ns0:c r="H1207" s="29"/>
      <ns0:c r="I1207" s="29"/>
      <ns0:c r="J1207" s="29"/>
      <ns0:c r="K1207" s="29"/>
    </ns0:row>
    <ns0:row r="1208" ht="28" customHeight="1">
      <ns0:c r="A1208" s="29"/>
      <ns0:c r="B1208" s="30"/>
      <ns0:c r="C1208" s="28"/>
      <ns0:c r="D1208" s="29"/>
      <ns0:c r="E1208" s="31"/>
      <ns0:c r="F1208" s="32"/>
      <ns0:c r="G1208" s="29"/>
      <ns0:c r="H1208" s="29"/>
      <ns0:c r="I1208" s="29"/>
      <ns0:c r="J1208" s="29"/>
      <ns0:c r="K1208" s="29"/>
    </ns0:row>
    <ns0:row r="1209" ht="28" customHeight="1">
      <ns0:c r="A1209" s="29"/>
      <ns0:c r="B1209" s="30"/>
      <ns0:c r="C1209" s="28"/>
      <ns0:c r="D1209" s="29"/>
      <ns0:c r="E1209" s="31"/>
      <ns0:c r="F1209" s="32"/>
      <ns0:c r="G1209" s="29"/>
      <ns0:c r="H1209" s="29"/>
      <ns0:c r="I1209" s="29"/>
      <ns0:c r="J1209" s="29"/>
      <ns0:c r="K1209" s="29"/>
    </ns0:row>
    <ns0:row r="1210" ht="28" customHeight="1">
      <ns0:c r="A1210" s="29"/>
      <ns0:c r="B1210" s="30"/>
      <ns0:c r="C1210" s="28"/>
      <ns0:c r="D1210" s="29"/>
      <ns0:c r="E1210" s="31"/>
      <ns0:c r="F1210" s="32"/>
      <ns0:c r="G1210" s="29"/>
      <ns0:c r="H1210" s="29"/>
      <ns0:c r="I1210" s="29"/>
      <ns0:c r="J1210" s="29"/>
      <ns0:c r="K1210" s="29"/>
    </ns0:row>
    <ns0:row r="1211" ht="28" customHeight="1">
      <ns0:c r="A1211" s="29"/>
      <ns0:c r="B1211" s="30"/>
      <ns0:c r="C1211" s="28"/>
      <ns0:c r="D1211" s="29"/>
      <ns0:c r="E1211" s="31"/>
      <ns0:c r="F1211" s="32"/>
      <ns0:c r="G1211" s="29"/>
      <ns0:c r="H1211" s="29"/>
      <ns0:c r="I1211" s="29"/>
      <ns0:c r="J1211" s="29"/>
      <ns0:c r="K1211" s="29"/>
    </ns0:row>
    <ns0:row r="1212" ht="28" customHeight="1">
      <ns0:c r="A1212" s="29"/>
      <ns0:c r="B1212" s="30"/>
      <ns0:c r="C1212" s="28"/>
      <ns0:c r="D1212" s="29"/>
      <ns0:c r="E1212" s="31"/>
      <ns0:c r="F1212" s="32"/>
      <ns0:c r="G1212" s="29"/>
      <ns0:c r="H1212" s="29"/>
      <ns0:c r="I1212" s="29"/>
      <ns0:c r="J1212" s="29"/>
      <ns0:c r="K1212" s="29"/>
    </ns0:row>
    <ns0:row r="1213" ht="28" customHeight="1">
      <ns0:c r="A1213" s="29"/>
      <ns0:c r="B1213" s="30"/>
      <ns0:c r="C1213" s="28"/>
      <ns0:c r="D1213" s="29"/>
      <ns0:c r="E1213" s="31"/>
      <ns0:c r="F1213" s="32"/>
      <ns0:c r="G1213" s="29"/>
      <ns0:c r="H1213" s="29"/>
      <ns0:c r="I1213" s="29"/>
      <ns0:c r="J1213" s="29"/>
      <ns0:c r="K1213" s="29"/>
    </ns0:row>
    <ns0:row r="1214" ht="28" customHeight="1">
      <ns0:c r="A1214" s="29"/>
      <ns0:c r="B1214" s="30"/>
      <ns0:c r="C1214" s="28"/>
      <ns0:c r="D1214" s="29"/>
      <ns0:c r="E1214" s="31"/>
      <ns0:c r="F1214" s="32"/>
      <ns0:c r="G1214" s="29"/>
      <ns0:c r="H1214" s="29"/>
      <ns0:c r="I1214" s="29"/>
      <ns0:c r="J1214" s="29"/>
      <ns0:c r="K1214" s="29"/>
    </ns0:row>
    <ns0:row r="1215" ht="28" customHeight="1">
      <ns0:c r="A1215" s="29"/>
      <ns0:c r="B1215" s="30"/>
      <ns0:c r="C1215" s="28"/>
      <ns0:c r="D1215" s="29"/>
      <ns0:c r="E1215" s="31"/>
      <ns0:c r="F1215" s="32"/>
      <ns0:c r="G1215" s="29"/>
      <ns0:c r="H1215" s="29"/>
      <ns0:c r="I1215" s="29"/>
      <ns0:c r="J1215" s="29"/>
      <ns0:c r="K1215" s="29"/>
    </ns0:row>
    <ns0:row r="1216" ht="28" customHeight="1">
      <ns0:c r="A1216" s="29"/>
      <ns0:c r="B1216" s="30"/>
      <ns0:c r="C1216" s="28"/>
      <ns0:c r="D1216" s="29"/>
      <ns0:c r="E1216" s="31"/>
      <ns0:c r="F1216" s="32"/>
      <ns0:c r="G1216" s="29"/>
      <ns0:c r="H1216" s="29"/>
      <ns0:c r="I1216" s="29"/>
      <ns0:c r="J1216" s="29"/>
      <ns0:c r="K1216" s="29"/>
    </ns0:row>
    <ns0:row r="1217" ht="28" customHeight="1">
      <ns0:c r="A1217" s="29"/>
      <ns0:c r="B1217" s="30"/>
      <ns0:c r="C1217" s="28"/>
      <ns0:c r="D1217" s="29"/>
      <ns0:c r="E1217" s="31"/>
      <ns0:c r="F1217" s="32"/>
      <ns0:c r="G1217" s="29"/>
      <ns0:c r="H1217" s="29"/>
      <ns0:c r="I1217" s="29"/>
      <ns0:c r="J1217" s="29"/>
      <ns0:c r="K1217" s="29"/>
    </ns0:row>
    <ns0:row r="1218" ht="28" customHeight="1">
      <ns0:c r="A1218" s="29"/>
      <ns0:c r="B1218" s="30"/>
      <ns0:c r="C1218" s="28"/>
      <ns0:c r="D1218" s="29"/>
      <ns0:c r="E1218" s="31"/>
      <ns0:c r="F1218" s="32"/>
      <ns0:c r="G1218" s="29"/>
      <ns0:c r="H1218" s="29"/>
      <ns0:c r="I1218" s="29"/>
      <ns0:c r="J1218" s="29"/>
      <ns0:c r="K1218" s="29"/>
    </ns0:row>
    <ns0:row r="1219" ht="28" customHeight="1">
      <ns0:c r="A1219" s="29"/>
      <ns0:c r="B1219" s="30"/>
      <ns0:c r="C1219" s="28"/>
      <ns0:c r="D1219" s="29"/>
      <ns0:c r="E1219" s="31"/>
      <ns0:c r="F1219" s="32"/>
      <ns0:c r="G1219" s="29"/>
      <ns0:c r="H1219" s="29"/>
      <ns0:c r="I1219" s="29"/>
      <ns0:c r="J1219" s="29"/>
      <ns0:c r="K1219" s="29"/>
    </ns0:row>
    <ns0:row r="1220" ht="28" customHeight="1">
      <ns0:c r="A1220" s="29"/>
      <ns0:c r="B1220" s="30"/>
      <ns0:c r="C1220" s="28"/>
      <ns0:c r="D1220" s="29"/>
      <ns0:c r="E1220" s="31"/>
      <ns0:c r="F1220" s="32"/>
      <ns0:c r="G1220" s="29"/>
      <ns0:c r="H1220" s="29"/>
      <ns0:c r="I1220" s="29"/>
      <ns0:c r="J1220" s="29"/>
      <ns0:c r="K1220" s="29"/>
    </ns0:row>
    <ns0:row r="1221" ht="28" customHeight="1">
      <ns0:c r="A1221" s="29"/>
      <ns0:c r="B1221" s="30"/>
      <ns0:c r="C1221" s="28"/>
      <ns0:c r="D1221" s="29"/>
      <ns0:c r="E1221" s="31"/>
      <ns0:c r="F1221" s="32"/>
      <ns0:c r="G1221" s="29"/>
      <ns0:c r="H1221" s="29"/>
      <ns0:c r="I1221" s="29"/>
      <ns0:c r="J1221" s="29"/>
      <ns0:c r="K1221" s="29"/>
    </ns0:row>
    <ns0:row r="1222" ht="28" customHeight="1">
      <ns0:c r="A1222" s="29"/>
      <ns0:c r="B1222" s="30"/>
      <ns0:c r="C1222" s="28"/>
      <ns0:c r="D1222" s="29"/>
      <ns0:c r="E1222" s="31"/>
      <ns0:c r="F1222" s="32"/>
      <ns0:c r="G1222" s="29"/>
      <ns0:c r="H1222" s="29"/>
      <ns0:c r="I1222" s="29"/>
      <ns0:c r="J1222" s="29"/>
      <ns0:c r="K1222" s="29"/>
    </ns0:row>
    <ns0:row r="1223" ht="28" customHeight="1">
      <ns0:c r="A1223" s="29"/>
      <ns0:c r="B1223" s="30"/>
      <ns0:c r="C1223" s="28"/>
      <ns0:c r="D1223" s="29"/>
      <ns0:c r="E1223" s="31"/>
      <ns0:c r="F1223" s="32"/>
      <ns0:c r="G1223" s="29"/>
      <ns0:c r="H1223" s="29"/>
      <ns0:c r="I1223" s="29"/>
      <ns0:c r="J1223" s="29"/>
      <ns0:c r="K1223" s="29"/>
    </ns0:row>
    <ns0:row r="1224" ht="28" customHeight="1">
      <ns0:c r="A1224" s="29"/>
      <ns0:c r="B1224" s="30"/>
      <ns0:c r="C1224" s="28"/>
      <ns0:c r="D1224" s="29"/>
      <ns0:c r="E1224" s="31"/>
      <ns0:c r="F1224" s="32"/>
      <ns0:c r="G1224" s="29"/>
      <ns0:c r="H1224" s="29"/>
      <ns0:c r="I1224" s="29"/>
      <ns0:c r="J1224" s="29"/>
      <ns0:c r="K1224" s="29"/>
    </ns0:row>
    <ns0:row r="1225" ht="28" customHeight="1">
      <ns0:c r="A1225" s="29"/>
      <ns0:c r="B1225" s="30"/>
      <ns0:c r="C1225" s="28"/>
      <ns0:c r="D1225" s="29"/>
      <ns0:c r="E1225" s="31"/>
      <ns0:c r="F1225" s="32"/>
      <ns0:c r="G1225" s="29"/>
      <ns0:c r="H1225" s="29"/>
      <ns0:c r="I1225" s="29"/>
      <ns0:c r="J1225" s="29"/>
      <ns0:c r="K1225" s="29"/>
    </ns0:row>
    <ns0:row r="1226" ht="28" customHeight="1">
      <ns0:c r="A1226" s="29"/>
      <ns0:c r="B1226" s="30"/>
      <ns0:c r="C1226" s="28"/>
      <ns0:c r="D1226" s="29"/>
      <ns0:c r="E1226" s="31"/>
      <ns0:c r="F1226" s="32"/>
      <ns0:c r="G1226" s="29"/>
      <ns0:c r="H1226" s="29"/>
      <ns0:c r="I1226" s="29"/>
      <ns0:c r="J1226" s="29"/>
      <ns0:c r="K1226" s="29"/>
    </ns0:row>
    <ns0:row r="1227" ht="28" customHeight="1">
      <ns0:c r="A1227" s="29"/>
      <ns0:c r="B1227" s="30"/>
      <ns0:c r="C1227" s="28"/>
      <ns0:c r="D1227" s="29"/>
      <ns0:c r="E1227" s="31"/>
      <ns0:c r="F1227" s="32"/>
      <ns0:c r="G1227" s="29"/>
      <ns0:c r="H1227" s="29"/>
      <ns0:c r="I1227" s="29"/>
      <ns0:c r="J1227" s="29"/>
      <ns0:c r="K1227" s="29"/>
    </ns0:row>
    <ns0:row r="1228" ht="28" customHeight="1">
      <ns0:c r="A1228" s="29"/>
      <ns0:c r="B1228" s="30"/>
      <ns0:c r="C1228" s="28"/>
      <ns0:c r="D1228" s="29"/>
      <ns0:c r="E1228" s="31"/>
      <ns0:c r="F1228" s="32"/>
      <ns0:c r="G1228" s="29"/>
      <ns0:c r="H1228" s="29"/>
      <ns0:c r="I1228" s="29"/>
      <ns0:c r="J1228" s="29"/>
      <ns0:c r="K1228" s="29"/>
    </ns0:row>
    <ns0:row r="1229" ht="28" customHeight="1">
      <ns0:c r="A1229" s="29"/>
      <ns0:c r="B1229" s="30"/>
      <ns0:c r="C1229" s="28"/>
      <ns0:c r="D1229" s="29"/>
      <ns0:c r="E1229" s="31"/>
      <ns0:c r="F1229" s="32"/>
      <ns0:c r="G1229" s="29"/>
      <ns0:c r="H1229" s="29"/>
      <ns0:c r="I1229" s="29"/>
      <ns0:c r="J1229" s="29"/>
      <ns0:c r="K1229" s="29"/>
    </ns0:row>
    <ns0:row r="1230" ht="28" customHeight="1">
      <ns0:c r="A1230" s="29"/>
      <ns0:c r="B1230" s="30"/>
      <ns0:c r="C1230" s="28"/>
      <ns0:c r="D1230" s="29"/>
      <ns0:c r="E1230" s="31"/>
      <ns0:c r="F1230" s="32"/>
      <ns0:c r="G1230" s="29"/>
      <ns0:c r="H1230" s="29"/>
      <ns0:c r="I1230" s="29"/>
      <ns0:c r="J1230" s="29"/>
      <ns0:c r="K1230" s="29"/>
    </ns0:row>
    <ns0:row r="1231" ht="28" customHeight="1">
      <ns0:c r="A1231" s="29"/>
      <ns0:c r="B1231" s="30"/>
      <ns0:c r="C1231" s="28"/>
      <ns0:c r="D1231" s="29"/>
      <ns0:c r="E1231" s="31"/>
      <ns0:c r="F1231" s="32"/>
      <ns0:c r="G1231" s="29"/>
      <ns0:c r="H1231" s="29"/>
      <ns0:c r="I1231" s="29"/>
      <ns0:c r="J1231" s="29"/>
      <ns0:c r="K1231" s="29"/>
    </ns0:row>
    <ns0:row r="1232" ht="28" customHeight="1">
      <ns0:c r="A1232" s="29"/>
      <ns0:c r="B1232" s="30"/>
      <ns0:c r="C1232" s="28"/>
      <ns0:c r="D1232" s="29"/>
      <ns0:c r="E1232" s="31"/>
      <ns0:c r="F1232" s="32"/>
      <ns0:c r="G1232" s="29"/>
      <ns0:c r="H1232" s="29"/>
      <ns0:c r="I1232" s="29"/>
      <ns0:c r="J1232" s="29"/>
      <ns0:c r="K1232" s="29"/>
    </ns0:row>
    <ns0:row r="1233" ht="28" customHeight="1">
      <ns0:c r="A1233" s="29"/>
      <ns0:c r="B1233" s="30"/>
      <ns0:c r="C1233" s="28"/>
      <ns0:c r="D1233" s="29"/>
      <ns0:c r="E1233" s="31"/>
      <ns0:c r="F1233" s="32"/>
      <ns0:c r="G1233" s="29"/>
      <ns0:c r="H1233" s="29"/>
      <ns0:c r="I1233" s="29"/>
      <ns0:c r="J1233" s="29"/>
      <ns0:c r="K1233" s="29"/>
    </ns0:row>
    <ns0:row r="1234" ht="28" customHeight="1">
      <ns0:c r="A1234" s="29"/>
      <ns0:c r="B1234" s="30"/>
      <ns0:c r="C1234" s="28"/>
      <ns0:c r="D1234" s="29"/>
      <ns0:c r="E1234" s="31"/>
      <ns0:c r="F1234" s="32"/>
      <ns0:c r="G1234" s="29"/>
      <ns0:c r="H1234" s="29"/>
      <ns0:c r="I1234" s="29"/>
      <ns0:c r="J1234" s="29"/>
      <ns0:c r="K1234" s="29"/>
    </ns0:row>
    <ns0:row r="1235" ht="28" customHeight="1">
      <ns0:c r="A1235" s="29"/>
      <ns0:c r="B1235" s="30"/>
      <ns0:c r="C1235" s="28"/>
      <ns0:c r="D1235" s="29"/>
      <ns0:c r="E1235" s="31"/>
      <ns0:c r="F1235" s="32"/>
      <ns0:c r="G1235" s="29"/>
      <ns0:c r="H1235" s="29"/>
      <ns0:c r="I1235" s="29"/>
      <ns0:c r="J1235" s="29"/>
      <ns0:c r="K1235" s="29"/>
    </ns0:row>
    <ns0:row r="1236" ht="28" customHeight="1">
      <ns0:c r="A1236" s="29"/>
      <ns0:c r="B1236" s="30"/>
      <ns0:c r="C1236" s="28"/>
      <ns0:c r="D1236" s="29"/>
      <ns0:c r="E1236" s="31"/>
      <ns0:c r="F1236" s="32"/>
      <ns0:c r="G1236" s="29"/>
      <ns0:c r="H1236" s="29"/>
      <ns0:c r="I1236" s="29"/>
      <ns0:c r="J1236" s="29"/>
      <ns0:c r="K1236" s="29"/>
    </ns0:row>
    <ns0:row r="1237" ht="28" customHeight="1">
      <ns0:c r="A1237" s="29"/>
      <ns0:c r="B1237" s="30"/>
      <ns0:c r="C1237" s="28"/>
      <ns0:c r="D1237" s="29"/>
      <ns0:c r="E1237" s="31"/>
      <ns0:c r="F1237" s="32"/>
      <ns0:c r="G1237" s="29"/>
      <ns0:c r="H1237" s="29"/>
      <ns0:c r="I1237" s="29"/>
      <ns0:c r="J1237" s="29"/>
      <ns0:c r="K1237" s="29"/>
    </ns0:row>
    <ns0:row r="1238" ht="28" customHeight="1">
      <ns0:c r="A1238" s="29"/>
      <ns0:c r="B1238" s="30"/>
      <ns0:c r="C1238" s="28"/>
      <ns0:c r="D1238" s="29"/>
      <ns0:c r="E1238" s="31"/>
      <ns0:c r="F1238" s="32"/>
      <ns0:c r="G1238" s="29"/>
      <ns0:c r="H1238" s="29"/>
      <ns0:c r="I1238" s="29"/>
      <ns0:c r="J1238" s="29"/>
      <ns0:c r="K1238" s="29"/>
    </ns0:row>
    <ns0:row r="1239" ht="28" customHeight="1">
      <ns0:c r="A1239" s="29"/>
      <ns0:c r="B1239" s="30"/>
      <ns0:c r="C1239" s="28"/>
      <ns0:c r="D1239" s="29"/>
      <ns0:c r="E1239" s="31"/>
      <ns0:c r="F1239" s="32"/>
      <ns0:c r="G1239" s="29"/>
      <ns0:c r="H1239" s="29"/>
      <ns0:c r="I1239" s="29"/>
      <ns0:c r="J1239" s="29"/>
      <ns0:c r="K1239" s="29"/>
    </ns0:row>
    <ns0:row r="1240" ht="28" customHeight="1">
      <ns0:c r="A1240" s="29"/>
      <ns0:c r="B1240" s="30"/>
      <ns0:c r="C1240" s="28"/>
      <ns0:c r="D1240" s="29"/>
      <ns0:c r="E1240" s="31"/>
      <ns0:c r="F1240" s="32"/>
      <ns0:c r="G1240" s="29"/>
      <ns0:c r="H1240" s="29"/>
      <ns0:c r="I1240" s="29"/>
      <ns0:c r="J1240" s="29"/>
      <ns0:c r="K1240" s="29"/>
    </ns0:row>
    <ns0:row r="1241" ht="28" customHeight="1">
      <ns0:c r="A1241" s="29"/>
      <ns0:c r="B1241" s="30"/>
      <ns0:c r="C1241" s="28"/>
      <ns0:c r="D1241" s="29"/>
      <ns0:c r="E1241" s="31"/>
      <ns0:c r="F1241" s="32"/>
      <ns0:c r="G1241" s="29"/>
      <ns0:c r="H1241" s="29"/>
      <ns0:c r="I1241" s="29"/>
      <ns0:c r="J1241" s="29"/>
      <ns0:c r="K1241" s="29"/>
    </ns0:row>
    <ns0:row r="1242" ht="28" customHeight="1">
      <ns0:c r="A1242" s="29"/>
      <ns0:c r="B1242" s="30"/>
      <ns0:c r="C1242" s="28"/>
      <ns0:c r="D1242" s="29"/>
      <ns0:c r="E1242" s="31"/>
      <ns0:c r="F1242" s="32"/>
      <ns0:c r="G1242" s="29"/>
      <ns0:c r="H1242" s="29"/>
      <ns0:c r="I1242" s="29"/>
      <ns0:c r="J1242" s="29"/>
      <ns0:c r="K1242" s="29"/>
    </ns0:row>
    <ns0:row r="1243" ht="28" customHeight="1">
      <ns0:c r="A1243" s="29"/>
      <ns0:c r="B1243" s="30"/>
      <ns0:c r="C1243" s="28"/>
      <ns0:c r="D1243" s="29"/>
      <ns0:c r="E1243" s="31"/>
      <ns0:c r="F1243" s="32"/>
      <ns0:c r="G1243" s="29"/>
      <ns0:c r="H1243" s="29"/>
      <ns0:c r="I1243" s="29"/>
      <ns0:c r="J1243" s="29"/>
      <ns0:c r="K1243" s="29"/>
    </ns0:row>
    <ns0:row r="1244" ht="28" customHeight="1">
      <ns0:c r="A1244" s="29"/>
      <ns0:c r="B1244" s="30"/>
      <ns0:c r="C1244" s="28"/>
      <ns0:c r="D1244" s="29"/>
      <ns0:c r="E1244" s="31"/>
      <ns0:c r="F1244" s="32"/>
      <ns0:c r="G1244" s="29"/>
      <ns0:c r="H1244" s="29"/>
      <ns0:c r="I1244" s="29"/>
      <ns0:c r="J1244" s="29"/>
      <ns0:c r="K1244" s="29"/>
    </ns0:row>
    <ns0:row r="1245" ht="28" customHeight="1">
      <ns0:c r="A1245" s="29"/>
      <ns0:c r="B1245" s="30"/>
      <ns0:c r="C1245" s="28"/>
      <ns0:c r="D1245" s="29"/>
      <ns0:c r="E1245" s="31"/>
      <ns0:c r="F1245" s="32"/>
      <ns0:c r="G1245" s="29"/>
      <ns0:c r="H1245" s="29"/>
      <ns0:c r="I1245" s="29"/>
      <ns0:c r="J1245" s="29"/>
      <ns0:c r="K1245" s="29"/>
    </ns0:row>
    <ns0:row r="1246" ht="28" customHeight="1">
      <ns0:c r="A1246" s="29"/>
      <ns0:c r="B1246" s="30"/>
      <ns0:c r="C1246" s="28"/>
      <ns0:c r="D1246" s="29"/>
      <ns0:c r="E1246" s="31"/>
      <ns0:c r="F1246" s="32"/>
      <ns0:c r="G1246" s="29"/>
      <ns0:c r="H1246" s="29"/>
      <ns0:c r="I1246" s="29"/>
      <ns0:c r="J1246" s="29"/>
      <ns0:c r="K1246" s="29"/>
    </ns0:row>
    <ns0:row r="1247" ht="28" customHeight="1">
      <ns0:c r="A1247" s="29"/>
      <ns0:c r="B1247" s="30"/>
      <ns0:c r="C1247" s="28"/>
      <ns0:c r="D1247" s="29"/>
      <ns0:c r="E1247" s="31"/>
      <ns0:c r="F1247" s="32"/>
      <ns0:c r="G1247" s="29"/>
      <ns0:c r="H1247" s="29"/>
      <ns0:c r="I1247" s="29"/>
      <ns0:c r="J1247" s="29"/>
      <ns0:c r="K1247" s="29"/>
    </ns0:row>
    <ns0:row r="1248" ht="28" customHeight="1">
      <ns0:c r="A1248" s="29"/>
      <ns0:c r="B1248" s="30"/>
      <ns0:c r="C1248" s="28"/>
      <ns0:c r="D1248" s="29"/>
      <ns0:c r="E1248" s="31"/>
      <ns0:c r="F1248" s="32"/>
      <ns0:c r="G1248" s="29"/>
      <ns0:c r="H1248" s="29"/>
      <ns0:c r="I1248" s="29"/>
      <ns0:c r="J1248" s="29"/>
      <ns0:c r="K1248" s="29"/>
    </ns0:row>
    <ns0:row r="1249" ht="28" customHeight="1">
      <ns0:c r="A1249" s="29"/>
      <ns0:c r="B1249" s="30"/>
      <ns0:c r="C1249" s="28"/>
      <ns0:c r="D1249" s="29"/>
      <ns0:c r="E1249" s="31"/>
      <ns0:c r="F1249" s="32"/>
      <ns0:c r="G1249" s="29"/>
      <ns0:c r="H1249" s="29"/>
      <ns0:c r="I1249" s="29"/>
      <ns0:c r="J1249" s="29"/>
      <ns0:c r="K1249" s="29"/>
    </ns0:row>
    <ns0:row r="1250" ht="28" customHeight="1">
      <ns0:c r="A1250" s="29"/>
      <ns0:c r="B1250" s="30"/>
      <ns0:c r="C1250" s="28"/>
      <ns0:c r="D1250" s="29"/>
      <ns0:c r="E1250" s="31"/>
      <ns0:c r="F1250" s="32"/>
      <ns0:c r="G1250" s="29"/>
      <ns0:c r="H1250" s="29"/>
      <ns0:c r="I1250" s="29"/>
      <ns0:c r="J1250" s="29"/>
      <ns0:c r="K1250" s="29"/>
    </ns0:row>
    <ns0:row r="1251" ht="28" customHeight="1">
      <ns0:c r="A1251" s="29"/>
      <ns0:c r="B1251" s="30"/>
      <ns0:c r="C1251" s="28"/>
      <ns0:c r="D1251" s="29"/>
      <ns0:c r="E1251" s="31"/>
      <ns0:c r="F1251" s="32"/>
      <ns0:c r="G1251" s="29"/>
      <ns0:c r="H1251" s="29"/>
      <ns0:c r="I1251" s="29"/>
      <ns0:c r="J1251" s="29"/>
      <ns0:c r="K1251" s="29"/>
    </ns0:row>
    <ns0:row r="1252" ht="28" customHeight="1">
      <ns0:c r="A1252" s="29"/>
      <ns0:c r="B1252" s="30"/>
      <ns0:c r="C1252" s="28"/>
      <ns0:c r="D1252" s="29"/>
      <ns0:c r="E1252" s="31"/>
      <ns0:c r="F1252" s="32"/>
      <ns0:c r="G1252" s="29"/>
      <ns0:c r="H1252" s="29"/>
      <ns0:c r="I1252" s="29"/>
      <ns0:c r="J1252" s="29"/>
      <ns0:c r="K1252" s="29"/>
    </ns0:row>
    <ns0:row r="1253" ht="28" customHeight="1">
      <ns0:c r="A1253" s="29"/>
      <ns0:c r="B1253" s="30"/>
      <ns0:c r="C1253" s="28"/>
      <ns0:c r="D1253" s="29"/>
      <ns0:c r="E1253" s="31"/>
      <ns0:c r="F1253" s="32"/>
      <ns0:c r="G1253" s="29"/>
      <ns0:c r="H1253" s="29"/>
      <ns0:c r="I1253" s="29"/>
      <ns0:c r="J1253" s="29"/>
      <ns0:c r="K1253" s="29"/>
    </ns0:row>
    <ns0:row r="1254" ht="28" customHeight="1">
      <ns0:c r="A1254" s="29"/>
      <ns0:c r="B1254" s="30"/>
      <ns0:c r="C1254" s="28"/>
      <ns0:c r="D1254" s="29"/>
      <ns0:c r="E1254" s="31"/>
      <ns0:c r="F1254" s="32"/>
      <ns0:c r="G1254" s="29"/>
      <ns0:c r="H1254" s="29"/>
      <ns0:c r="I1254" s="29"/>
      <ns0:c r="J1254" s="29"/>
      <ns0:c r="K1254" s="29"/>
    </ns0:row>
    <ns0:row r="1255" ht="28" customHeight="1">
      <ns0:c r="A1255" s="29"/>
      <ns0:c r="B1255" s="30"/>
      <ns0:c r="C1255" s="28"/>
      <ns0:c r="D1255" s="29"/>
      <ns0:c r="E1255" s="31"/>
      <ns0:c r="F1255" s="32"/>
      <ns0:c r="G1255" s="29"/>
      <ns0:c r="H1255" s="29"/>
      <ns0:c r="I1255" s="29"/>
      <ns0:c r="J1255" s="29"/>
      <ns0:c r="K1255" s="29"/>
    </ns0:row>
    <ns0:row r="1256" ht="28" customHeight="1">
      <ns0:c r="A1256" s="29"/>
      <ns0:c r="B1256" s="30"/>
      <ns0:c r="C1256" s="28"/>
      <ns0:c r="D1256" s="29"/>
      <ns0:c r="E1256" s="31"/>
      <ns0:c r="F1256" s="32"/>
      <ns0:c r="G1256" s="29"/>
      <ns0:c r="H1256" s="29"/>
      <ns0:c r="I1256" s="29"/>
      <ns0:c r="J1256" s="29"/>
      <ns0:c r="K1256" s="29"/>
    </ns0:row>
    <ns0:row r="1257" ht="28" customHeight="1">
      <ns0:c r="A1257" s="29"/>
      <ns0:c r="B1257" s="30"/>
      <ns0:c r="C1257" s="28"/>
      <ns0:c r="D1257" s="29"/>
      <ns0:c r="E1257" s="31"/>
      <ns0:c r="F1257" s="32"/>
      <ns0:c r="G1257" s="29"/>
      <ns0:c r="H1257" s="29"/>
      <ns0:c r="I1257" s="29"/>
      <ns0:c r="J1257" s="29"/>
      <ns0:c r="K1257" s="29"/>
    </ns0:row>
    <ns0:row r="1258" ht="28" customHeight="1">
      <ns0:c r="A1258" s="29"/>
      <ns0:c r="B1258" s="30"/>
      <ns0:c r="C1258" s="28"/>
      <ns0:c r="D1258" s="29"/>
      <ns0:c r="E1258" s="31"/>
      <ns0:c r="F1258" s="32"/>
      <ns0:c r="G1258" s="29"/>
      <ns0:c r="H1258" s="29"/>
      <ns0:c r="I1258" s="29"/>
      <ns0:c r="J1258" s="29"/>
      <ns0:c r="K1258" s="29"/>
    </ns0:row>
    <ns0:row r="1259" ht="28" customHeight="1">
      <ns0:c r="A1259" s="29"/>
      <ns0:c r="B1259" s="30"/>
      <ns0:c r="C1259" s="28"/>
      <ns0:c r="D1259" s="29"/>
      <ns0:c r="E1259" s="31"/>
      <ns0:c r="F1259" s="32"/>
      <ns0:c r="G1259" s="29"/>
      <ns0:c r="H1259" s="29"/>
      <ns0:c r="I1259" s="29"/>
      <ns0:c r="J1259" s="29"/>
      <ns0:c r="K1259" s="29"/>
    </ns0:row>
    <ns0:row r="1260" ht="28" customHeight="1">
      <ns0:c r="A1260" s="29"/>
      <ns0:c r="B1260" s="30"/>
      <ns0:c r="C1260" s="28"/>
      <ns0:c r="D1260" s="29"/>
      <ns0:c r="E1260" s="31"/>
      <ns0:c r="F1260" s="32"/>
      <ns0:c r="G1260" s="29"/>
      <ns0:c r="H1260" s="29"/>
      <ns0:c r="I1260" s="29"/>
      <ns0:c r="J1260" s="29"/>
      <ns0:c r="K1260" s="29"/>
    </ns0:row>
    <ns0:row r="1261" ht="28" customHeight="1">
      <ns0:c r="A1261" s="29"/>
      <ns0:c r="B1261" s="30"/>
      <ns0:c r="C1261" s="28"/>
      <ns0:c r="D1261" s="29"/>
      <ns0:c r="E1261" s="31"/>
      <ns0:c r="F1261" s="32"/>
      <ns0:c r="G1261" s="29"/>
      <ns0:c r="H1261" s="29"/>
      <ns0:c r="I1261" s="29"/>
      <ns0:c r="J1261" s="29"/>
      <ns0:c r="K1261" s="29"/>
    </ns0:row>
    <ns0:row r="1262" ht="28" customHeight="1">
      <ns0:c r="A1262" s="29"/>
      <ns0:c r="B1262" s="30"/>
      <ns0:c r="C1262" s="28"/>
      <ns0:c r="D1262" s="29"/>
      <ns0:c r="E1262" s="31"/>
      <ns0:c r="F1262" s="32"/>
      <ns0:c r="G1262" s="29"/>
      <ns0:c r="H1262" s="29"/>
      <ns0:c r="I1262" s="29"/>
      <ns0:c r="J1262" s="29"/>
      <ns0:c r="K1262" s="29"/>
    </ns0:row>
    <ns0:row r="1263" ht="28" customHeight="1">
      <ns0:c r="A1263" s="29"/>
      <ns0:c r="B1263" s="30"/>
      <ns0:c r="C1263" s="28"/>
      <ns0:c r="D1263" s="29"/>
      <ns0:c r="E1263" s="31"/>
      <ns0:c r="F1263" s="32"/>
      <ns0:c r="G1263" s="29"/>
      <ns0:c r="H1263" s="29"/>
      <ns0:c r="I1263" s="29"/>
      <ns0:c r="J1263" s="29"/>
      <ns0:c r="K1263" s="29"/>
    </ns0:row>
    <ns0:row r="1264" ht="28" customHeight="1">
      <ns0:c r="A1264" s="29"/>
      <ns0:c r="B1264" s="30"/>
      <ns0:c r="C1264" s="28"/>
      <ns0:c r="D1264" s="29"/>
      <ns0:c r="E1264" s="31"/>
      <ns0:c r="F1264" s="32"/>
      <ns0:c r="G1264" s="29"/>
      <ns0:c r="H1264" s="29"/>
      <ns0:c r="I1264" s="29"/>
      <ns0:c r="J1264" s="29"/>
      <ns0:c r="K1264" s="29"/>
    </ns0:row>
    <ns0:row r="1265" ht="28" customHeight="1">
      <ns0:c r="A1265" s="29"/>
      <ns0:c r="B1265" s="30"/>
      <ns0:c r="C1265" s="28"/>
      <ns0:c r="D1265" s="29"/>
      <ns0:c r="E1265" s="31"/>
      <ns0:c r="F1265" s="32"/>
      <ns0:c r="G1265" s="29"/>
      <ns0:c r="H1265" s="29"/>
      <ns0:c r="I1265" s="29"/>
      <ns0:c r="J1265" s="29"/>
      <ns0:c r="K1265" s="29"/>
    </ns0:row>
    <ns0:row r="1266" ht="28" customHeight="1">
      <ns0:c r="A1266" s="29"/>
      <ns0:c r="B1266" s="30"/>
      <ns0:c r="C1266" s="28"/>
      <ns0:c r="D1266" s="29"/>
      <ns0:c r="E1266" s="31"/>
      <ns0:c r="F1266" s="32"/>
      <ns0:c r="G1266" s="29"/>
      <ns0:c r="H1266" s="29"/>
      <ns0:c r="I1266" s="29"/>
      <ns0:c r="J1266" s="29"/>
      <ns0:c r="K1266" s="29"/>
    </ns0:row>
    <ns0:row r="1267" ht="28" customHeight="1">
      <ns0:c r="A1267" s="29"/>
      <ns0:c r="B1267" s="30"/>
      <ns0:c r="C1267" s="28"/>
      <ns0:c r="D1267" s="29"/>
      <ns0:c r="E1267" s="31"/>
      <ns0:c r="F1267" s="32"/>
      <ns0:c r="G1267" s="29"/>
      <ns0:c r="H1267" s="29"/>
      <ns0:c r="I1267" s="29"/>
      <ns0:c r="J1267" s="29"/>
      <ns0:c r="K1267" s="29"/>
    </ns0:row>
    <ns0:row r="1268" ht="28" customHeight="1">
      <ns0:c r="A1268" s="29"/>
      <ns0:c r="B1268" s="30"/>
      <ns0:c r="C1268" s="28"/>
      <ns0:c r="D1268" s="29"/>
      <ns0:c r="E1268" s="31"/>
      <ns0:c r="F1268" s="32"/>
      <ns0:c r="G1268" s="29"/>
      <ns0:c r="H1268" s="29"/>
      <ns0:c r="I1268" s="29"/>
      <ns0:c r="J1268" s="29"/>
      <ns0:c r="K1268" s="29"/>
    </ns0:row>
    <ns0:row r="1269" ht="28" customHeight="1">
      <ns0:c r="A1269" s="29"/>
      <ns0:c r="B1269" s="30"/>
      <ns0:c r="C1269" s="28"/>
      <ns0:c r="D1269" s="29"/>
      <ns0:c r="E1269" s="31"/>
      <ns0:c r="F1269" s="32"/>
      <ns0:c r="G1269" s="29"/>
      <ns0:c r="H1269" s="29"/>
      <ns0:c r="I1269" s="29"/>
      <ns0:c r="J1269" s="29"/>
      <ns0:c r="K1269" s="29"/>
    </ns0:row>
    <ns0:row r="1270" ht="28" customHeight="1">
      <ns0:c r="A1270" s="29"/>
      <ns0:c r="B1270" s="30"/>
      <ns0:c r="C1270" s="28"/>
      <ns0:c r="D1270" s="29"/>
      <ns0:c r="E1270" s="31"/>
      <ns0:c r="F1270" s="32"/>
      <ns0:c r="G1270" s="29"/>
      <ns0:c r="H1270" s="29"/>
      <ns0:c r="I1270" s="29"/>
      <ns0:c r="J1270" s="29"/>
      <ns0:c r="K1270" s="29"/>
    </ns0:row>
    <ns0:row r="1271" ht="28" customHeight="1">
      <ns0:c r="A1271" s="29"/>
      <ns0:c r="B1271" s="30"/>
      <ns0:c r="C1271" s="28"/>
      <ns0:c r="D1271" s="29"/>
      <ns0:c r="E1271" s="31"/>
      <ns0:c r="F1271" s="32"/>
      <ns0:c r="G1271" s="29"/>
      <ns0:c r="H1271" s="29"/>
      <ns0:c r="I1271" s="29"/>
      <ns0:c r="J1271" s="29"/>
      <ns0:c r="K1271" s="29"/>
    </ns0:row>
    <ns0:row r="1272" ht="28" customHeight="1">
      <ns0:c r="A1272" s="29"/>
      <ns0:c r="B1272" s="30"/>
      <ns0:c r="C1272" s="28"/>
      <ns0:c r="D1272" s="29"/>
      <ns0:c r="E1272" s="31"/>
      <ns0:c r="F1272" s="32"/>
      <ns0:c r="G1272" s="29"/>
      <ns0:c r="H1272" s="29"/>
      <ns0:c r="I1272" s="29"/>
      <ns0:c r="J1272" s="29"/>
      <ns0:c r="K1272" s="29"/>
    </ns0:row>
    <ns0:row r="1273" ht="28" customHeight="1">
      <ns0:c r="A1273" s="29"/>
      <ns0:c r="B1273" s="30"/>
      <ns0:c r="C1273" s="28"/>
      <ns0:c r="D1273" s="29"/>
      <ns0:c r="E1273" s="31"/>
      <ns0:c r="F1273" s="32"/>
      <ns0:c r="G1273" s="29"/>
      <ns0:c r="H1273" s="29"/>
      <ns0:c r="I1273" s="29"/>
      <ns0:c r="J1273" s="29"/>
      <ns0:c r="K1273" s="29"/>
    </ns0:row>
    <ns0:row r="1274" ht="28" customHeight="1">
      <ns0:c r="A1274" s="29"/>
      <ns0:c r="B1274" s="30"/>
      <ns0:c r="C1274" s="28"/>
      <ns0:c r="D1274" s="29"/>
      <ns0:c r="E1274" s="31"/>
      <ns0:c r="F1274" s="32"/>
      <ns0:c r="G1274" s="29"/>
      <ns0:c r="H1274" s="29"/>
      <ns0:c r="I1274" s="29"/>
      <ns0:c r="J1274" s="29"/>
      <ns0:c r="K1274" s="29"/>
    </ns0:row>
    <ns0:row r="1275" ht="28" customHeight="1">
      <ns0:c r="A1275" s="29"/>
      <ns0:c r="B1275" s="30"/>
      <ns0:c r="C1275" s="28"/>
      <ns0:c r="D1275" s="29"/>
      <ns0:c r="E1275" s="31"/>
      <ns0:c r="F1275" s="32"/>
      <ns0:c r="G1275" s="29"/>
      <ns0:c r="H1275" s="29"/>
      <ns0:c r="I1275" s="29"/>
      <ns0:c r="J1275" s="29"/>
      <ns0:c r="K1275" s="29"/>
    </ns0:row>
    <ns0:row r="1276" ht="28" customHeight="1">
      <ns0:c r="A1276" s="29"/>
      <ns0:c r="B1276" s="30"/>
      <ns0:c r="C1276" s="28"/>
      <ns0:c r="D1276" s="29"/>
      <ns0:c r="E1276" s="31"/>
      <ns0:c r="F1276" s="32"/>
      <ns0:c r="G1276" s="29"/>
      <ns0:c r="H1276" s="29"/>
      <ns0:c r="I1276" s="29"/>
      <ns0:c r="J1276" s="29"/>
      <ns0:c r="K1276" s="29"/>
    </ns0:row>
    <ns0:row r="1277" ht="28" customHeight="1">
      <ns0:c r="A1277" s="29"/>
      <ns0:c r="B1277" s="30"/>
      <ns0:c r="C1277" s="28"/>
      <ns0:c r="D1277" s="29"/>
      <ns0:c r="E1277" s="31"/>
      <ns0:c r="F1277" s="32"/>
      <ns0:c r="G1277" s="29"/>
      <ns0:c r="H1277" s="29"/>
      <ns0:c r="I1277" s="29"/>
      <ns0:c r="J1277" s="29"/>
      <ns0:c r="K1277" s="29"/>
    </ns0:row>
    <ns0:row r="1278" ht="28" customHeight="1">
      <ns0:c r="A1278" s="29"/>
      <ns0:c r="B1278" s="30"/>
      <ns0:c r="C1278" s="28"/>
      <ns0:c r="D1278" s="29"/>
      <ns0:c r="E1278" s="31"/>
      <ns0:c r="F1278" s="32"/>
      <ns0:c r="G1278" s="29"/>
      <ns0:c r="H1278" s="29"/>
      <ns0:c r="I1278" s="29"/>
      <ns0:c r="J1278" s="29"/>
      <ns0:c r="K1278" s="29"/>
    </ns0:row>
    <ns0:row r="1279" ht="28" customHeight="1">
      <ns0:c r="A1279" s="29"/>
      <ns0:c r="B1279" s="30"/>
      <ns0:c r="C1279" s="28"/>
      <ns0:c r="D1279" s="29"/>
      <ns0:c r="E1279" s="31"/>
      <ns0:c r="F1279" s="32"/>
      <ns0:c r="G1279" s="29"/>
      <ns0:c r="H1279" s="29"/>
      <ns0:c r="I1279" s="29"/>
      <ns0:c r="J1279" s="29"/>
      <ns0:c r="K1279" s="29"/>
    </ns0:row>
    <ns0:row r="1280" ht="28" customHeight="1">
      <ns0:c r="A1280" s="29"/>
      <ns0:c r="B1280" s="30"/>
      <ns0:c r="C1280" s="28"/>
      <ns0:c r="D1280" s="29"/>
      <ns0:c r="E1280" s="31"/>
      <ns0:c r="F1280" s="32"/>
      <ns0:c r="G1280" s="29"/>
      <ns0:c r="H1280" s="29"/>
      <ns0:c r="I1280" s="29"/>
      <ns0:c r="J1280" s="29"/>
      <ns0:c r="K1280" s="29"/>
    </ns0:row>
    <ns0:row r="1281" ht="28" customHeight="1">
      <ns0:c r="A1281" s="29"/>
      <ns0:c r="B1281" s="30"/>
      <ns0:c r="C1281" s="28"/>
      <ns0:c r="D1281" s="29"/>
      <ns0:c r="E1281" s="31"/>
      <ns0:c r="F1281" s="32"/>
      <ns0:c r="G1281" s="29"/>
      <ns0:c r="H1281" s="29"/>
      <ns0:c r="I1281" s="29"/>
      <ns0:c r="J1281" s="29"/>
      <ns0:c r="K1281" s="29"/>
    </ns0:row>
    <ns0:row r="1282" ht="28" customHeight="1">
      <ns0:c r="A1282" s="29"/>
      <ns0:c r="B1282" s="30"/>
      <ns0:c r="C1282" s="28"/>
      <ns0:c r="D1282" s="29"/>
      <ns0:c r="E1282" s="31"/>
      <ns0:c r="F1282" s="32"/>
      <ns0:c r="G1282" s="29"/>
      <ns0:c r="H1282" s="29"/>
      <ns0:c r="I1282" s="29"/>
      <ns0:c r="J1282" s="29"/>
      <ns0:c r="K1282" s="29"/>
    </ns0:row>
    <ns0:row r="1283" ht="28" customHeight="1">
      <ns0:c r="A1283" s="29"/>
      <ns0:c r="B1283" s="30"/>
      <ns0:c r="C1283" s="28"/>
      <ns0:c r="D1283" s="29"/>
      <ns0:c r="E1283" s="31"/>
      <ns0:c r="F1283" s="32"/>
      <ns0:c r="G1283" s="29"/>
      <ns0:c r="H1283" s="29"/>
      <ns0:c r="I1283" s="29"/>
      <ns0:c r="J1283" s="29"/>
      <ns0:c r="K1283" s="29"/>
    </ns0:row>
    <ns0:row r="1284" ht="28" customHeight="1">
      <ns0:c r="A1284" s="29"/>
      <ns0:c r="B1284" s="30"/>
      <ns0:c r="C1284" s="28"/>
      <ns0:c r="D1284" s="29"/>
      <ns0:c r="E1284" s="31"/>
      <ns0:c r="F1284" s="32"/>
      <ns0:c r="G1284" s="29"/>
      <ns0:c r="H1284" s="29"/>
      <ns0:c r="I1284" s="29"/>
      <ns0:c r="J1284" s="29"/>
      <ns0:c r="K1284" s="29"/>
    </ns0:row>
    <ns0:row r="1285" ht="28" customHeight="1">
      <ns0:c r="A1285" s="29"/>
      <ns0:c r="B1285" s="30"/>
      <ns0:c r="C1285" s="28"/>
      <ns0:c r="D1285" s="29"/>
      <ns0:c r="E1285" s="31"/>
      <ns0:c r="F1285" s="32"/>
      <ns0:c r="G1285" s="29"/>
      <ns0:c r="H1285" s="29"/>
      <ns0:c r="I1285" s="29"/>
      <ns0:c r="J1285" s="29"/>
      <ns0:c r="K1285" s="29"/>
    </ns0:row>
    <ns0:row r="1286" ht="28" customHeight="1">
      <ns0:c r="A1286" s="29"/>
      <ns0:c r="B1286" s="30"/>
      <ns0:c r="C1286" s="28"/>
      <ns0:c r="D1286" s="29"/>
      <ns0:c r="E1286" s="31"/>
      <ns0:c r="F1286" s="32"/>
      <ns0:c r="G1286" s="29"/>
      <ns0:c r="H1286" s="29"/>
      <ns0:c r="I1286" s="29"/>
      <ns0:c r="J1286" s="29"/>
      <ns0:c r="K1286" s="29"/>
    </ns0:row>
    <ns0:row r="1287" ht="28" customHeight="1">
      <ns0:c r="A1287" s="29"/>
      <ns0:c r="B1287" s="30"/>
      <ns0:c r="C1287" s="28"/>
      <ns0:c r="D1287" s="29"/>
      <ns0:c r="E1287" s="31"/>
      <ns0:c r="F1287" s="32"/>
      <ns0:c r="G1287" s="29"/>
      <ns0:c r="H1287" s="29"/>
      <ns0:c r="I1287" s="29"/>
      <ns0:c r="J1287" s="29"/>
      <ns0:c r="K1287" s="29"/>
    </ns0:row>
    <ns0:row r="1288" ht="28" customHeight="1">
      <ns0:c r="A1288" s="29"/>
      <ns0:c r="B1288" s="30"/>
      <ns0:c r="C1288" s="28"/>
      <ns0:c r="D1288" s="29"/>
      <ns0:c r="E1288" s="31"/>
      <ns0:c r="F1288" s="32"/>
      <ns0:c r="G1288" s="29"/>
      <ns0:c r="H1288" s="29"/>
      <ns0:c r="I1288" s="29"/>
      <ns0:c r="J1288" s="29"/>
      <ns0:c r="K1288" s="29"/>
    </ns0:row>
    <ns0:row r="1289" ht="28" customHeight="1">
      <ns0:c r="A1289" s="29"/>
      <ns0:c r="B1289" s="30"/>
      <ns0:c r="C1289" s="28"/>
      <ns0:c r="D1289" s="29"/>
      <ns0:c r="E1289" s="31"/>
      <ns0:c r="F1289" s="32"/>
      <ns0:c r="G1289" s="29"/>
      <ns0:c r="H1289" s="29"/>
      <ns0:c r="I1289" s="29"/>
      <ns0:c r="J1289" s="29"/>
      <ns0:c r="K1289" s="29"/>
    </ns0:row>
    <ns0:row r="1290" ht="28" customHeight="1">
      <ns0:c r="A1290" s="29"/>
      <ns0:c r="B1290" s="30"/>
      <ns0:c r="C1290" s="28"/>
      <ns0:c r="D1290" s="29"/>
      <ns0:c r="E1290" s="31"/>
      <ns0:c r="F1290" s="32"/>
      <ns0:c r="G1290" s="29"/>
      <ns0:c r="H1290" s="29"/>
      <ns0:c r="I1290" s="29"/>
      <ns0:c r="J1290" s="29"/>
      <ns0:c r="K1290" s="29"/>
    </ns0:row>
    <ns0:row r="1291" ht="28" customHeight="1">
      <ns0:c r="A1291" s="29"/>
      <ns0:c r="B1291" s="30"/>
      <ns0:c r="C1291" s="28"/>
      <ns0:c r="D1291" s="29"/>
      <ns0:c r="E1291" s="31"/>
      <ns0:c r="F1291" s="32"/>
      <ns0:c r="G1291" s="29"/>
      <ns0:c r="H1291" s="29"/>
      <ns0:c r="I1291" s="29"/>
      <ns0:c r="J1291" s="29"/>
      <ns0:c r="K1291" s="29"/>
    </ns0:row>
    <ns0:row r="1292" ht="28" customHeight="1">
      <ns0:c r="A1292" s="29"/>
      <ns0:c r="B1292" s="30"/>
      <ns0:c r="C1292" s="28"/>
      <ns0:c r="D1292" s="29"/>
      <ns0:c r="E1292" s="31"/>
      <ns0:c r="F1292" s="32"/>
      <ns0:c r="G1292" s="29"/>
      <ns0:c r="H1292" s="29"/>
      <ns0:c r="I1292" s="29"/>
      <ns0:c r="J1292" s="29"/>
      <ns0:c r="K1292" s="29"/>
    </ns0:row>
    <ns0:row r="1293" ht="28" customHeight="1">
      <ns0:c r="A1293" s="29"/>
      <ns0:c r="B1293" s="30"/>
      <ns0:c r="C1293" s="28"/>
      <ns0:c r="D1293" s="29"/>
      <ns0:c r="E1293" s="31"/>
      <ns0:c r="F1293" s="32"/>
      <ns0:c r="G1293" s="29"/>
      <ns0:c r="H1293" s="29"/>
      <ns0:c r="I1293" s="29"/>
      <ns0:c r="J1293" s="29"/>
      <ns0:c r="K1293" s="29"/>
    </ns0:row>
    <ns0:row r="1294" ht="28" customHeight="1">
      <ns0:c r="A1294" s="29"/>
      <ns0:c r="B1294" s="30"/>
      <ns0:c r="C1294" s="28"/>
      <ns0:c r="D1294" s="29"/>
      <ns0:c r="E1294" s="31"/>
      <ns0:c r="F1294" s="32"/>
      <ns0:c r="G1294" s="29"/>
      <ns0:c r="H1294" s="29"/>
      <ns0:c r="I1294" s="29"/>
      <ns0:c r="J1294" s="29"/>
      <ns0:c r="K1294" s="29"/>
    </ns0:row>
    <ns0:row r="1295" ht="28" customHeight="1">
      <ns0:c r="A1295" s="29"/>
      <ns0:c r="B1295" s="30"/>
      <ns0:c r="C1295" s="28"/>
      <ns0:c r="D1295" s="29"/>
      <ns0:c r="E1295" s="31"/>
      <ns0:c r="F1295" s="32"/>
      <ns0:c r="G1295" s="29"/>
      <ns0:c r="H1295" s="29"/>
      <ns0:c r="I1295" s="29"/>
      <ns0:c r="J1295" s="29"/>
      <ns0:c r="K1295" s="29"/>
    </ns0:row>
    <ns0:row r="1296" ht="28" customHeight="1">
      <ns0:c r="A1296" s="29"/>
      <ns0:c r="B1296" s="30"/>
      <ns0:c r="C1296" s="28"/>
      <ns0:c r="D1296" s="29"/>
      <ns0:c r="E1296" s="31"/>
      <ns0:c r="F1296" s="32"/>
      <ns0:c r="G1296" s="29"/>
      <ns0:c r="H1296" s="29"/>
      <ns0:c r="I1296" s="29"/>
      <ns0:c r="J1296" s="29"/>
      <ns0:c r="K1296" s="29"/>
    </ns0:row>
    <ns0:row r="1297" ht="28" customHeight="1">
      <ns0:c r="A1297" s="29"/>
      <ns0:c r="B1297" s="30"/>
      <ns0:c r="C1297" s="28"/>
      <ns0:c r="D1297" s="29"/>
      <ns0:c r="E1297" s="31"/>
      <ns0:c r="F1297" s="32"/>
      <ns0:c r="G1297" s="29"/>
      <ns0:c r="H1297" s="29"/>
      <ns0:c r="I1297" s="29"/>
      <ns0:c r="J1297" s="29"/>
      <ns0:c r="K1297" s="29"/>
    </ns0:row>
    <ns0:row r="1298" ht="28" customHeight="1">
      <ns0:c r="A1298" s="29"/>
      <ns0:c r="B1298" s="30"/>
      <ns0:c r="C1298" s="28"/>
      <ns0:c r="D1298" s="29"/>
      <ns0:c r="E1298" s="31"/>
      <ns0:c r="F1298" s="32"/>
      <ns0:c r="G1298" s="29"/>
      <ns0:c r="H1298" s="29"/>
      <ns0:c r="I1298" s="29"/>
      <ns0:c r="J1298" s="29"/>
      <ns0:c r="K1298" s="29"/>
    </ns0:row>
    <ns0:row r="1299" ht="28" customHeight="1">
      <ns0:c r="A1299" s="29"/>
      <ns0:c r="B1299" s="30"/>
      <ns0:c r="C1299" s="28"/>
      <ns0:c r="D1299" s="29"/>
      <ns0:c r="E1299" s="31"/>
      <ns0:c r="F1299" s="32"/>
      <ns0:c r="G1299" s="29"/>
      <ns0:c r="H1299" s="29"/>
      <ns0:c r="I1299" s="29"/>
      <ns0:c r="J1299" s="29"/>
      <ns0:c r="K1299" s="29"/>
    </ns0:row>
    <ns0:row r="1300" ht="28" customHeight="1">
      <ns0:c r="A1300" s="29"/>
      <ns0:c r="B1300" s="30"/>
      <ns0:c r="C1300" s="28"/>
      <ns0:c r="D1300" s="29"/>
      <ns0:c r="E1300" s="31"/>
      <ns0:c r="F1300" s="32"/>
      <ns0:c r="G1300" s="29"/>
      <ns0:c r="H1300" s="29"/>
      <ns0:c r="I1300" s="29"/>
      <ns0:c r="J1300" s="29"/>
      <ns0:c r="K1300" s="29"/>
    </ns0:row>
    <ns0:row r="1301" ht="28" customHeight="1">
      <ns0:c r="A1301" s="29"/>
      <ns0:c r="B1301" s="30"/>
      <ns0:c r="C1301" s="28"/>
      <ns0:c r="D1301" s="29"/>
      <ns0:c r="E1301" s="31"/>
      <ns0:c r="F1301" s="32"/>
      <ns0:c r="G1301" s="29"/>
      <ns0:c r="H1301" s="29"/>
      <ns0:c r="I1301" s="29"/>
      <ns0:c r="J1301" s="29"/>
      <ns0:c r="K1301" s="29"/>
    </ns0:row>
    <ns0:row r="1302" ht="28" customHeight="1">
      <ns0:c r="A1302" s="29"/>
      <ns0:c r="B1302" s="30"/>
      <ns0:c r="C1302" s="28"/>
      <ns0:c r="D1302" s="29"/>
      <ns0:c r="E1302" s="31"/>
      <ns0:c r="F1302" s="32"/>
      <ns0:c r="G1302" s="29"/>
      <ns0:c r="H1302" s="29"/>
      <ns0:c r="I1302" s="29"/>
      <ns0:c r="J1302" s="29"/>
      <ns0:c r="K1302" s="29"/>
    </ns0:row>
    <ns0:row r="1303" ht="28" customHeight="1">
      <ns0:c r="A1303" s="29"/>
      <ns0:c r="B1303" s="30"/>
      <ns0:c r="C1303" s="28"/>
      <ns0:c r="D1303" s="29"/>
      <ns0:c r="E1303" s="31"/>
      <ns0:c r="F1303" s="32"/>
      <ns0:c r="G1303" s="29"/>
      <ns0:c r="H1303" s="29"/>
      <ns0:c r="I1303" s="29"/>
      <ns0:c r="J1303" s="29"/>
      <ns0:c r="K1303" s="29"/>
    </ns0:row>
    <ns0:row r="1304" ht="28" customHeight="1">
      <ns0:c r="A1304" s="29"/>
      <ns0:c r="B1304" s="30"/>
      <ns0:c r="C1304" s="28"/>
      <ns0:c r="D1304" s="29"/>
      <ns0:c r="E1304" s="31"/>
      <ns0:c r="F1304" s="32"/>
      <ns0:c r="G1304" s="29"/>
      <ns0:c r="H1304" s="29"/>
      <ns0:c r="I1304" s="29"/>
      <ns0:c r="J1304" s="29"/>
      <ns0:c r="K1304" s="29"/>
    </ns0:row>
    <ns0:row r="1305" ht="28" customHeight="1">
      <ns0:c r="A1305" s="29"/>
      <ns0:c r="B1305" s="30"/>
      <ns0:c r="C1305" s="28"/>
      <ns0:c r="D1305" s="29"/>
      <ns0:c r="E1305" s="31"/>
      <ns0:c r="F1305" s="32"/>
      <ns0:c r="G1305" s="29"/>
      <ns0:c r="H1305" s="29"/>
      <ns0:c r="I1305" s="29"/>
      <ns0:c r="J1305" s="29"/>
      <ns0:c r="K1305" s="29"/>
    </ns0:row>
    <ns0:row r="1306" ht="28" customHeight="1">
      <ns0:c r="A1306" s="29"/>
      <ns0:c r="B1306" s="30"/>
      <ns0:c r="C1306" s="28"/>
      <ns0:c r="D1306" s="29"/>
      <ns0:c r="E1306" s="31"/>
      <ns0:c r="F1306" s="32"/>
      <ns0:c r="G1306" s="29"/>
      <ns0:c r="H1306" s="29"/>
      <ns0:c r="I1306" s="29"/>
      <ns0:c r="J1306" s="29"/>
      <ns0:c r="K1306" s="29"/>
    </ns0:row>
    <ns0:row r="1307" ht="28" customHeight="1">
      <ns0:c r="A1307" s="29"/>
      <ns0:c r="B1307" s="30"/>
      <ns0:c r="C1307" s="28"/>
      <ns0:c r="D1307" s="29"/>
      <ns0:c r="E1307" s="31"/>
      <ns0:c r="F1307" s="32"/>
      <ns0:c r="G1307" s="29"/>
      <ns0:c r="H1307" s="29"/>
      <ns0:c r="I1307" s="29"/>
      <ns0:c r="J1307" s="29"/>
      <ns0:c r="K1307" s="29"/>
    </ns0:row>
    <ns0:row r="1308" ht="28" customHeight="1">
      <ns0:c r="A1308" s="29"/>
      <ns0:c r="B1308" s="30"/>
      <ns0:c r="C1308" s="28"/>
      <ns0:c r="D1308" s="29"/>
      <ns0:c r="E1308" s="31"/>
      <ns0:c r="F1308" s="32"/>
      <ns0:c r="G1308" s="29"/>
      <ns0:c r="H1308" s="29"/>
      <ns0:c r="I1308" s="29"/>
      <ns0:c r="J1308" s="29"/>
      <ns0:c r="K1308" s="29"/>
    </ns0:row>
    <ns0:row r="1309" ht="28" customHeight="1">
      <ns0:c r="A1309" s="29"/>
      <ns0:c r="B1309" s="30"/>
      <ns0:c r="C1309" s="28"/>
      <ns0:c r="D1309" s="29"/>
      <ns0:c r="E1309" s="31"/>
      <ns0:c r="F1309" s="32"/>
      <ns0:c r="G1309" s="29"/>
      <ns0:c r="H1309" s="29"/>
      <ns0:c r="I1309" s="29"/>
      <ns0:c r="J1309" s="29"/>
      <ns0:c r="K1309" s="29"/>
    </ns0:row>
    <ns0:row r="1310" ht="28" customHeight="1">
      <ns0:c r="A1310" s="29"/>
      <ns0:c r="B1310" s="30"/>
      <ns0:c r="C1310" s="28"/>
      <ns0:c r="D1310" s="29"/>
      <ns0:c r="E1310" s="31"/>
      <ns0:c r="F1310" s="32"/>
      <ns0:c r="G1310" s="29"/>
      <ns0:c r="H1310" s="29"/>
      <ns0:c r="I1310" s="29"/>
      <ns0:c r="J1310" s="29"/>
      <ns0:c r="K1310" s="29"/>
    </ns0:row>
    <ns0:row r="1311" ht="28" customHeight="1">
      <ns0:c r="A1311" s="29"/>
      <ns0:c r="B1311" s="30"/>
      <ns0:c r="C1311" s="28"/>
      <ns0:c r="D1311" s="29"/>
      <ns0:c r="E1311" s="31"/>
      <ns0:c r="F1311" s="32"/>
      <ns0:c r="G1311" s="29"/>
      <ns0:c r="H1311" s="29"/>
      <ns0:c r="I1311" s="29"/>
      <ns0:c r="J1311" s="29"/>
      <ns0:c r="K1311" s="29"/>
    </ns0:row>
    <ns0:row r="1312" ht="28" customHeight="1">
      <ns0:c r="A1312" s="29"/>
      <ns0:c r="B1312" s="30"/>
      <ns0:c r="C1312" s="28"/>
      <ns0:c r="D1312" s="29"/>
      <ns0:c r="E1312" s="31"/>
      <ns0:c r="F1312" s="32"/>
      <ns0:c r="G1312" s="29"/>
      <ns0:c r="H1312" s="29"/>
      <ns0:c r="I1312" s="29"/>
      <ns0:c r="J1312" s="29"/>
      <ns0:c r="K1312" s="29"/>
    </ns0:row>
    <ns0:row r="1313" ht="28" customHeight="1">
      <ns0:c r="A1313" s="29"/>
      <ns0:c r="B1313" s="30"/>
      <ns0:c r="C1313" s="28"/>
      <ns0:c r="D1313" s="29"/>
      <ns0:c r="E1313" s="31"/>
      <ns0:c r="F1313" s="32"/>
      <ns0:c r="G1313" s="29"/>
      <ns0:c r="H1313" s="29"/>
      <ns0:c r="I1313" s="29"/>
      <ns0:c r="J1313" s="29"/>
      <ns0:c r="K1313" s="29"/>
    </ns0:row>
    <ns0:row r="1314" ht="28" customHeight="1">
      <ns0:c r="A1314" s="29"/>
      <ns0:c r="B1314" s="30"/>
      <ns0:c r="C1314" s="28"/>
      <ns0:c r="D1314" s="29"/>
      <ns0:c r="E1314" s="31"/>
      <ns0:c r="F1314" s="32"/>
      <ns0:c r="G1314" s="29"/>
      <ns0:c r="H1314" s="29"/>
      <ns0:c r="I1314" s="29"/>
      <ns0:c r="J1314" s="29"/>
      <ns0:c r="K1314" s="29"/>
    </ns0:row>
    <ns0:row r="1315" ht="28" customHeight="1">
      <ns0:c r="A1315" s="29"/>
      <ns0:c r="B1315" s="30"/>
      <ns0:c r="C1315" s="28"/>
      <ns0:c r="D1315" s="29"/>
      <ns0:c r="E1315" s="31"/>
      <ns0:c r="F1315" s="32"/>
      <ns0:c r="G1315" s="29"/>
      <ns0:c r="H1315" s="29"/>
      <ns0:c r="I1315" s="29"/>
      <ns0:c r="J1315" s="29"/>
      <ns0:c r="K1315" s="29"/>
    </ns0:row>
    <ns0:row r="1316" ht="28" customHeight="1">
      <ns0:c r="A1316" s="29"/>
      <ns0:c r="B1316" s="30"/>
      <ns0:c r="C1316" s="28"/>
      <ns0:c r="D1316" s="29"/>
      <ns0:c r="E1316" s="31"/>
      <ns0:c r="F1316" s="32"/>
      <ns0:c r="G1316" s="29"/>
      <ns0:c r="H1316" s="29"/>
      <ns0:c r="I1316" s="29"/>
      <ns0:c r="J1316" s="29"/>
      <ns0:c r="K1316" s="29"/>
    </ns0:row>
    <ns0:row r="1317" ht="28" customHeight="1">
      <ns0:c r="A1317" s="29"/>
      <ns0:c r="B1317" s="30"/>
      <ns0:c r="C1317" s="28"/>
      <ns0:c r="D1317" s="29"/>
      <ns0:c r="E1317" s="31"/>
      <ns0:c r="F1317" s="32"/>
      <ns0:c r="G1317" s="29"/>
      <ns0:c r="H1317" s="29"/>
      <ns0:c r="I1317" s="29"/>
      <ns0:c r="J1317" s="29"/>
      <ns0:c r="K1317" s="29"/>
    </ns0:row>
    <ns0:row r="1318" ht="28" customHeight="1">
      <ns0:c r="A1318" s="29"/>
      <ns0:c r="B1318" s="30"/>
      <ns0:c r="C1318" s="28"/>
      <ns0:c r="D1318" s="29"/>
      <ns0:c r="E1318" s="31"/>
      <ns0:c r="F1318" s="32"/>
      <ns0:c r="G1318" s="29"/>
      <ns0:c r="H1318" s="29"/>
      <ns0:c r="I1318" s="29"/>
      <ns0:c r="J1318" s="29"/>
      <ns0:c r="K1318" s="29"/>
    </ns0:row>
    <ns0:row r="1319" ht="28" customHeight="1">
      <ns0:c r="A1319" s="29"/>
      <ns0:c r="B1319" s="30"/>
      <ns0:c r="C1319" s="28"/>
      <ns0:c r="D1319" s="29"/>
      <ns0:c r="E1319" s="31"/>
      <ns0:c r="F1319" s="32"/>
      <ns0:c r="G1319" s="29"/>
      <ns0:c r="H1319" s="29"/>
      <ns0:c r="I1319" s="29"/>
      <ns0:c r="J1319" s="29"/>
      <ns0:c r="K1319" s="29"/>
    </ns0:row>
    <ns0:row r="1320" ht="28" customHeight="1">
      <ns0:c r="A1320" s="29"/>
      <ns0:c r="B1320" s="30"/>
      <ns0:c r="C1320" s="28"/>
      <ns0:c r="D1320" s="29"/>
      <ns0:c r="E1320" s="31"/>
      <ns0:c r="F1320" s="32"/>
      <ns0:c r="G1320" s="29"/>
      <ns0:c r="H1320" s="29"/>
      <ns0:c r="I1320" s="29"/>
      <ns0:c r="J1320" s="29"/>
      <ns0:c r="K1320" s="29"/>
    </ns0:row>
    <ns0:row r="1321" ht="28" customHeight="1">
      <ns0:c r="A1321" s="29"/>
      <ns0:c r="B1321" s="30"/>
      <ns0:c r="C1321" s="28"/>
      <ns0:c r="D1321" s="29"/>
      <ns0:c r="E1321" s="31"/>
      <ns0:c r="F1321" s="32"/>
      <ns0:c r="G1321" s="29"/>
      <ns0:c r="H1321" s="29"/>
      <ns0:c r="I1321" s="29"/>
      <ns0:c r="J1321" s="29"/>
      <ns0:c r="K1321" s="29"/>
    </ns0:row>
    <ns0:row r="1322" ht="28" customHeight="1">
      <ns0:c r="A1322" s="29"/>
      <ns0:c r="B1322" s="30"/>
      <ns0:c r="C1322" s="28"/>
      <ns0:c r="D1322" s="29"/>
      <ns0:c r="E1322" s="31"/>
      <ns0:c r="F1322" s="32"/>
      <ns0:c r="G1322" s="29"/>
      <ns0:c r="H1322" s="29"/>
      <ns0:c r="I1322" s="29"/>
      <ns0:c r="J1322" s="29"/>
      <ns0:c r="K1322" s="29"/>
    </ns0:row>
    <ns0:row r="1323" ht="28" customHeight="1">
      <ns0:c r="A1323" s="29"/>
      <ns0:c r="B1323" s="30"/>
      <ns0:c r="C1323" s="28"/>
      <ns0:c r="D1323" s="29"/>
      <ns0:c r="E1323" s="31"/>
      <ns0:c r="F1323" s="32"/>
      <ns0:c r="G1323" s="29"/>
      <ns0:c r="H1323" s="29"/>
      <ns0:c r="I1323" s="29"/>
      <ns0:c r="J1323" s="29"/>
      <ns0:c r="K1323" s="29"/>
    </ns0:row>
    <ns0:row r="1324" ht="28" customHeight="1">
      <ns0:c r="A1324" s="29"/>
      <ns0:c r="B1324" s="30"/>
      <ns0:c r="C1324" s="28"/>
      <ns0:c r="D1324" s="29"/>
      <ns0:c r="E1324" s="31"/>
      <ns0:c r="F1324" s="32"/>
      <ns0:c r="G1324" s="29"/>
      <ns0:c r="H1324" s="29"/>
      <ns0:c r="I1324" s="29"/>
      <ns0:c r="J1324" s="29"/>
      <ns0:c r="K1324" s="29"/>
    </ns0:row>
    <ns0:row r="1325" ht="28" customHeight="1">
      <ns0:c r="A1325" s="29"/>
      <ns0:c r="B1325" s="30"/>
      <ns0:c r="C1325" s="28"/>
      <ns0:c r="D1325" s="29"/>
      <ns0:c r="E1325" s="31"/>
      <ns0:c r="F1325" s="32"/>
      <ns0:c r="G1325" s="29"/>
      <ns0:c r="H1325" s="29"/>
      <ns0:c r="I1325" s="29"/>
      <ns0:c r="J1325" s="29"/>
      <ns0:c r="K1325" s="29"/>
    </ns0:row>
    <ns0:row r="1326" ht="28" customHeight="1">
      <ns0:c r="A1326" s="29"/>
      <ns0:c r="B1326" s="30"/>
      <ns0:c r="C1326" s="28"/>
      <ns0:c r="D1326" s="29"/>
      <ns0:c r="E1326" s="31"/>
      <ns0:c r="F1326" s="32"/>
      <ns0:c r="G1326" s="29"/>
      <ns0:c r="H1326" s="29"/>
      <ns0:c r="I1326" s="29"/>
      <ns0:c r="J1326" s="29"/>
      <ns0:c r="K1326" s="29"/>
    </ns0:row>
    <ns0:row r="1327" ht="28" customHeight="1">
      <ns0:c r="A1327" s="29"/>
      <ns0:c r="B1327" s="30"/>
      <ns0:c r="C1327" s="28"/>
      <ns0:c r="D1327" s="29"/>
      <ns0:c r="E1327" s="31"/>
      <ns0:c r="F1327" s="32"/>
      <ns0:c r="G1327" s="29"/>
      <ns0:c r="H1327" s="29"/>
      <ns0:c r="I1327" s="29"/>
      <ns0:c r="J1327" s="29"/>
      <ns0:c r="K1327" s="29"/>
    </ns0:row>
    <ns0:row r="1328" ht="28" customHeight="1">
      <ns0:c r="A1328" s="29"/>
      <ns0:c r="B1328" s="30"/>
      <ns0:c r="C1328" s="28"/>
      <ns0:c r="D1328" s="29"/>
      <ns0:c r="E1328" s="31"/>
      <ns0:c r="F1328" s="32"/>
      <ns0:c r="G1328" s="29"/>
      <ns0:c r="H1328" s="29"/>
      <ns0:c r="I1328" s="29"/>
      <ns0:c r="J1328" s="29"/>
      <ns0:c r="K1328" s="29"/>
    </ns0:row>
    <ns0:row r="1329" ht="28" customHeight="1">
      <ns0:c r="A1329" s="29"/>
      <ns0:c r="B1329" s="30"/>
      <ns0:c r="C1329" s="28"/>
      <ns0:c r="D1329" s="29"/>
      <ns0:c r="E1329" s="31"/>
      <ns0:c r="F1329" s="32"/>
      <ns0:c r="G1329" s="29"/>
      <ns0:c r="H1329" s="29"/>
      <ns0:c r="I1329" s="29"/>
      <ns0:c r="J1329" s="29"/>
      <ns0:c r="K1329" s="29"/>
    </ns0:row>
    <ns0:row r="1330" ht="28" customHeight="1">
      <ns0:c r="A1330" s="29"/>
      <ns0:c r="B1330" s="30"/>
      <ns0:c r="C1330" s="28"/>
      <ns0:c r="D1330" s="29"/>
      <ns0:c r="E1330" s="31"/>
      <ns0:c r="F1330" s="32"/>
      <ns0:c r="G1330" s="29"/>
      <ns0:c r="H1330" s="29"/>
      <ns0:c r="I1330" s="29"/>
      <ns0:c r="J1330" s="29"/>
      <ns0:c r="K1330" s="29"/>
    </ns0:row>
    <ns0:row r="1331" ht="28" customHeight="1">
      <ns0:c r="A1331" s="29"/>
      <ns0:c r="B1331" s="30"/>
      <ns0:c r="C1331" s="28"/>
      <ns0:c r="D1331" s="29"/>
      <ns0:c r="E1331" s="31"/>
      <ns0:c r="F1331" s="32"/>
      <ns0:c r="G1331" s="29"/>
      <ns0:c r="H1331" s="29"/>
      <ns0:c r="I1331" s="29"/>
      <ns0:c r="J1331" s="29"/>
      <ns0:c r="K1331" s="29"/>
    </ns0:row>
    <ns0:row r="1332" ht="28" customHeight="1">
      <ns0:c r="A1332" s="29"/>
      <ns0:c r="B1332" s="30"/>
      <ns0:c r="C1332" s="28"/>
      <ns0:c r="D1332" s="29"/>
      <ns0:c r="E1332" s="31"/>
      <ns0:c r="F1332" s="32"/>
      <ns0:c r="G1332" s="29"/>
      <ns0:c r="H1332" s="29"/>
      <ns0:c r="I1332" s="29"/>
      <ns0:c r="J1332" s="29"/>
      <ns0:c r="K1332" s="29"/>
    </ns0:row>
    <ns0:row r="1333" ht="28" customHeight="1">
      <ns0:c r="A1333" s="29"/>
      <ns0:c r="B1333" s="30"/>
      <ns0:c r="C1333" s="28"/>
      <ns0:c r="D1333" s="29"/>
      <ns0:c r="E1333" s="31"/>
      <ns0:c r="F1333" s="32"/>
      <ns0:c r="G1333" s="29"/>
      <ns0:c r="H1333" s="29"/>
      <ns0:c r="I1333" s="29"/>
      <ns0:c r="J1333" s="29"/>
      <ns0:c r="K1333" s="29"/>
    </ns0:row>
    <ns0:row r="1334" ht="28" customHeight="1">
      <ns0:c r="A1334" s="29"/>
      <ns0:c r="B1334" s="30"/>
      <ns0:c r="C1334" s="28"/>
      <ns0:c r="D1334" s="29"/>
      <ns0:c r="E1334" s="31"/>
      <ns0:c r="F1334" s="32"/>
      <ns0:c r="G1334" s="29"/>
      <ns0:c r="H1334" s="29"/>
      <ns0:c r="I1334" s="29"/>
      <ns0:c r="J1334" s="29"/>
      <ns0:c r="K1334" s="29"/>
    </ns0:row>
    <ns0:row r="1335" ht="28" customHeight="1">
      <ns0:c r="A1335" s="29"/>
      <ns0:c r="B1335" s="30"/>
      <ns0:c r="C1335" s="28"/>
      <ns0:c r="D1335" s="29"/>
      <ns0:c r="E1335" s="31"/>
      <ns0:c r="F1335" s="32"/>
      <ns0:c r="G1335" s="29"/>
      <ns0:c r="H1335" s="29"/>
      <ns0:c r="I1335" s="29"/>
      <ns0:c r="J1335" s="29"/>
      <ns0:c r="K1335" s="29"/>
    </ns0:row>
    <ns0:row r="1336" ht="28" customHeight="1">
      <ns0:c r="A1336" s="29"/>
      <ns0:c r="B1336" s="30"/>
      <ns0:c r="C1336" s="28"/>
      <ns0:c r="D1336" s="29"/>
      <ns0:c r="E1336" s="31"/>
      <ns0:c r="F1336" s="32"/>
      <ns0:c r="G1336" s="29"/>
      <ns0:c r="H1336" s="29"/>
      <ns0:c r="I1336" s="29"/>
      <ns0:c r="J1336" s="29"/>
      <ns0:c r="K1336" s="29"/>
    </ns0:row>
    <ns0:row r="1337" ht="28" customHeight="1">
      <ns0:c r="A1337" s="29"/>
      <ns0:c r="B1337" s="30"/>
      <ns0:c r="C1337" s="28"/>
      <ns0:c r="D1337" s="29"/>
      <ns0:c r="E1337" s="31"/>
      <ns0:c r="F1337" s="32"/>
      <ns0:c r="G1337" s="29"/>
      <ns0:c r="H1337" s="29"/>
      <ns0:c r="I1337" s="29"/>
      <ns0:c r="J1337" s="29"/>
      <ns0:c r="K1337" s="29"/>
    </ns0:row>
    <ns0:row r="1338" ht="28" customHeight="1">
      <ns0:c r="A1338" s="29"/>
      <ns0:c r="B1338" s="30"/>
      <ns0:c r="C1338" s="28"/>
      <ns0:c r="D1338" s="29"/>
      <ns0:c r="E1338" s="31"/>
      <ns0:c r="F1338" s="32"/>
      <ns0:c r="G1338" s="29"/>
      <ns0:c r="H1338" s="29"/>
      <ns0:c r="I1338" s="29"/>
      <ns0:c r="J1338" s="29"/>
      <ns0:c r="K1338" s="29"/>
    </ns0:row>
    <ns0:row r="1339" ht="28" customHeight="1">
      <ns0:c r="A1339" s="29"/>
      <ns0:c r="B1339" s="30"/>
      <ns0:c r="C1339" s="28"/>
      <ns0:c r="D1339" s="29"/>
      <ns0:c r="E1339" s="31"/>
      <ns0:c r="F1339" s="32"/>
      <ns0:c r="G1339" s="29"/>
      <ns0:c r="H1339" s="29"/>
      <ns0:c r="I1339" s="29"/>
      <ns0:c r="J1339" s="29"/>
      <ns0:c r="K1339" s="29"/>
    </ns0:row>
    <ns0:row r="1340" ht="28" customHeight="1">
      <ns0:c r="A1340" s="29"/>
      <ns0:c r="B1340" s="30"/>
      <ns0:c r="C1340" s="28"/>
      <ns0:c r="D1340" s="29"/>
      <ns0:c r="E1340" s="31"/>
      <ns0:c r="F1340" s="32"/>
      <ns0:c r="G1340" s="29"/>
      <ns0:c r="H1340" s="29"/>
      <ns0:c r="I1340" s="29"/>
      <ns0:c r="J1340" s="29"/>
      <ns0:c r="K1340" s="29"/>
    </ns0:row>
    <ns0:row r="1341" ht="28" customHeight="1">
      <ns0:c r="A1341" s="29"/>
      <ns0:c r="B1341" s="30"/>
      <ns0:c r="C1341" s="28"/>
      <ns0:c r="D1341" s="29"/>
      <ns0:c r="E1341" s="31"/>
      <ns0:c r="F1341" s="32"/>
      <ns0:c r="G1341" s="29"/>
      <ns0:c r="H1341" s="29"/>
      <ns0:c r="I1341" s="29"/>
      <ns0:c r="J1341" s="29"/>
      <ns0:c r="K1341" s="29"/>
    </ns0:row>
    <ns0:row r="1342" ht="28" customHeight="1">
      <ns0:c r="A1342" s="29"/>
      <ns0:c r="B1342" s="30"/>
      <ns0:c r="C1342" s="28"/>
      <ns0:c r="D1342" s="29"/>
      <ns0:c r="E1342" s="31"/>
      <ns0:c r="F1342" s="32"/>
      <ns0:c r="G1342" s="29"/>
      <ns0:c r="H1342" s="29"/>
      <ns0:c r="I1342" s="29"/>
      <ns0:c r="J1342" s="29"/>
      <ns0:c r="K1342" s="29"/>
    </ns0:row>
    <ns0:row r="1343" ht="28" customHeight="1">
      <ns0:c r="A1343" s="29"/>
      <ns0:c r="B1343" s="30"/>
      <ns0:c r="C1343" s="28"/>
      <ns0:c r="D1343" s="29"/>
      <ns0:c r="E1343" s="31"/>
      <ns0:c r="F1343" s="32"/>
      <ns0:c r="G1343" s="29"/>
      <ns0:c r="H1343" s="29"/>
      <ns0:c r="I1343" s="29"/>
      <ns0:c r="J1343" s="29"/>
      <ns0:c r="K1343" s="29"/>
    </ns0:row>
    <ns0:row r="1344" ht="28" customHeight="1">
      <ns0:c r="A1344" s="29"/>
      <ns0:c r="B1344" s="30"/>
      <ns0:c r="C1344" s="28"/>
      <ns0:c r="D1344" s="29"/>
      <ns0:c r="E1344" s="31"/>
      <ns0:c r="F1344" s="32"/>
      <ns0:c r="G1344" s="29"/>
      <ns0:c r="H1344" s="29"/>
      <ns0:c r="I1344" s="29"/>
      <ns0:c r="J1344" s="29"/>
      <ns0:c r="K1344" s="29"/>
    </ns0:row>
    <ns0:row r="1345" ht="28" customHeight="1">
      <ns0:c r="A1345" s="29"/>
      <ns0:c r="B1345" s="30"/>
      <ns0:c r="C1345" s="28"/>
      <ns0:c r="D1345" s="29"/>
      <ns0:c r="E1345" s="31"/>
      <ns0:c r="F1345" s="32"/>
      <ns0:c r="G1345" s="29"/>
      <ns0:c r="H1345" s="29"/>
      <ns0:c r="I1345" s="29"/>
      <ns0:c r="J1345" s="29"/>
      <ns0:c r="K1345" s="29"/>
    </ns0:row>
    <ns0:row r="1346" ht="28" customHeight="1">
      <ns0:c r="A1346" s="29"/>
      <ns0:c r="B1346" s="30"/>
      <ns0:c r="C1346" s="28"/>
      <ns0:c r="D1346" s="29"/>
      <ns0:c r="E1346" s="31"/>
      <ns0:c r="F1346" s="32"/>
      <ns0:c r="G1346" s="29"/>
      <ns0:c r="H1346" s="29"/>
      <ns0:c r="I1346" s="29"/>
      <ns0:c r="J1346" s="29"/>
      <ns0:c r="K1346" s="29"/>
    </ns0:row>
    <ns0:row r="1347" ht="28" customHeight="1">
      <ns0:c r="A1347" s="29"/>
      <ns0:c r="B1347" s="30"/>
      <ns0:c r="C1347" s="28"/>
      <ns0:c r="D1347" s="29"/>
      <ns0:c r="E1347" s="31"/>
      <ns0:c r="F1347" s="32"/>
      <ns0:c r="G1347" s="29"/>
      <ns0:c r="H1347" s="29"/>
      <ns0:c r="I1347" s="29"/>
      <ns0:c r="J1347" s="29"/>
      <ns0:c r="K1347" s="29"/>
    </ns0:row>
    <ns0:row r="1348" ht="28" customHeight="1">
      <ns0:c r="A1348" s="29"/>
      <ns0:c r="B1348" s="30"/>
      <ns0:c r="C1348" s="28"/>
      <ns0:c r="D1348" s="29"/>
      <ns0:c r="E1348" s="31"/>
      <ns0:c r="F1348" s="32"/>
      <ns0:c r="G1348" s="29"/>
      <ns0:c r="H1348" s="29"/>
      <ns0:c r="I1348" s="29"/>
      <ns0:c r="J1348" s="29"/>
      <ns0:c r="K1348" s="29"/>
    </ns0:row>
    <ns0:row r="1349" ht="28" customHeight="1">
      <ns0:c r="A1349" s="29"/>
      <ns0:c r="B1349" s="30"/>
      <ns0:c r="C1349" s="28"/>
      <ns0:c r="D1349" s="29"/>
      <ns0:c r="E1349" s="31"/>
      <ns0:c r="F1349" s="32"/>
      <ns0:c r="G1349" s="29"/>
      <ns0:c r="H1349" s="29"/>
      <ns0:c r="I1349" s="29"/>
      <ns0:c r="J1349" s="29"/>
      <ns0:c r="K1349" s="29"/>
    </ns0:row>
    <ns0:row r="1350" ht="28" customHeight="1">
      <ns0:c r="A1350" s="29"/>
      <ns0:c r="B1350" s="30"/>
      <ns0:c r="C1350" s="28"/>
      <ns0:c r="D1350" s="29"/>
      <ns0:c r="E1350" s="31"/>
      <ns0:c r="F1350" s="32"/>
      <ns0:c r="G1350" s="29"/>
      <ns0:c r="H1350" s="29"/>
      <ns0:c r="I1350" s="29"/>
      <ns0:c r="J1350" s="29"/>
      <ns0:c r="K1350" s="29"/>
    </ns0:row>
    <ns0:row r="1351" ht="28" customHeight="1">
      <ns0:c r="A1351" s="29"/>
      <ns0:c r="B1351" s="30"/>
      <ns0:c r="C1351" s="28"/>
      <ns0:c r="D1351" s="29"/>
      <ns0:c r="E1351" s="31"/>
      <ns0:c r="F1351" s="32"/>
      <ns0:c r="G1351" s="29"/>
      <ns0:c r="H1351" s="29"/>
      <ns0:c r="I1351" s="29"/>
      <ns0:c r="J1351" s="29"/>
      <ns0:c r="K1351" s="29"/>
    </ns0:row>
    <ns0:row r="1352" ht="28" customHeight="1">
      <ns0:c r="A1352" s="29"/>
      <ns0:c r="B1352" s="30"/>
      <ns0:c r="C1352" s="28"/>
      <ns0:c r="D1352" s="29"/>
      <ns0:c r="E1352" s="31"/>
      <ns0:c r="F1352" s="32"/>
      <ns0:c r="G1352" s="29"/>
      <ns0:c r="H1352" s="29"/>
      <ns0:c r="I1352" s="29"/>
      <ns0:c r="J1352" s="29"/>
      <ns0:c r="K1352" s="29"/>
    </ns0:row>
    <ns0:row r="1353" ht="28" customHeight="1">
      <ns0:c r="A1353" s="29"/>
      <ns0:c r="B1353" s="30"/>
      <ns0:c r="C1353" s="28"/>
      <ns0:c r="D1353" s="29"/>
      <ns0:c r="E1353" s="31"/>
      <ns0:c r="F1353" s="32"/>
      <ns0:c r="G1353" s="29"/>
      <ns0:c r="H1353" s="29"/>
      <ns0:c r="I1353" s="29"/>
      <ns0:c r="J1353" s="29"/>
      <ns0:c r="K1353" s="29"/>
    </ns0:row>
    <ns0:row r="1354" ht="28" customHeight="1">
      <ns0:c r="A1354" s="29"/>
      <ns0:c r="B1354" s="30"/>
      <ns0:c r="C1354" s="28"/>
      <ns0:c r="D1354" s="29"/>
      <ns0:c r="E1354" s="31"/>
      <ns0:c r="F1354" s="32"/>
      <ns0:c r="G1354" s="29"/>
      <ns0:c r="H1354" s="29"/>
      <ns0:c r="I1354" s="29"/>
      <ns0:c r="J1354" s="29"/>
      <ns0:c r="K1354" s="29"/>
    </ns0:row>
    <ns0:row r="1355" ht="28" customHeight="1">
      <ns0:c r="A1355" s="29"/>
      <ns0:c r="B1355" s="30"/>
      <ns0:c r="C1355" s="28"/>
      <ns0:c r="D1355" s="29"/>
      <ns0:c r="E1355" s="31"/>
      <ns0:c r="F1355" s="32"/>
      <ns0:c r="G1355" s="29"/>
      <ns0:c r="H1355" s="29"/>
      <ns0:c r="I1355" s="29"/>
      <ns0:c r="J1355" s="29"/>
      <ns0:c r="K1355" s="29"/>
    </ns0:row>
    <ns0:row r="1356" ht="28" customHeight="1">
      <ns0:c r="A1356" s="29"/>
      <ns0:c r="B1356" s="30"/>
      <ns0:c r="C1356" s="28"/>
      <ns0:c r="D1356" s="29"/>
      <ns0:c r="E1356" s="31"/>
      <ns0:c r="F1356" s="32"/>
      <ns0:c r="G1356" s="29"/>
      <ns0:c r="H1356" s="29"/>
      <ns0:c r="I1356" s="29"/>
      <ns0:c r="J1356" s="29"/>
      <ns0:c r="K1356" s="29"/>
    </ns0:row>
    <ns0:row r="1357" ht="28" customHeight="1">
      <ns0:c r="A1357" s="29"/>
      <ns0:c r="B1357" s="30"/>
      <ns0:c r="C1357" s="28"/>
      <ns0:c r="D1357" s="29"/>
      <ns0:c r="E1357" s="31"/>
      <ns0:c r="F1357" s="32"/>
      <ns0:c r="G1357" s="29"/>
      <ns0:c r="H1357" s="29"/>
      <ns0:c r="I1357" s="29"/>
      <ns0:c r="J1357" s="29"/>
      <ns0:c r="K1357" s="29"/>
    </ns0:row>
    <ns0:row r="1358" ht="28" customHeight="1">
      <ns0:c r="A1358" s="29"/>
      <ns0:c r="B1358" s="30"/>
      <ns0:c r="C1358" s="28"/>
      <ns0:c r="D1358" s="29"/>
      <ns0:c r="E1358" s="31"/>
      <ns0:c r="F1358" s="32"/>
      <ns0:c r="G1358" s="29"/>
      <ns0:c r="H1358" s="29"/>
      <ns0:c r="I1358" s="29"/>
      <ns0:c r="J1358" s="29"/>
      <ns0:c r="K1358" s="29"/>
    </ns0:row>
    <ns0:row r="1359" ht="28" customHeight="1">
      <ns0:c r="A1359" s="29"/>
      <ns0:c r="B1359" s="30"/>
      <ns0:c r="C1359" s="28"/>
      <ns0:c r="D1359" s="29"/>
      <ns0:c r="E1359" s="31"/>
      <ns0:c r="F1359" s="32"/>
      <ns0:c r="G1359" s="29"/>
      <ns0:c r="H1359" s="29"/>
      <ns0:c r="I1359" s="29"/>
      <ns0:c r="J1359" s="29"/>
      <ns0:c r="K1359" s="29"/>
    </ns0:row>
    <ns0:row r="1360" ht="28" customHeight="1">
      <ns0:c r="A1360" s="29"/>
      <ns0:c r="B1360" s="30"/>
      <ns0:c r="C1360" s="28"/>
      <ns0:c r="D1360" s="29"/>
      <ns0:c r="E1360" s="31"/>
      <ns0:c r="F1360" s="32"/>
      <ns0:c r="G1360" s="29"/>
      <ns0:c r="H1360" s="29"/>
      <ns0:c r="I1360" s="29"/>
      <ns0:c r="J1360" s="29"/>
      <ns0:c r="K1360" s="29"/>
    </ns0:row>
    <ns0:row r="1361" ht="28" customHeight="1">
      <ns0:c r="A1361" s="29"/>
      <ns0:c r="B1361" s="30"/>
      <ns0:c r="C1361" s="28"/>
      <ns0:c r="D1361" s="29"/>
      <ns0:c r="E1361" s="31"/>
      <ns0:c r="F1361" s="32"/>
      <ns0:c r="G1361" s="29"/>
      <ns0:c r="H1361" s="29"/>
      <ns0:c r="I1361" s="29"/>
      <ns0:c r="J1361" s="29"/>
      <ns0:c r="K1361" s="29"/>
    </ns0:row>
    <ns0:row r="1362" ht="28" customHeight="1">
      <ns0:c r="A1362" s="29"/>
      <ns0:c r="B1362" s="30"/>
      <ns0:c r="C1362" s="28"/>
      <ns0:c r="D1362" s="29"/>
      <ns0:c r="E1362" s="31"/>
      <ns0:c r="F1362" s="32"/>
      <ns0:c r="G1362" s="29"/>
      <ns0:c r="H1362" s="29"/>
      <ns0:c r="I1362" s="29"/>
      <ns0:c r="J1362" s="29"/>
      <ns0:c r="K1362" s="29"/>
    </ns0:row>
    <ns0:row r="1363" ht="28" customHeight="1">
      <ns0:c r="A1363" s="29"/>
      <ns0:c r="B1363" s="30"/>
      <ns0:c r="C1363" s="28"/>
      <ns0:c r="D1363" s="29"/>
      <ns0:c r="E1363" s="31"/>
      <ns0:c r="F1363" s="32"/>
      <ns0:c r="G1363" s="29"/>
      <ns0:c r="H1363" s="29"/>
      <ns0:c r="I1363" s="29"/>
      <ns0:c r="J1363" s="29"/>
      <ns0:c r="K1363" s="29"/>
    </ns0:row>
    <ns0:row r="1364" ht="28" customHeight="1">
      <ns0:c r="A1364" s="29"/>
      <ns0:c r="B1364" s="30"/>
      <ns0:c r="C1364" s="28"/>
      <ns0:c r="D1364" s="29"/>
      <ns0:c r="E1364" s="31"/>
      <ns0:c r="F1364" s="32"/>
      <ns0:c r="G1364" s="29"/>
      <ns0:c r="H1364" s="29"/>
      <ns0:c r="I1364" s="29"/>
      <ns0:c r="J1364" s="29"/>
      <ns0:c r="K1364" s="29"/>
    </ns0:row>
    <ns0:row r="1365" ht="28" customHeight="1">
      <ns0:c r="A1365" s="29"/>
      <ns0:c r="B1365" s="30"/>
      <ns0:c r="C1365" s="28"/>
      <ns0:c r="D1365" s="29"/>
      <ns0:c r="E1365" s="31"/>
      <ns0:c r="F1365" s="32"/>
      <ns0:c r="G1365" s="29"/>
      <ns0:c r="H1365" s="29"/>
      <ns0:c r="I1365" s="29"/>
      <ns0:c r="J1365" s="29"/>
      <ns0:c r="K1365" s="29"/>
    </ns0:row>
    <ns0:row r="1366" ht="28" customHeight="1">
      <ns0:c r="A1366" s="29"/>
      <ns0:c r="B1366" s="30"/>
      <ns0:c r="C1366" s="28"/>
      <ns0:c r="D1366" s="29"/>
      <ns0:c r="E1366" s="31"/>
      <ns0:c r="F1366" s="32"/>
      <ns0:c r="G1366" s="29"/>
      <ns0:c r="H1366" s="29"/>
      <ns0:c r="I1366" s="29"/>
      <ns0:c r="J1366" s="29"/>
      <ns0:c r="K1366" s="29"/>
    </ns0:row>
    <ns0:row r="1367" ht="28" customHeight="1">
      <ns0:c r="A1367" s="29"/>
      <ns0:c r="B1367" s="30"/>
      <ns0:c r="C1367" s="28"/>
      <ns0:c r="D1367" s="29"/>
      <ns0:c r="E1367" s="31"/>
      <ns0:c r="F1367" s="32"/>
      <ns0:c r="G1367" s="29"/>
      <ns0:c r="H1367" s="29"/>
      <ns0:c r="I1367" s="29"/>
      <ns0:c r="J1367" s="29"/>
      <ns0:c r="K1367" s="29"/>
    </ns0:row>
    <ns0:row r="1368" ht="28" customHeight="1">
      <ns0:c r="A1368" s="29"/>
      <ns0:c r="B1368" s="30"/>
      <ns0:c r="C1368" s="28"/>
      <ns0:c r="D1368" s="29"/>
      <ns0:c r="E1368" s="31"/>
      <ns0:c r="F1368" s="32"/>
      <ns0:c r="G1368" s="29"/>
      <ns0:c r="H1368" s="29"/>
      <ns0:c r="I1368" s="29"/>
      <ns0:c r="J1368" s="29"/>
      <ns0:c r="K1368" s="29"/>
    </ns0:row>
    <ns0:row r="1369" ht="28" customHeight="1">
      <ns0:c r="A1369" s="29"/>
      <ns0:c r="B1369" s="30"/>
      <ns0:c r="C1369" s="28"/>
      <ns0:c r="D1369" s="29"/>
      <ns0:c r="E1369" s="31"/>
      <ns0:c r="F1369" s="32"/>
      <ns0:c r="G1369" s="29"/>
      <ns0:c r="H1369" s="29"/>
      <ns0:c r="I1369" s="29"/>
      <ns0:c r="J1369" s="29"/>
      <ns0:c r="K1369" s="29"/>
    </ns0:row>
    <ns0:row r="1370" ht="28" customHeight="1">
      <ns0:c r="A1370" s="29"/>
      <ns0:c r="B1370" s="30"/>
      <ns0:c r="C1370" s="28"/>
      <ns0:c r="D1370" s="29"/>
      <ns0:c r="E1370" s="31"/>
      <ns0:c r="F1370" s="32"/>
      <ns0:c r="G1370" s="29"/>
      <ns0:c r="H1370" s="29"/>
      <ns0:c r="I1370" s="29"/>
      <ns0:c r="J1370" s="29"/>
      <ns0:c r="K1370" s="29"/>
    </ns0:row>
    <ns0:row r="1371" ht="28" customHeight="1">
      <ns0:c r="A1371" s="29"/>
      <ns0:c r="B1371" s="30"/>
      <ns0:c r="C1371" s="28"/>
      <ns0:c r="D1371" s="29"/>
      <ns0:c r="E1371" s="31"/>
      <ns0:c r="F1371" s="32"/>
      <ns0:c r="G1371" s="29"/>
      <ns0:c r="H1371" s="29"/>
      <ns0:c r="I1371" s="29"/>
      <ns0:c r="J1371" s="29"/>
      <ns0:c r="K1371" s="29"/>
    </ns0:row>
    <ns0:row r="1372" ht="28" customHeight="1">
      <ns0:c r="A1372" s="29"/>
      <ns0:c r="B1372" s="30"/>
      <ns0:c r="C1372" s="28"/>
      <ns0:c r="D1372" s="29"/>
      <ns0:c r="E1372" s="31"/>
      <ns0:c r="F1372" s="32"/>
      <ns0:c r="G1372" s="29"/>
      <ns0:c r="H1372" s="29"/>
      <ns0:c r="I1372" s="29"/>
      <ns0:c r="J1372" s="29"/>
      <ns0:c r="K1372" s="29"/>
    </ns0:row>
    <ns0:row r="1373" ht="28" customHeight="1">
      <ns0:c r="A1373" s="29"/>
      <ns0:c r="B1373" s="30"/>
      <ns0:c r="C1373" s="28"/>
      <ns0:c r="D1373" s="29"/>
      <ns0:c r="E1373" s="31"/>
      <ns0:c r="F1373" s="32"/>
      <ns0:c r="G1373" s="29"/>
      <ns0:c r="H1373" s="29"/>
      <ns0:c r="I1373" s="29"/>
      <ns0:c r="J1373" s="29"/>
      <ns0:c r="K1373" s="29"/>
    </ns0:row>
    <ns0:row r="1374" ht="28" customHeight="1">
      <ns0:c r="A1374" s="29"/>
      <ns0:c r="B1374" s="30"/>
      <ns0:c r="C1374" s="28"/>
      <ns0:c r="D1374" s="29"/>
      <ns0:c r="E1374" s="31"/>
      <ns0:c r="F1374" s="32"/>
      <ns0:c r="G1374" s="29"/>
      <ns0:c r="H1374" s="29"/>
      <ns0:c r="I1374" s="29"/>
      <ns0:c r="J1374" s="29"/>
      <ns0:c r="K1374" s="29"/>
    </ns0:row>
    <ns0:row r="1375" ht="28" customHeight="1">
      <ns0:c r="A1375" s="29"/>
      <ns0:c r="B1375" s="30"/>
      <ns0:c r="C1375" s="28"/>
      <ns0:c r="D1375" s="29"/>
      <ns0:c r="E1375" s="31"/>
      <ns0:c r="F1375" s="32"/>
      <ns0:c r="G1375" s="29"/>
      <ns0:c r="H1375" s="29"/>
      <ns0:c r="I1375" s="29"/>
      <ns0:c r="J1375" s="29"/>
      <ns0:c r="K1375" s="29"/>
    </ns0:row>
    <ns0:row r="1376" ht="28" customHeight="1">
      <ns0:c r="A1376" s="29"/>
      <ns0:c r="B1376" s="30"/>
      <ns0:c r="C1376" s="28"/>
      <ns0:c r="D1376" s="29"/>
      <ns0:c r="E1376" s="31"/>
      <ns0:c r="F1376" s="32"/>
      <ns0:c r="G1376" s="29"/>
      <ns0:c r="H1376" s="29"/>
      <ns0:c r="I1376" s="29"/>
      <ns0:c r="J1376" s="29"/>
      <ns0:c r="K1376" s="29"/>
    </ns0:row>
    <ns0:row r="1377" ht="28" customHeight="1">
      <ns0:c r="A1377" s="29"/>
      <ns0:c r="B1377" s="30"/>
      <ns0:c r="C1377" s="28"/>
      <ns0:c r="D1377" s="29"/>
      <ns0:c r="E1377" s="31"/>
      <ns0:c r="F1377" s="32"/>
      <ns0:c r="G1377" s="29"/>
      <ns0:c r="H1377" s="29"/>
      <ns0:c r="I1377" s="29"/>
      <ns0:c r="J1377" s="29"/>
      <ns0:c r="K1377" s="29"/>
    </ns0:row>
    <ns0:row r="1378" ht="28" customHeight="1">
      <ns0:c r="A1378" s="29"/>
      <ns0:c r="B1378" s="30"/>
      <ns0:c r="C1378" s="28"/>
      <ns0:c r="D1378" s="29"/>
      <ns0:c r="E1378" s="31"/>
      <ns0:c r="F1378" s="32"/>
      <ns0:c r="G1378" s="29"/>
      <ns0:c r="H1378" s="29"/>
      <ns0:c r="I1378" s="29"/>
      <ns0:c r="J1378" s="29"/>
      <ns0:c r="K1378" s="29"/>
    </ns0:row>
    <ns0:row r="1379" ht="28" customHeight="1">
      <ns0:c r="A1379" s="29"/>
      <ns0:c r="B1379" s="30"/>
      <ns0:c r="C1379" s="28"/>
      <ns0:c r="D1379" s="29"/>
      <ns0:c r="E1379" s="31"/>
      <ns0:c r="F1379" s="32"/>
      <ns0:c r="G1379" s="29"/>
      <ns0:c r="H1379" s="29"/>
      <ns0:c r="I1379" s="29"/>
      <ns0:c r="J1379" s="29"/>
      <ns0:c r="K1379" s="29"/>
    </ns0:row>
    <ns0:row r="1380" ht="28" customHeight="1">
      <ns0:c r="A1380" s="29"/>
      <ns0:c r="B1380" s="30"/>
      <ns0:c r="C1380" s="28"/>
      <ns0:c r="D1380" s="29"/>
      <ns0:c r="E1380" s="31"/>
      <ns0:c r="F1380" s="32"/>
      <ns0:c r="G1380" s="29"/>
      <ns0:c r="H1380" s="29"/>
      <ns0:c r="I1380" s="29"/>
      <ns0:c r="J1380" s="29"/>
      <ns0:c r="K1380" s="29"/>
    </ns0:row>
    <ns0:row r="1381" ht="28" customHeight="1">
      <ns0:c r="A1381" s="29"/>
      <ns0:c r="B1381" s="30"/>
      <ns0:c r="C1381" s="28"/>
      <ns0:c r="D1381" s="29"/>
      <ns0:c r="E1381" s="31"/>
      <ns0:c r="F1381" s="32"/>
      <ns0:c r="G1381" s="29"/>
      <ns0:c r="H1381" s="29"/>
      <ns0:c r="I1381" s="29"/>
      <ns0:c r="J1381" s="29"/>
      <ns0:c r="K1381" s="29"/>
    </ns0:row>
    <ns0:row r="1382" ht="28" customHeight="1">
      <ns0:c r="A1382" s="29"/>
      <ns0:c r="B1382" s="30"/>
      <ns0:c r="C1382" s="28"/>
      <ns0:c r="D1382" s="29"/>
      <ns0:c r="E1382" s="31"/>
      <ns0:c r="F1382" s="32"/>
      <ns0:c r="G1382" s="29"/>
      <ns0:c r="H1382" s="29"/>
      <ns0:c r="I1382" s="29"/>
      <ns0:c r="J1382" s="29"/>
      <ns0:c r="K1382" s="29"/>
    </ns0:row>
    <ns0:row r="1383" ht="28" customHeight="1">
      <ns0:c r="A1383" s="29"/>
      <ns0:c r="B1383" s="30"/>
      <ns0:c r="C1383" s="28"/>
      <ns0:c r="D1383" s="29"/>
      <ns0:c r="E1383" s="31"/>
      <ns0:c r="F1383" s="32"/>
      <ns0:c r="G1383" s="29"/>
      <ns0:c r="H1383" s="29"/>
      <ns0:c r="I1383" s="29"/>
      <ns0:c r="J1383" s="29"/>
      <ns0:c r="K1383" s="29"/>
    </ns0:row>
    <ns0:row r="1384" ht="28" customHeight="1">
      <ns0:c r="A1384" s="29"/>
      <ns0:c r="B1384" s="30"/>
      <ns0:c r="C1384" s="28"/>
      <ns0:c r="D1384" s="29"/>
      <ns0:c r="E1384" s="31"/>
      <ns0:c r="F1384" s="32"/>
      <ns0:c r="G1384" s="29"/>
      <ns0:c r="H1384" s="29"/>
      <ns0:c r="I1384" s="29"/>
      <ns0:c r="J1384" s="29"/>
      <ns0:c r="K1384" s="29"/>
    </ns0:row>
    <ns0:row r="1385" ht="28" customHeight="1">
      <ns0:c r="A1385" s="29"/>
      <ns0:c r="B1385" s="30"/>
      <ns0:c r="C1385" s="28"/>
      <ns0:c r="D1385" s="29"/>
      <ns0:c r="E1385" s="31"/>
      <ns0:c r="F1385" s="32"/>
      <ns0:c r="G1385" s="29"/>
      <ns0:c r="H1385" s="29"/>
      <ns0:c r="I1385" s="29"/>
      <ns0:c r="J1385" s="29"/>
      <ns0:c r="K1385" s="29"/>
    </ns0:row>
    <ns0:row r="1386" ht="28" customHeight="1">
      <ns0:c r="A1386" s="29"/>
      <ns0:c r="B1386" s="30"/>
      <ns0:c r="C1386" s="28"/>
      <ns0:c r="D1386" s="29"/>
      <ns0:c r="E1386" s="31"/>
      <ns0:c r="F1386" s="32"/>
      <ns0:c r="G1386" s="29"/>
      <ns0:c r="H1386" s="29"/>
      <ns0:c r="I1386" s="29"/>
      <ns0:c r="J1386" s="29"/>
      <ns0:c r="K1386" s="29"/>
    </ns0:row>
    <ns0:row r="1387" ht="28" customHeight="1">
      <ns0:c r="A1387" s="29"/>
      <ns0:c r="B1387" s="30"/>
      <ns0:c r="C1387" s="28"/>
      <ns0:c r="D1387" s="29"/>
      <ns0:c r="E1387" s="31"/>
      <ns0:c r="F1387" s="32"/>
      <ns0:c r="G1387" s="29"/>
      <ns0:c r="H1387" s="29"/>
      <ns0:c r="I1387" s="29"/>
      <ns0:c r="J1387" s="29"/>
      <ns0:c r="K1387" s="29"/>
    </ns0:row>
    <ns0:row r="1388" ht="28" customHeight="1">
      <ns0:c r="A1388" s="29"/>
      <ns0:c r="B1388" s="30"/>
      <ns0:c r="C1388" s="28"/>
      <ns0:c r="D1388" s="29"/>
      <ns0:c r="E1388" s="31"/>
      <ns0:c r="F1388" s="32"/>
      <ns0:c r="G1388" s="29"/>
      <ns0:c r="H1388" s="29"/>
      <ns0:c r="I1388" s="29"/>
      <ns0:c r="J1388" s="29"/>
      <ns0:c r="K1388" s="29"/>
    </ns0:row>
    <ns0:row r="1389" ht="28" customHeight="1">
      <ns0:c r="A1389" s="29"/>
      <ns0:c r="B1389" s="30"/>
      <ns0:c r="C1389" s="28"/>
      <ns0:c r="D1389" s="29"/>
      <ns0:c r="E1389" s="31"/>
      <ns0:c r="F1389" s="32"/>
      <ns0:c r="G1389" s="29"/>
      <ns0:c r="H1389" s="29"/>
      <ns0:c r="I1389" s="29"/>
      <ns0:c r="J1389" s="29"/>
      <ns0:c r="K1389" s="29"/>
    </ns0:row>
    <ns0:row r="1390" ht="28" customHeight="1">
      <ns0:c r="A1390" s="29"/>
      <ns0:c r="B1390" s="30"/>
      <ns0:c r="C1390" s="28"/>
      <ns0:c r="D1390" s="29"/>
      <ns0:c r="E1390" s="31"/>
      <ns0:c r="F1390" s="32"/>
      <ns0:c r="G1390" s="29"/>
      <ns0:c r="H1390" s="29"/>
      <ns0:c r="I1390" s="29"/>
      <ns0:c r="J1390" s="29"/>
      <ns0:c r="K1390" s="29"/>
    </ns0:row>
    <ns0:row r="1391" ht="28" customHeight="1">
      <ns0:c r="A1391" s="29"/>
      <ns0:c r="B1391" s="30"/>
      <ns0:c r="C1391" s="28"/>
      <ns0:c r="D1391" s="29"/>
      <ns0:c r="E1391" s="31"/>
      <ns0:c r="F1391" s="32"/>
      <ns0:c r="G1391" s="29"/>
      <ns0:c r="H1391" s="29"/>
      <ns0:c r="I1391" s="29"/>
      <ns0:c r="J1391" s="29"/>
      <ns0:c r="K1391" s="29"/>
    </ns0:row>
    <ns0:row r="1392" ht="28" customHeight="1">
      <ns0:c r="A1392" s="29"/>
      <ns0:c r="B1392" s="30"/>
      <ns0:c r="C1392" s="28"/>
      <ns0:c r="D1392" s="29"/>
      <ns0:c r="E1392" s="31"/>
      <ns0:c r="F1392" s="32"/>
      <ns0:c r="G1392" s="29"/>
      <ns0:c r="H1392" s="29"/>
      <ns0:c r="I1392" s="29"/>
      <ns0:c r="J1392" s="29"/>
      <ns0:c r="K1392" s="29"/>
    </ns0:row>
    <ns0:row r="1393" ht="28" customHeight="1">
      <ns0:c r="A1393" s="29"/>
      <ns0:c r="B1393" s="30"/>
      <ns0:c r="C1393" s="28"/>
      <ns0:c r="D1393" s="29"/>
      <ns0:c r="E1393" s="31"/>
      <ns0:c r="F1393" s="32"/>
      <ns0:c r="G1393" s="29"/>
      <ns0:c r="H1393" s="29"/>
      <ns0:c r="I1393" s="29"/>
      <ns0:c r="J1393" s="29"/>
      <ns0:c r="K1393" s="29"/>
    </ns0:row>
    <ns0:row r="1394" ht="28" customHeight="1">
      <ns0:c r="A1394" s="29"/>
      <ns0:c r="B1394" s="30"/>
      <ns0:c r="C1394" s="28"/>
      <ns0:c r="D1394" s="29"/>
      <ns0:c r="E1394" s="31"/>
      <ns0:c r="F1394" s="32"/>
      <ns0:c r="G1394" s="29"/>
      <ns0:c r="H1394" s="29"/>
      <ns0:c r="I1394" s="29"/>
      <ns0:c r="J1394" s="29"/>
      <ns0:c r="K1394" s="29"/>
    </ns0:row>
    <ns0:row r="1395" ht="28" customHeight="1">
      <ns0:c r="A1395" s="29"/>
      <ns0:c r="B1395" s="30"/>
      <ns0:c r="C1395" s="28"/>
      <ns0:c r="D1395" s="29"/>
      <ns0:c r="E1395" s="31"/>
      <ns0:c r="F1395" s="32"/>
      <ns0:c r="G1395" s="29"/>
      <ns0:c r="H1395" s="29"/>
      <ns0:c r="I1395" s="29"/>
      <ns0:c r="J1395" s="29"/>
      <ns0:c r="K1395" s="29"/>
    </ns0:row>
    <ns0:row r="1396" ht="28" customHeight="1">
      <ns0:c r="A1396" s="29"/>
      <ns0:c r="B1396" s="30"/>
      <ns0:c r="C1396" s="28"/>
      <ns0:c r="D1396" s="29"/>
      <ns0:c r="E1396" s="31"/>
      <ns0:c r="F1396" s="32"/>
      <ns0:c r="G1396" s="29"/>
      <ns0:c r="H1396" s="29"/>
      <ns0:c r="I1396" s="29"/>
      <ns0:c r="J1396" s="29"/>
      <ns0:c r="K1396" s="29"/>
    </ns0:row>
    <ns0:row r="1397" ht="28" customHeight="1">
      <ns0:c r="A1397" s="29"/>
      <ns0:c r="B1397" s="30"/>
      <ns0:c r="C1397" s="28"/>
      <ns0:c r="D1397" s="29"/>
      <ns0:c r="E1397" s="31"/>
      <ns0:c r="F1397" s="32"/>
      <ns0:c r="G1397" s="29"/>
      <ns0:c r="H1397" s="29"/>
      <ns0:c r="I1397" s="29"/>
      <ns0:c r="J1397" s="29"/>
      <ns0:c r="K1397" s="29"/>
    </ns0:row>
    <ns0:row r="1398" ht="28" customHeight="1">
      <ns0:c r="A1398" s="29"/>
      <ns0:c r="B1398" s="30"/>
      <ns0:c r="C1398" s="28"/>
      <ns0:c r="D1398" s="29"/>
      <ns0:c r="E1398" s="31"/>
      <ns0:c r="F1398" s="32"/>
      <ns0:c r="G1398" s="29"/>
      <ns0:c r="H1398" s="29"/>
      <ns0:c r="I1398" s="29"/>
      <ns0:c r="J1398" s="29"/>
      <ns0:c r="K1398" s="29"/>
    </ns0:row>
    <ns0:row r="1399" ht="28" customHeight="1">
      <ns0:c r="A1399" s="29"/>
      <ns0:c r="B1399" s="30"/>
      <ns0:c r="C1399" s="28"/>
      <ns0:c r="D1399" s="29"/>
      <ns0:c r="E1399" s="31"/>
      <ns0:c r="F1399" s="32"/>
      <ns0:c r="G1399" s="29"/>
      <ns0:c r="H1399" s="29"/>
      <ns0:c r="I1399" s="29"/>
      <ns0:c r="J1399" s="29"/>
      <ns0:c r="K1399" s="29"/>
    </ns0:row>
    <ns0:row r="1400" ht="28" customHeight="1">
      <ns0:c r="A1400" s="29"/>
      <ns0:c r="B1400" s="30"/>
      <ns0:c r="C1400" s="28"/>
      <ns0:c r="D1400" s="29"/>
      <ns0:c r="E1400" s="31"/>
      <ns0:c r="F1400" s="32"/>
      <ns0:c r="G1400" s="29"/>
      <ns0:c r="H1400" s="29"/>
      <ns0:c r="I1400" s="29"/>
      <ns0:c r="J1400" s="29"/>
      <ns0:c r="K1400" s="29"/>
    </ns0:row>
    <ns0:row r="1401" ht="28" customHeight="1">
      <ns0:c r="A1401" s="29"/>
      <ns0:c r="B1401" s="30"/>
      <ns0:c r="C1401" s="28"/>
      <ns0:c r="D1401" s="29"/>
      <ns0:c r="E1401" s="31"/>
      <ns0:c r="F1401" s="32"/>
      <ns0:c r="G1401" s="29"/>
      <ns0:c r="H1401" s="29"/>
      <ns0:c r="I1401" s="29"/>
      <ns0:c r="J1401" s="29"/>
      <ns0:c r="K1401" s="29"/>
    </ns0:row>
    <ns0:row r="1402" ht="28" customHeight="1">
      <ns0:c r="A1402" s="29"/>
      <ns0:c r="B1402" s="30"/>
      <ns0:c r="C1402" s="28"/>
      <ns0:c r="D1402" s="29"/>
      <ns0:c r="E1402" s="31"/>
      <ns0:c r="F1402" s="32"/>
      <ns0:c r="G1402" s="29"/>
      <ns0:c r="H1402" s="29"/>
      <ns0:c r="I1402" s="29"/>
      <ns0:c r="J1402" s="29"/>
      <ns0:c r="K1402" s="29"/>
    </ns0:row>
    <ns0:row r="1403" ht="28" customHeight="1">
      <ns0:c r="A1403" s="29"/>
      <ns0:c r="B1403" s="30"/>
      <ns0:c r="C1403" s="28"/>
      <ns0:c r="D1403" s="29"/>
      <ns0:c r="E1403" s="31"/>
      <ns0:c r="F1403" s="32"/>
      <ns0:c r="G1403" s="29"/>
      <ns0:c r="H1403" s="29"/>
      <ns0:c r="I1403" s="29"/>
      <ns0:c r="J1403" s="29"/>
      <ns0:c r="K1403" s="29"/>
    </ns0:row>
    <ns0:row r="1404" ht="28" customHeight="1">
      <ns0:c r="A1404" s="29"/>
      <ns0:c r="B1404" s="30"/>
      <ns0:c r="C1404" s="28"/>
      <ns0:c r="D1404" s="29"/>
      <ns0:c r="E1404" s="31"/>
      <ns0:c r="F1404" s="32"/>
      <ns0:c r="G1404" s="29"/>
      <ns0:c r="H1404" s="29"/>
      <ns0:c r="I1404" s="29"/>
      <ns0:c r="J1404" s="29"/>
      <ns0:c r="K1404" s="29"/>
    </ns0:row>
    <ns0:row r="1405" ht="28" customHeight="1">
      <ns0:c r="A1405" s="29"/>
      <ns0:c r="B1405" s="30"/>
      <ns0:c r="C1405" s="28"/>
      <ns0:c r="D1405" s="29"/>
      <ns0:c r="E1405" s="31"/>
      <ns0:c r="F1405" s="32"/>
      <ns0:c r="G1405" s="29"/>
      <ns0:c r="H1405" s="29"/>
      <ns0:c r="I1405" s="29"/>
      <ns0:c r="J1405" s="29"/>
      <ns0:c r="K1405" s="29"/>
    </ns0:row>
    <ns0:row r="1406" ht="28" customHeight="1">
      <ns0:c r="A1406" s="29"/>
      <ns0:c r="B1406" s="30"/>
      <ns0:c r="C1406" s="28"/>
      <ns0:c r="D1406" s="29"/>
      <ns0:c r="E1406" s="31"/>
      <ns0:c r="F1406" s="32"/>
      <ns0:c r="G1406" s="29"/>
      <ns0:c r="H1406" s="29"/>
      <ns0:c r="I1406" s="29"/>
      <ns0:c r="J1406" s="29"/>
      <ns0:c r="K1406" s="29"/>
    </ns0:row>
    <ns0:row r="1407" ht="28" customHeight="1">
      <ns0:c r="A1407" s="29"/>
      <ns0:c r="B1407" s="30"/>
      <ns0:c r="C1407" s="28"/>
      <ns0:c r="D1407" s="29"/>
      <ns0:c r="E1407" s="31"/>
      <ns0:c r="F1407" s="32"/>
      <ns0:c r="G1407" s="29"/>
      <ns0:c r="H1407" s="29"/>
      <ns0:c r="I1407" s="29"/>
      <ns0:c r="J1407" s="29"/>
      <ns0:c r="K1407" s="29"/>
    </ns0:row>
    <ns0:row r="1408" ht="28" customHeight="1">
      <ns0:c r="A1408" s="29"/>
      <ns0:c r="B1408" s="30"/>
      <ns0:c r="C1408" s="28"/>
      <ns0:c r="D1408" s="29"/>
      <ns0:c r="E1408" s="31"/>
      <ns0:c r="F1408" s="32"/>
      <ns0:c r="G1408" s="29"/>
      <ns0:c r="H1408" s="29"/>
      <ns0:c r="I1408" s="29"/>
      <ns0:c r="J1408" s="29"/>
      <ns0:c r="K1408" s="29"/>
    </ns0:row>
    <ns0:row r="1409" ht="28" customHeight="1">
      <ns0:c r="A1409" s="29"/>
      <ns0:c r="B1409" s="30"/>
      <ns0:c r="C1409" s="28"/>
      <ns0:c r="D1409" s="29"/>
      <ns0:c r="E1409" s="31"/>
      <ns0:c r="F1409" s="32"/>
      <ns0:c r="G1409" s="29"/>
      <ns0:c r="H1409" s="29"/>
      <ns0:c r="I1409" s="29"/>
      <ns0:c r="J1409" s="29"/>
      <ns0:c r="K1409" s="29"/>
    </ns0:row>
    <ns0:row r="1410" ht="28" customHeight="1">
      <ns0:c r="A1410" s="29"/>
      <ns0:c r="B1410" s="30"/>
      <ns0:c r="C1410" s="28"/>
      <ns0:c r="D1410" s="29"/>
      <ns0:c r="E1410" s="31"/>
      <ns0:c r="F1410" s="32"/>
      <ns0:c r="G1410" s="29"/>
      <ns0:c r="H1410" s="29"/>
      <ns0:c r="I1410" s="29"/>
      <ns0:c r="J1410" s="29"/>
      <ns0:c r="K1410" s="29"/>
    </ns0:row>
    <ns0:row r="1411" ht="28" customHeight="1">
      <ns0:c r="A1411" s="29"/>
      <ns0:c r="B1411" s="30"/>
      <ns0:c r="C1411" s="28"/>
      <ns0:c r="D1411" s="29"/>
      <ns0:c r="E1411" s="31"/>
      <ns0:c r="F1411" s="32"/>
      <ns0:c r="G1411" s="29"/>
      <ns0:c r="H1411" s="29"/>
      <ns0:c r="I1411" s="29"/>
      <ns0:c r="J1411" s="29"/>
      <ns0:c r="K1411" s="29"/>
    </ns0:row>
    <ns0:row r="1412" ht="28" customHeight="1">
      <ns0:c r="A1412" s="29"/>
      <ns0:c r="B1412" s="30"/>
      <ns0:c r="C1412" s="28"/>
      <ns0:c r="D1412" s="29"/>
      <ns0:c r="E1412" s="31"/>
      <ns0:c r="F1412" s="32"/>
      <ns0:c r="G1412" s="29"/>
      <ns0:c r="H1412" s="29"/>
      <ns0:c r="I1412" s="29"/>
      <ns0:c r="J1412" s="29"/>
      <ns0:c r="K1412" s="29"/>
    </ns0:row>
    <ns0:row r="1413" ht="28" customHeight="1">
      <ns0:c r="A1413" s="29"/>
      <ns0:c r="B1413" s="30"/>
      <ns0:c r="C1413" s="28"/>
      <ns0:c r="D1413" s="29"/>
      <ns0:c r="E1413" s="31"/>
      <ns0:c r="F1413" s="32"/>
      <ns0:c r="G1413" s="29"/>
      <ns0:c r="H1413" s="29"/>
      <ns0:c r="I1413" s="29"/>
      <ns0:c r="J1413" s="29"/>
      <ns0:c r="K1413" s="29"/>
    </ns0:row>
    <ns0:row r="1414" ht="28" customHeight="1">
      <ns0:c r="A1414" s="29"/>
      <ns0:c r="B1414" s="30"/>
      <ns0:c r="C1414" s="28"/>
      <ns0:c r="D1414" s="29"/>
      <ns0:c r="E1414" s="31"/>
      <ns0:c r="F1414" s="32"/>
      <ns0:c r="G1414" s="29"/>
      <ns0:c r="H1414" s="29"/>
      <ns0:c r="I1414" s="29"/>
      <ns0:c r="J1414" s="29"/>
      <ns0:c r="K1414" s="29"/>
    </ns0:row>
    <ns0:row r="1415" ht="28" customHeight="1">
      <ns0:c r="A1415" s="29"/>
      <ns0:c r="B1415" s="30"/>
      <ns0:c r="C1415" s="28"/>
      <ns0:c r="D1415" s="29"/>
      <ns0:c r="E1415" s="31"/>
      <ns0:c r="F1415" s="32"/>
      <ns0:c r="G1415" s="29"/>
      <ns0:c r="H1415" s="29"/>
      <ns0:c r="I1415" s="29"/>
      <ns0:c r="J1415" s="29"/>
      <ns0:c r="K1415" s="29"/>
    </ns0:row>
    <ns0:row r="1416" ht="28" customHeight="1">
      <ns0:c r="A1416" s="29"/>
      <ns0:c r="B1416" s="30"/>
      <ns0:c r="C1416" s="28"/>
      <ns0:c r="D1416" s="29"/>
      <ns0:c r="E1416" s="31"/>
      <ns0:c r="F1416" s="32"/>
      <ns0:c r="G1416" s="29"/>
      <ns0:c r="H1416" s="29"/>
      <ns0:c r="I1416" s="29"/>
      <ns0:c r="J1416" s="29"/>
      <ns0:c r="K1416" s="29"/>
    </ns0:row>
    <ns0:row r="1417" ht="28" customHeight="1">
      <ns0:c r="A1417" s="29"/>
      <ns0:c r="B1417" s="30"/>
      <ns0:c r="C1417" s="28"/>
      <ns0:c r="D1417" s="29"/>
      <ns0:c r="E1417" s="31"/>
      <ns0:c r="F1417" s="32"/>
      <ns0:c r="G1417" s="29"/>
      <ns0:c r="H1417" s="29"/>
      <ns0:c r="I1417" s="29"/>
      <ns0:c r="J1417" s="29"/>
      <ns0:c r="K1417" s="29"/>
    </ns0:row>
    <ns0:row r="1418" ht="28" customHeight="1">
      <ns0:c r="A1418" s="29"/>
      <ns0:c r="B1418" s="30"/>
      <ns0:c r="C1418" s="28"/>
      <ns0:c r="D1418" s="29"/>
      <ns0:c r="E1418" s="31"/>
      <ns0:c r="F1418" s="32"/>
      <ns0:c r="G1418" s="29"/>
      <ns0:c r="H1418" s="29"/>
      <ns0:c r="I1418" s="29"/>
      <ns0:c r="J1418" s="29"/>
      <ns0:c r="K1418" s="29"/>
    </ns0:row>
    <ns0:row r="1419" ht="28" customHeight="1">
      <ns0:c r="A1419" s="29"/>
      <ns0:c r="B1419" s="30"/>
      <ns0:c r="C1419" s="28"/>
      <ns0:c r="D1419" s="29"/>
      <ns0:c r="E1419" s="31"/>
      <ns0:c r="F1419" s="32"/>
      <ns0:c r="G1419" s="29"/>
      <ns0:c r="H1419" s="29"/>
      <ns0:c r="I1419" s="29"/>
      <ns0:c r="J1419" s="29"/>
      <ns0:c r="K1419" s="29"/>
    </ns0:row>
    <ns0:row r="1420" ht="28" customHeight="1">
      <ns0:c r="A1420" s="29"/>
      <ns0:c r="B1420" s="30"/>
      <ns0:c r="C1420" s="28"/>
      <ns0:c r="D1420" s="29"/>
      <ns0:c r="E1420" s="31"/>
      <ns0:c r="F1420" s="32"/>
      <ns0:c r="G1420" s="29"/>
      <ns0:c r="H1420" s="29"/>
      <ns0:c r="I1420" s="29"/>
      <ns0:c r="J1420" s="29"/>
      <ns0:c r="K1420" s="29"/>
    </ns0:row>
    <ns0:row r="1421" ht="28" customHeight="1">
      <ns0:c r="A1421" s="29"/>
      <ns0:c r="B1421" s="30"/>
      <ns0:c r="C1421" s="28"/>
      <ns0:c r="D1421" s="29"/>
      <ns0:c r="E1421" s="31"/>
      <ns0:c r="F1421" s="32"/>
      <ns0:c r="G1421" s="29"/>
      <ns0:c r="H1421" s="29"/>
      <ns0:c r="I1421" s="29"/>
      <ns0:c r="J1421" s="29"/>
      <ns0:c r="K1421" s="29"/>
    </ns0:row>
    <ns0:row r="1422" ht="28" customHeight="1">
      <ns0:c r="A1422" s="29"/>
      <ns0:c r="B1422" s="30"/>
      <ns0:c r="C1422" s="28"/>
      <ns0:c r="D1422" s="29"/>
      <ns0:c r="E1422" s="31"/>
      <ns0:c r="F1422" s="32"/>
      <ns0:c r="G1422" s="29"/>
      <ns0:c r="H1422" s="29"/>
      <ns0:c r="I1422" s="29"/>
      <ns0:c r="J1422" s="29"/>
      <ns0:c r="K1422" s="29"/>
    </ns0:row>
    <ns0:row r="1423" ht="28" customHeight="1">
      <ns0:c r="A1423" s="29"/>
      <ns0:c r="B1423" s="30"/>
      <ns0:c r="C1423" s="28"/>
      <ns0:c r="D1423" s="29"/>
      <ns0:c r="E1423" s="31"/>
      <ns0:c r="F1423" s="32"/>
      <ns0:c r="G1423" s="29"/>
      <ns0:c r="H1423" s="29"/>
      <ns0:c r="I1423" s="29"/>
      <ns0:c r="J1423" s="29"/>
      <ns0:c r="K1423" s="29"/>
    </ns0:row>
    <ns0:row r="1424" ht="28" customHeight="1">
      <ns0:c r="A1424" s="29"/>
      <ns0:c r="B1424" s="30"/>
      <ns0:c r="C1424" s="28"/>
      <ns0:c r="D1424" s="29"/>
      <ns0:c r="E1424" s="31"/>
      <ns0:c r="F1424" s="32"/>
      <ns0:c r="G1424" s="29"/>
      <ns0:c r="H1424" s="29"/>
      <ns0:c r="I1424" s="29"/>
      <ns0:c r="J1424" s="29"/>
      <ns0:c r="K1424" s="29"/>
    </ns0:row>
    <ns0:row r="1425" ht="28" customHeight="1">
      <ns0:c r="A1425" s="29"/>
      <ns0:c r="B1425" s="30"/>
      <ns0:c r="C1425" s="28"/>
      <ns0:c r="D1425" s="29"/>
      <ns0:c r="E1425" s="31"/>
      <ns0:c r="F1425" s="32"/>
      <ns0:c r="G1425" s="29"/>
      <ns0:c r="H1425" s="29"/>
      <ns0:c r="I1425" s="29"/>
      <ns0:c r="J1425" s="29"/>
      <ns0:c r="K1425" s="29"/>
    </ns0:row>
    <ns0:row r="1426" ht="28" customHeight="1">
      <ns0:c r="A1426" s="29"/>
      <ns0:c r="B1426" s="30"/>
      <ns0:c r="C1426" s="28"/>
      <ns0:c r="D1426" s="29"/>
      <ns0:c r="E1426" s="31"/>
      <ns0:c r="F1426" s="32"/>
      <ns0:c r="G1426" s="29"/>
      <ns0:c r="H1426" s="29"/>
      <ns0:c r="I1426" s="29"/>
      <ns0:c r="J1426" s="29"/>
      <ns0:c r="K1426" s="29"/>
    </ns0:row>
    <ns0:row r="1427" ht="28" customHeight="1">
      <ns0:c r="A1427" s="29"/>
      <ns0:c r="B1427" s="30"/>
      <ns0:c r="C1427" s="28"/>
      <ns0:c r="D1427" s="29"/>
      <ns0:c r="E1427" s="31"/>
      <ns0:c r="F1427" s="32"/>
      <ns0:c r="G1427" s="29"/>
      <ns0:c r="H1427" s="29"/>
      <ns0:c r="I1427" s="29"/>
      <ns0:c r="J1427" s="29"/>
      <ns0:c r="K1427" s="29"/>
    </ns0:row>
    <ns0:row r="1428" ht="28" customHeight="1">
      <ns0:c r="A1428" s="29"/>
      <ns0:c r="B1428" s="30"/>
      <ns0:c r="C1428" s="28"/>
      <ns0:c r="D1428" s="29"/>
      <ns0:c r="E1428" s="31"/>
      <ns0:c r="F1428" s="32"/>
      <ns0:c r="G1428" s="29"/>
      <ns0:c r="H1428" s="29"/>
      <ns0:c r="I1428" s="29"/>
      <ns0:c r="J1428" s="29"/>
      <ns0:c r="K1428" s="29"/>
    </ns0:row>
    <ns0:row r="1429" ht="28" customHeight="1">
      <ns0:c r="A1429" s="29"/>
      <ns0:c r="B1429" s="30"/>
      <ns0:c r="C1429" s="28"/>
      <ns0:c r="D1429" s="29"/>
      <ns0:c r="E1429" s="31"/>
      <ns0:c r="F1429" s="32"/>
      <ns0:c r="G1429" s="29"/>
      <ns0:c r="H1429" s="29"/>
      <ns0:c r="I1429" s="29"/>
      <ns0:c r="J1429" s="29"/>
      <ns0:c r="K1429" s="29"/>
    </ns0:row>
    <ns0:row r="1430" ht="28" customHeight="1">
      <ns0:c r="A1430" s="29"/>
      <ns0:c r="B1430" s="30"/>
      <ns0:c r="C1430" s="28"/>
      <ns0:c r="D1430" s="29"/>
      <ns0:c r="E1430" s="31"/>
      <ns0:c r="F1430" s="32"/>
      <ns0:c r="G1430" s="29"/>
      <ns0:c r="H1430" s="29"/>
      <ns0:c r="I1430" s="29"/>
      <ns0:c r="J1430" s="29"/>
      <ns0:c r="K1430" s="29"/>
    </ns0:row>
    <ns0:row r="1431" ht="28" customHeight="1">
      <ns0:c r="A1431" s="29"/>
      <ns0:c r="B1431" s="30"/>
      <ns0:c r="C1431" s="28"/>
      <ns0:c r="D1431" s="29"/>
      <ns0:c r="E1431" s="31"/>
      <ns0:c r="F1431" s="32"/>
      <ns0:c r="G1431" s="29"/>
      <ns0:c r="H1431" s="29"/>
      <ns0:c r="I1431" s="29"/>
      <ns0:c r="J1431" s="29"/>
      <ns0:c r="K1431" s="29"/>
    </ns0:row>
    <ns0:row r="1432" ht="28" customHeight="1">
      <ns0:c r="A1432" s="29"/>
      <ns0:c r="B1432" s="30"/>
      <ns0:c r="C1432" s="28"/>
      <ns0:c r="D1432" s="29"/>
      <ns0:c r="E1432" s="31"/>
      <ns0:c r="F1432" s="32"/>
      <ns0:c r="G1432" s="29"/>
      <ns0:c r="H1432" s="29"/>
      <ns0:c r="I1432" s="29"/>
      <ns0:c r="J1432" s="29"/>
      <ns0:c r="K1432" s="29"/>
    </ns0:row>
    <ns0:row r="1433" ht="28" customHeight="1">
      <ns0:c r="A1433" s="29"/>
      <ns0:c r="B1433" s="30"/>
      <ns0:c r="C1433" s="28"/>
      <ns0:c r="D1433" s="29"/>
      <ns0:c r="E1433" s="31"/>
      <ns0:c r="F1433" s="32"/>
      <ns0:c r="G1433" s="29"/>
      <ns0:c r="H1433" s="29"/>
      <ns0:c r="I1433" s="29"/>
      <ns0:c r="J1433" s="29"/>
      <ns0:c r="K1433" s="29"/>
    </ns0:row>
    <ns0:row r="1434" ht="28" customHeight="1">
      <ns0:c r="A1434" s="29"/>
      <ns0:c r="B1434" s="30"/>
      <ns0:c r="C1434" s="28"/>
      <ns0:c r="D1434" s="29"/>
      <ns0:c r="E1434" s="31"/>
      <ns0:c r="F1434" s="32"/>
      <ns0:c r="G1434" s="29"/>
      <ns0:c r="H1434" s="29"/>
      <ns0:c r="I1434" s="29"/>
      <ns0:c r="J1434" s="29"/>
      <ns0:c r="K1434" s="29"/>
    </ns0:row>
    <ns0:row r="1435" ht="28" customHeight="1">
      <ns0:c r="A1435" s="29"/>
      <ns0:c r="B1435" s="30"/>
      <ns0:c r="C1435" s="28"/>
      <ns0:c r="D1435" s="29"/>
      <ns0:c r="E1435" s="31"/>
      <ns0:c r="F1435" s="32"/>
      <ns0:c r="G1435" s="29"/>
      <ns0:c r="H1435" s="29"/>
      <ns0:c r="I1435" s="29"/>
      <ns0:c r="J1435" s="29"/>
      <ns0:c r="K1435" s="29"/>
    </ns0:row>
    <ns0:row r="1436" ht="28" customHeight="1">
      <ns0:c r="A1436" s="29"/>
      <ns0:c r="B1436" s="30"/>
      <ns0:c r="C1436" s="28"/>
      <ns0:c r="D1436" s="29"/>
      <ns0:c r="E1436" s="31"/>
      <ns0:c r="F1436" s="32"/>
      <ns0:c r="G1436" s="29"/>
      <ns0:c r="H1436" s="29"/>
      <ns0:c r="I1436" s="29"/>
      <ns0:c r="J1436" s="29"/>
      <ns0:c r="K1436" s="29"/>
    </ns0:row>
    <ns0:row r="1437" ht="28" customHeight="1">
      <ns0:c r="A1437" s="29"/>
      <ns0:c r="B1437" s="30"/>
      <ns0:c r="C1437" s="28"/>
      <ns0:c r="D1437" s="29"/>
      <ns0:c r="E1437" s="31"/>
      <ns0:c r="F1437" s="32"/>
      <ns0:c r="G1437" s="29"/>
      <ns0:c r="H1437" s="29"/>
      <ns0:c r="I1437" s="29"/>
      <ns0:c r="J1437" s="29"/>
      <ns0:c r="K1437" s="29"/>
    </ns0:row>
    <ns0:row r="1438" ht="28" customHeight="1">
      <ns0:c r="A1438" s="29"/>
      <ns0:c r="B1438" s="30"/>
      <ns0:c r="C1438" s="28"/>
      <ns0:c r="D1438" s="29"/>
      <ns0:c r="E1438" s="31"/>
      <ns0:c r="F1438" s="32"/>
      <ns0:c r="G1438" s="29"/>
      <ns0:c r="H1438" s="29"/>
      <ns0:c r="I1438" s="29"/>
      <ns0:c r="J1438" s="29"/>
      <ns0:c r="K1438" s="29"/>
    </ns0:row>
    <ns0:row r="1439" ht="28" customHeight="1">
      <ns0:c r="A1439" s="29"/>
      <ns0:c r="B1439" s="30"/>
      <ns0:c r="C1439" s="28"/>
      <ns0:c r="D1439" s="29"/>
      <ns0:c r="E1439" s="31"/>
      <ns0:c r="F1439" s="32"/>
      <ns0:c r="G1439" s="29"/>
      <ns0:c r="H1439" s="29"/>
      <ns0:c r="I1439" s="29"/>
      <ns0:c r="J1439" s="29"/>
      <ns0:c r="K1439" s="29"/>
    </ns0:row>
    <ns0:row r="1440" ht="28" customHeight="1">
      <ns0:c r="A1440" s="29"/>
      <ns0:c r="B1440" s="30"/>
      <ns0:c r="C1440" s="28"/>
      <ns0:c r="D1440" s="29"/>
      <ns0:c r="E1440" s="31"/>
      <ns0:c r="F1440" s="32"/>
      <ns0:c r="G1440" s="29"/>
      <ns0:c r="H1440" s="29"/>
      <ns0:c r="I1440" s="29"/>
      <ns0:c r="J1440" s="29"/>
      <ns0:c r="K1440" s="29"/>
    </ns0:row>
    <ns0:row r="1441" ht="28" customHeight="1">
      <ns0:c r="A1441" s="29"/>
      <ns0:c r="B1441" s="30"/>
      <ns0:c r="C1441" s="28"/>
      <ns0:c r="D1441" s="29"/>
      <ns0:c r="E1441" s="31"/>
      <ns0:c r="F1441" s="32"/>
      <ns0:c r="G1441" s="29"/>
      <ns0:c r="H1441" s="29"/>
      <ns0:c r="I1441" s="29"/>
      <ns0:c r="J1441" s="29"/>
      <ns0:c r="K1441" s="29"/>
    </ns0:row>
    <ns0:row r="1442" ht="28" customHeight="1">
      <ns0:c r="A1442" s="29"/>
      <ns0:c r="B1442" s="30"/>
      <ns0:c r="C1442" s="28"/>
      <ns0:c r="D1442" s="29"/>
      <ns0:c r="E1442" s="31"/>
      <ns0:c r="F1442" s="32"/>
      <ns0:c r="G1442" s="29"/>
      <ns0:c r="H1442" s="29"/>
      <ns0:c r="I1442" s="29"/>
      <ns0:c r="J1442" s="29"/>
      <ns0:c r="K1442" s="29"/>
    </ns0:row>
    <ns0:row r="1443" ht="28" customHeight="1">
      <ns0:c r="A1443" s="29"/>
      <ns0:c r="B1443" s="30"/>
      <ns0:c r="C1443" s="28"/>
      <ns0:c r="D1443" s="29"/>
      <ns0:c r="E1443" s="31"/>
      <ns0:c r="F1443" s="32"/>
      <ns0:c r="G1443" s="29"/>
      <ns0:c r="H1443" s="29"/>
      <ns0:c r="I1443" s="29"/>
      <ns0:c r="J1443" s="29"/>
      <ns0:c r="K1443" s="29"/>
    </ns0:row>
    <ns0:row r="1444" ht="28" customHeight="1">
      <ns0:c r="A1444" s="29"/>
      <ns0:c r="B1444" s="30"/>
      <ns0:c r="C1444" s="28"/>
      <ns0:c r="D1444" s="29"/>
      <ns0:c r="E1444" s="31"/>
      <ns0:c r="F1444" s="32"/>
      <ns0:c r="G1444" s="29"/>
      <ns0:c r="H1444" s="29"/>
      <ns0:c r="I1444" s="29"/>
      <ns0:c r="J1444" s="29"/>
      <ns0:c r="K1444" s="29"/>
    </ns0:row>
    <ns0:row r="1445" ht="28" customHeight="1">
      <ns0:c r="A1445" s="29"/>
      <ns0:c r="B1445" s="30"/>
      <ns0:c r="C1445" s="28"/>
      <ns0:c r="D1445" s="29"/>
      <ns0:c r="E1445" s="31"/>
      <ns0:c r="F1445" s="32"/>
      <ns0:c r="G1445" s="29"/>
      <ns0:c r="H1445" s="29"/>
      <ns0:c r="I1445" s="29"/>
      <ns0:c r="J1445" s="29"/>
      <ns0:c r="K1445" s="29"/>
    </ns0:row>
    <ns0:row r="1446" ht="28" customHeight="1">
      <ns0:c r="A1446" s="29"/>
      <ns0:c r="B1446" s="30"/>
      <ns0:c r="C1446" s="28"/>
      <ns0:c r="D1446" s="29"/>
      <ns0:c r="E1446" s="31"/>
      <ns0:c r="F1446" s="32"/>
      <ns0:c r="G1446" s="29"/>
      <ns0:c r="H1446" s="29"/>
      <ns0:c r="I1446" s="29"/>
      <ns0:c r="J1446" s="29"/>
      <ns0:c r="K1446" s="29"/>
    </ns0:row>
    <ns0:row r="1447" ht="28" customHeight="1">
      <ns0:c r="A1447" s="29"/>
      <ns0:c r="B1447" s="30"/>
      <ns0:c r="C1447" s="28"/>
      <ns0:c r="D1447" s="29"/>
      <ns0:c r="E1447" s="31"/>
      <ns0:c r="F1447" s="32"/>
      <ns0:c r="G1447" s="29"/>
      <ns0:c r="H1447" s="29"/>
      <ns0:c r="I1447" s="29"/>
      <ns0:c r="J1447" s="29"/>
      <ns0:c r="K1447" s="29"/>
    </ns0:row>
    <ns0:row r="1448" ht="28" customHeight="1">
      <ns0:c r="A1448" s="29"/>
      <ns0:c r="B1448" s="30"/>
      <ns0:c r="C1448" s="28"/>
      <ns0:c r="D1448" s="29"/>
      <ns0:c r="E1448" s="31"/>
      <ns0:c r="F1448" s="32"/>
      <ns0:c r="G1448" s="29"/>
      <ns0:c r="H1448" s="29"/>
      <ns0:c r="I1448" s="29"/>
      <ns0:c r="J1448" s="29"/>
      <ns0:c r="K1448" s="29"/>
    </ns0:row>
    <ns0:row r="1449" ht="28" customHeight="1">
      <ns0:c r="A1449" s="29"/>
      <ns0:c r="B1449" s="30"/>
      <ns0:c r="C1449" s="28"/>
      <ns0:c r="D1449" s="29"/>
      <ns0:c r="E1449" s="31"/>
      <ns0:c r="F1449" s="32"/>
      <ns0:c r="G1449" s="29"/>
      <ns0:c r="H1449" s="29"/>
      <ns0:c r="I1449" s="29"/>
      <ns0:c r="J1449" s="29"/>
      <ns0:c r="K1449" s="29"/>
    </ns0:row>
    <ns0:row r="1450" ht="28" customHeight="1">
      <ns0:c r="A1450" s="29"/>
      <ns0:c r="B1450" s="30"/>
      <ns0:c r="C1450" s="28"/>
      <ns0:c r="D1450" s="29"/>
      <ns0:c r="E1450" s="31"/>
      <ns0:c r="F1450" s="32"/>
      <ns0:c r="G1450" s="29"/>
      <ns0:c r="H1450" s="29"/>
      <ns0:c r="I1450" s="29"/>
      <ns0:c r="J1450" s="29"/>
      <ns0:c r="K1450" s="29"/>
    </ns0:row>
    <ns0:row r="1451" ht="28" customHeight="1">
      <ns0:c r="A1451" s="29"/>
      <ns0:c r="B1451" s="30"/>
      <ns0:c r="C1451" s="28"/>
      <ns0:c r="D1451" s="29"/>
      <ns0:c r="E1451" s="31"/>
      <ns0:c r="F1451" s="32"/>
      <ns0:c r="G1451" s="29"/>
      <ns0:c r="H1451" s="29"/>
      <ns0:c r="I1451" s="29"/>
      <ns0:c r="J1451" s="29"/>
      <ns0:c r="K1451" s="29"/>
    </ns0:row>
    <ns0:row r="1452" ht="28" customHeight="1">
      <ns0:c r="A1452" s="29"/>
      <ns0:c r="B1452" s="30"/>
      <ns0:c r="C1452" s="28"/>
      <ns0:c r="D1452" s="29"/>
      <ns0:c r="E1452" s="31"/>
      <ns0:c r="F1452" s="32"/>
      <ns0:c r="G1452" s="29"/>
      <ns0:c r="H1452" s="29"/>
      <ns0:c r="I1452" s="29"/>
      <ns0:c r="J1452" s="29"/>
      <ns0:c r="K1452" s="29"/>
    </ns0:row>
    <ns0:row r="1453" ht="28" customHeight="1">
      <ns0:c r="A1453" s="29"/>
      <ns0:c r="B1453" s="30"/>
      <ns0:c r="C1453" s="28"/>
      <ns0:c r="D1453" s="29"/>
      <ns0:c r="E1453" s="31"/>
      <ns0:c r="F1453" s="32"/>
      <ns0:c r="G1453" s="29"/>
      <ns0:c r="H1453" s="29"/>
      <ns0:c r="I1453" s="29"/>
      <ns0:c r="J1453" s="29"/>
      <ns0:c r="K1453" s="29"/>
    </ns0:row>
    <ns0:row r="1454" ht="28" customHeight="1">
      <ns0:c r="A1454" s="29"/>
      <ns0:c r="B1454" s="30"/>
      <ns0:c r="C1454" s="28"/>
      <ns0:c r="D1454" s="29"/>
      <ns0:c r="E1454" s="31"/>
      <ns0:c r="F1454" s="32"/>
      <ns0:c r="G1454" s="29"/>
      <ns0:c r="H1454" s="29"/>
      <ns0:c r="I1454" s="29"/>
      <ns0:c r="J1454" s="29"/>
      <ns0:c r="K1454" s="29"/>
    </ns0:row>
    <ns0:row r="1455" ht="28" customHeight="1">
      <ns0:c r="A1455" s="29"/>
      <ns0:c r="B1455" s="30"/>
      <ns0:c r="C1455" s="28"/>
      <ns0:c r="D1455" s="29"/>
      <ns0:c r="E1455" s="31"/>
      <ns0:c r="F1455" s="32"/>
      <ns0:c r="G1455" s="29"/>
      <ns0:c r="H1455" s="29"/>
      <ns0:c r="I1455" s="29"/>
      <ns0:c r="J1455" s="29"/>
      <ns0:c r="K1455" s="29"/>
    </ns0:row>
    <ns0:row r="1456" ht="28" customHeight="1">
      <ns0:c r="A1456" s="29"/>
      <ns0:c r="B1456" s="30"/>
      <ns0:c r="C1456" s="28"/>
      <ns0:c r="D1456" s="29"/>
      <ns0:c r="E1456" s="31"/>
      <ns0:c r="F1456" s="32"/>
      <ns0:c r="G1456" s="29"/>
      <ns0:c r="H1456" s="29"/>
      <ns0:c r="I1456" s="29"/>
      <ns0:c r="J1456" s="29"/>
      <ns0:c r="K1456" s="29"/>
    </ns0:row>
    <ns0:row r="1457" ht="28" customHeight="1">
      <ns0:c r="A1457" s="29"/>
      <ns0:c r="B1457" s="30"/>
      <ns0:c r="C1457" s="28"/>
      <ns0:c r="D1457" s="29"/>
      <ns0:c r="E1457" s="31"/>
      <ns0:c r="F1457" s="32"/>
      <ns0:c r="G1457" s="29"/>
      <ns0:c r="H1457" s="29"/>
      <ns0:c r="I1457" s="29"/>
      <ns0:c r="J1457" s="29"/>
      <ns0:c r="K1457" s="29"/>
    </ns0:row>
    <ns0:row r="1458" ht="28" customHeight="1">
      <ns0:c r="A1458" s="29"/>
      <ns0:c r="B1458" s="30"/>
      <ns0:c r="C1458" s="28"/>
      <ns0:c r="D1458" s="29"/>
      <ns0:c r="E1458" s="31"/>
      <ns0:c r="F1458" s="32"/>
      <ns0:c r="G1458" s="29"/>
      <ns0:c r="H1458" s="29"/>
      <ns0:c r="I1458" s="29"/>
      <ns0:c r="J1458" s="29"/>
      <ns0:c r="K1458" s="29"/>
    </ns0:row>
    <ns0:row r="1459" ht="28" customHeight="1">
      <ns0:c r="A1459" s="29"/>
      <ns0:c r="B1459" s="30"/>
      <ns0:c r="C1459" s="28"/>
      <ns0:c r="D1459" s="29"/>
      <ns0:c r="E1459" s="31"/>
      <ns0:c r="F1459" s="32"/>
      <ns0:c r="G1459" s="29"/>
      <ns0:c r="H1459" s="29"/>
      <ns0:c r="I1459" s="29"/>
      <ns0:c r="J1459" s="29"/>
      <ns0:c r="K1459" s="29"/>
    </ns0:row>
    <ns0:row r="1460" ht="28" customHeight="1">
      <ns0:c r="A1460" s="29"/>
      <ns0:c r="B1460" s="30"/>
      <ns0:c r="C1460" s="28"/>
      <ns0:c r="D1460" s="29"/>
      <ns0:c r="E1460" s="31"/>
      <ns0:c r="F1460" s="32"/>
      <ns0:c r="G1460" s="29"/>
      <ns0:c r="H1460" s="29"/>
      <ns0:c r="I1460" s="29"/>
      <ns0:c r="J1460" s="29"/>
      <ns0:c r="K1460" s="29"/>
    </ns0:row>
    <ns0:row r="1461" ht="28" customHeight="1">
      <ns0:c r="A1461" s="29"/>
      <ns0:c r="B1461" s="30"/>
      <ns0:c r="C1461" s="28"/>
      <ns0:c r="D1461" s="29"/>
      <ns0:c r="E1461" s="31"/>
      <ns0:c r="F1461" s="32"/>
      <ns0:c r="G1461" s="29"/>
      <ns0:c r="H1461" s="29"/>
      <ns0:c r="I1461" s="29"/>
      <ns0:c r="J1461" s="29"/>
      <ns0:c r="K1461" s="29"/>
    </ns0:row>
    <ns0:row r="1462" ht="28" customHeight="1">
      <ns0:c r="A1462" s="29"/>
      <ns0:c r="B1462" s="30"/>
      <ns0:c r="C1462" s="28"/>
      <ns0:c r="D1462" s="29"/>
      <ns0:c r="E1462" s="31"/>
      <ns0:c r="F1462" s="32"/>
      <ns0:c r="G1462" s="29"/>
      <ns0:c r="H1462" s="29"/>
      <ns0:c r="I1462" s="29"/>
      <ns0:c r="J1462" s="29"/>
      <ns0:c r="K1462" s="29"/>
    </ns0:row>
    <ns0:row r="1463" ht="28" customHeight="1">
      <ns0:c r="A1463" s="29"/>
      <ns0:c r="B1463" s="30"/>
      <ns0:c r="C1463" s="28"/>
      <ns0:c r="D1463" s="29"/>
      <ns0:c r="E1463" s="31"/>
      <ns0:c r="F1463" s="32"/>
      <ns0:c r="G1463" s="29"/>
      <ns0:c r="H1463" s="29"/>
      <ns0:c r="I1463" s="29"/>
      <ns0:c r="J1463" s="29"/>
      <ns0:c r="K1463" s="29"/>
    </ns0:row>
    <ns0:row r="1464" ht="28" customHeight="1">
      <ns0:c r="A1464" s="29"/>
      <ns0:c r="B1464" s="30"/>
      <ns0:c r="C1464" s="28"/>
      <ns0:c r="D1464" s="29"/>
      <ns0:c r="E1464" s="31"/>
      <ns0:c r="F1464" s="32"/>
      <ns0:c r="G1464" s="29"/>
      <ns0:c r="H1464" s="29"/>
      <ns0:c r="I1464" s="29"/>
      <ns0:c r="J1464" s="29"/>
      <ns0:c r="K1464" s="29"/>
    </ns0:row>
    <ns0:row r="1465" ht="28" customHeight="1">
      <ns0:c r="A1465" s="29"/>
      <ns0:c r="B1465" s="30"/>
      <ns0:c r="C1465" s="28"/>
      <ns0:c r="D1465" s="29"/>
      <ns0:c r="E1465" s="31"/>
      <ns0:c r="F1465" s="32"/>
      <ns0:c r="G1465" s="29"/>
      <ns0:c r="H1465" s="29"/>
      <ns0:c r="I1465" s="29"/>
      <ns0:c r="J1465" s="29"/>
      <ns0:c r="K1465" s="29"/>
    </ns0:row>
    <ns0:row r="1466" ht="28" customHeight="1">
      <ns0:c r="A1466" s="29"/>
      <ns0:c r="B1466" s="30"/>
      <ns0:c r="C1466" s="28"/>
      <ns0:c r="D1466" s="29"/>
      <ns0:c r="E1466" s="31"/>
      <ns0:c r="F1466" s="32"/>
      <ns0:c r="G1466" s="29"/>
      <ns0:c r="H1466" s="29"/>
      <ns0:c r="I1466" s="29"/>
      <ns0:c r="J1466" s="29"/>
      <ns0:c r="K1466" s="29"/>
    </ns0:row>
    <ns0:row r="1467" ht="28" customHeight="1">
      <ns0:c r="A1467" s="29"/>
      <ns0:c r="B1467" s="30"/>
      <ns0:c r="C1467" s="28"/>
      <ns0:c r="D1467" s="29"/>
      <ns0:c r="E1467" s="31"/>
      <ns0:c r="F1467" s="32"/>
      <ns0:c r="G1467" s="29"/>
      <ns0:c r="H1467" s="29"/>
      <ns0:c r="I1467" s="29"/>
      <ns0:c r="J1467" s="29"/>
      <ns0:c r="K1467" s="29"/>
    </ns0:row>
    <ns0:row r="1468" ht="28" customHeight="1">
      <ns0:c r="A1468" s="29"/>
      <ns0:c r="B1468" s="30"/>
      <ns0:c r="C1468" s="28"/>
      <ns0:c r="D1468" s="29"/>
      <ns0:c r="E1468" s="31"/>
      <ns0:c r="F1468" s="32"/>
      <ns0:c r="G1468" s="29"/>
      <ns0:c r="H1468" s="29"/>
      <ns0:c r="I1468" s="29"/>
      <ns0:c r="J1468" s="29"/>
      <ns0:c r="K1468" s="29"/>
    </ns0:row>
    <ns0:row r="1469" ht="28" customHeight="1">
      <ns0:c r="A1469" s="29"/>
      <ns0:c r="B1469" s="30"/>
      <ns0:c r="C1469" s="28"/>
      <ns0:c r="D1469" s="29"/>
      <ns0:c r="E1469" s="31"/>
      <ns0:c r="F1469" s="32"/>
      <ns0:c r="G1469" s="29"/>
      <ns0:c r="H1469" s="29"/>
      <ns0:c r="I1469" s="29"/>
      <ns0:c r="J1469" s="29"/>
      <ns0:c r="K1469" s="29"/>
    </ns0:row>
    <ns0:row r="1470" ht="28" customHeight="1">
      <ns0:c r="A1470" s="29"/>
      <ns0:c r="B1470" s="30"/>
      <ns0:c r="C1470" s="28"/>
      <ns0:c r="D1470" s="29"/>
      <ns0:c r="E1470" s="31"/>
      <ns0:c r="F1470" s="32"/>
      <ns0:c r="G1470" s="29"/>
      <ns0:c r="H1470" s="29"/>
      <ns0:c r="I1470" s="29"/>
      <ns0:c r="J1470" s="29"/>
      <ns0:c r="K1470" s="29"/>
    </ns0:row>
    <ns0:row r="1471" ht="28" customHeight="1">
      <ns0:c r="A1471" s="29"/>
      <ns0:c r="B1471" s="30"/>
      <ns0:c r="C1471" s="28"/>
      <ns0:c r="D1471" s="29"/>
      <ns0:c r="E1471" s="31"/>
      <ns0:c r="F1471" s="32"/>
      <ns0:c r="G1471" s="29"/>
      <ns0:c r="H1471" s="29"/>
      <ns0:c r="I1471" s="29"/>
      <ns0:c r="J1471" s="29"/>
      <ns0:c r="K1471" s="29"/>
    </ns0:row>
    <ns0:row r="1472" ht="28" customHeight="1">
      <ns0:c r="A1472" s="29"/>
      <ns0:c r="B1472" s="30"/>
      <ns0:c r="C1472" s="28"/>
      <ns0:c r="D1472" s="29"/>
      <ns0:c r="E1472" s="31"/>
      <ns0:c r="F1472" s="32"/>
      <ns0:c r="G1472" s="29"/>
      <ns0:c r="H1472" s="29"/>
      <ns0:c r="I1472" s="29"/>
      <ns0:c r="J1472" s="29"/>
      <ns0:c r="K1472" s="29"/>
    </ns0:row>
    <ns0:row r="1473" ht="28" customHeight="1">
      <ns0:c r="A1473" s="29"/>
      <ns0:c r="B1473" s="30"/>
      <ns0:c r="C1473" s="28"/>
      <ns0:c r="D1473" s="29"/>
      <ns0:c r="E1473" s="31"/>
      <ns0:c r="F1473" s="32"/>
      <ns0:c r="G1473" s="29"/>
      <ns0:c r="H1473" s="29"/>
      <ns0:c r="I1473" s="29"/>
      <ns0:c r="J1473" s="29"/>
      <ns0:c r="K1473" s="29"/>
    </ns0:row>
    <ns0:row r="1474" ht="28" customHeight="1">
      <ns0:c r="A1474" s="29"/>
      <ns0:c r="B1474" s="30"/>
      <ns0:c r="C1474" s="28"/>
      <ns0:c r="D1474" s="29"/>
      <ns0:c r="E1474" s="31"/>
      <ns0:c r="F1474" s="32"/>
      <ns0:c r="G1474" s="29"/>
      <ns0:c r="H1474" s="29"/>
      <ns0:c r="I1474" s="29"/>
      <ns0:c r="J1474" s="29"/>
      <ns0:c r="K1474" s="29"/>
    </ns0:row>
    <ns0:row r="1475" ht="28" customHeight="1">
      <ns0:c r="A1475" s="29"/>
      <ns0:c r="B1475" s="30"/>
      <ns0:c r="C1475" s="28"/>
      <ns0:c r="D1475" s="29"/>
      <ns0:c r="E1475" s="31"/>
      <ns0:c r="F1475" s="32"/>
      <ns0:c r="G1475" s="29"/>
      <ns0:c r="H1475" s="29"/>
      <ns0:c r="I1475" s="29"/>
      <ns0:c r="J1475" s="29"/>
      <ns0:c r="K1475" s="29"/>
    </ns0:row>
    <ns0:row r="1476" ht="28" customHeight="1">
      <ns0:c r="A1476" s="29"/>
      <ns0:c r="B1476" s="30"/>
      <ns0:c r="C1476" s="28"/>
      <ns0:c r="D1476" s="29"/>
      <ns0:c r="E1476" s="31"/>
      <ns0:c r="F1476" s="32"/>
      <ns0:c r="G1476" s="29"/>
      <ns0:c r="H1476" s="29"/>
      <ns0:c r="I1476" s="29"/>
      <ns0:c r="J1476" s="29"/>
      <ns0:c r="K1476" s="29"/>
    </ns0:row>
    <ns0:row r="1477" ht="28" customHeight="1">
      <ns0:c r="A1477" s="29"/>
      <ns0:c r="B1477" s="30"/>
      <ns0:c r="C1477" s="28"/>
      <ns0:c r="D1477" s="29"/>
      <ns0:c r="E1477" s="31"/>
      <ns0:c r="F1477" s="32"/>
      <ns0:c r="G1477" s="29"/>
      <ns0:c r="H1477" s="29"/>
      <ns0:c r="I1477" s="29"/>
      <ns0:c r="J1477" s="29"/>
      <ns0:c r="K1477" s="29"/>
    </ns0:row>
    <ns0:row r="1478" ht="28" customHeight="1">
      <ns0:c r="A1478" s="29"/>
      <ns0:c r="B1478" s="30"/>
      <ns0:c r="C1478" s="28"/>
      <ns0:c r="D1478" s="29"/>
      <ns0:c r="E1478" s="31"/>
      <ns0:c r="F1478" s="32"/>
      <ns0:c r="G1478" s="29"/>
      <ns0:c r="H1478" s="29"/>
      <ns0:c r="I1478" s="29"/>
      <ns0:c r="J1478" s="29"/>
      <ns0:c r="K1478" s="29"/>
    </ns0:row>
    <ns0:row r="1479" ht="28" customHeight="1">
      <ns0:c r="A1479" s="29"/>
      <ns0:c r="B1479" s="30"/>
      <ns0:c r="C1479" s="28"/>
      <ns0:c r="D1479" s="29"/>
      <ns0:c r="E1479" s="31"/>
      <ns0:c r="F1479" s="32"/>
      <ns0:c r="G1479" s="29"/>
      <ns0:c r="H1479" s="29"/>
      <ns0:c r="I1479" s="29"/>
      <ns0:c r="J1479" s="29"/>
      <ns0:c r="K1479" s="29"/>
    </ns0:row>
    <ns0:row r="1480" ht="28" customHeight="1">
      <ns0:c r="A1480" s="29"/>
      <ns0:c r="B1480" s="30"/>
      <ns0:c r="C1480" s="28"/>
      <ns0:c r="D1480" s="29"/>
      <ns0:c r="E1480" s="31"/>
      <ns0:c r="F1480" s="32"/>
      <ns0:c r="G1480" s="29"/>
      <ns0:c r="H1480" s="29"/>
      <ns0:c r="I1480" s="29"/>
      <ns0:c r="J1480" s="29"/>
      <ns0:c r="K1480" s="29"/>
    </ns0:row>
    <ns0:row r="1481" ht="28" customHeight="1">
      <ns0:c r="A1481" s="29"/>
      <ns0:c r="B1481" s="30"/>
      <ns0:c r="C1481" s="28"/>
      <ns0:c r="D1481" s="29"/>
      <ns0:c r="E1481" s="31"/>
      <ns0:c r="F1481" s="32"/>
      <ns0:c r="G1481" s="29"/>
      <ns0:c r="H1481" s="29"/>
      <ns0:c r="I1481" s="29"/>
      <ns0:c r="J1481" s="29"/>
      <ns0:c r="K1481" s="29"/>
    </ns0:row>
    <ns0:row r="1482" ht="28" customHeight="1">
      <ns0:c r="A1482" s="29"/>
      <ns0:c r="B1482" s="30"/>
      <ns0:c r="C1482" s="28"/>
      <ns0:c r="D1482" s="29"/>
      <ns0:c r="E1482" s="31"/>
      <ns0:c r="F1482" s="32"/>
      <ns0:c r="G1482" s="29"/>
      <ns0:c r="H1482" s="29"/>
      <ns0:c r="I1482" s="29"/>
      <ns0:c r="J1482" s="29"/>
      <ns0:c r="K1482" s="29"/>
    </ns0:row>
    <ns0:row r="1483" ht="28" customHeight="1">
      <ns0:c r="A1483" s="29"/>
      <ns0:c r="B1483" s="30"/>
      <ns0:c r="C1483" s="28"/>
      <ns0:c r="D1483" s="29"/>
      <ns0:c r="E1483" s="31"/>
      <ns0:c r="F1483" s="32"/>
      <ns0:c r="G1483" s="29"/>
      <ns0:c r="H1483" s="29"/>
      <ns0:c r="I1483" s="29"/>
      <ns0:c r="J1483" s="29"/>
      <ns0:c r="K1483" s="29"/>
    </ns0:row>
    <ns0:row r="1484" ht="28" customHeight="1">
      <ns0:c r="A1484" s="29"/>
      <ns0:c r="B1484" s="30"/>
      <ns0:c r="C1484" s="28"/>
      <ns0:c r="D1484" s="29"/>
      <ns0:c r="E1484" s="31"/>
      <ns0:c r="F1484" s="32"/>
      <ns0:c r="G1484" s="29"/>
      <ns0:c r="H1484" s="29"/>
      <ns0:c r="I1484" s="29"/>
      <ns0:c r="J1484" s="29"/>
      <ns0:c r="K1484" s="29"/>
    </ns0:row>
    <ns0:row r="1485" ht="28" customHeight="1">
      <ns0:c r="A1485" s="29"/>
      <ns0:c r="B1485" s="30"/>
      <ns0:c r="C1485" s="28"/>
      <ns0:c r="D1485" s="29"/>
      <ns0:c r="E1485" s="31"/>
      <ns0:c r="F1485" s="32"/>
      <ns0:c r="G1485" s="29"/>
      <ns0:c r="H1485" s="29"/>
      <ns0:c r="I1485" s="29"/>
      <ns0:c r="J1485" s="29"/>
      <ns0:c r="K1485" s="29"/>
    </ns0:row>
    <ns0:row r="1486" ht="28" customHeight="1">
      <ns0:c r="A1486" s="29"/>
      <ns0:c r="B1486" s="30"/>
      <ns0:c r="C1486" s="28"/>
      <ns0:c r="D1486" s="29"/>
      <ns0:c r="E1486" s="31"/>
      <ns0:c r="F1486" s="32"/>
      <ns0:c r="G1486" s="29"/>
      <ns0:c r="H1486" s="29"/>
      <ns0:c r="I1486" s="29"/>
      <ns0:c r="J1486" s="29"/>
      <ns0:c r="K1486" s="29"/>
    </ns0:row>
    <ns0:row r="1487" ht="28" customHeight="1">
      <ns0:c r="A1487" s="29"/>
      <ns0:c r="B1487" s="30"/>
      <ns0:c r="C1487" s="28"/>
      <ns0:c r="D1487" s="29"/>
      <ns0:c r="E1487" s="31"/>
      <ns0:c r="F1487" s="32"/>
      <ns0:c r="G1487" s="29"/>
      <ns0:c r="H1487" s="29"/>
      <ns0:c r="I1487" s="29"/>
      <ns0:c r="J1487" s="29"/>
      <ns0:c r="K1487" s="29"/>
    </ns0:row>
    <ns0:row r="1488" ht="28" customHeight="1">
      <ns0:c r="A1488" s="29"/>
      <ns0:c r="B1488" s="30"/>
      <ns0:c r="C1488" s="28"/>
      <ns0:c r="D1488" s="29"/>
      <ns0:c r="E1488" s="31"/>
      <ns0:c r="F1488" s="32"/>
      <ns0:c r="G1488" s="29"/>
      <ns0:c r="H1488" s="29"/>
      <ns0:c r="I1488" s="29"/>
      <ns0:c r="J1488" s="29"/>
      <ns0:c r="K1488" s="29"/>
    </ns0:row>
    <ns0:row r="1489" ht="28" customHeight="1">
      <ns0:c r="A1489" s="29"/>
      <ns0:c r="B1489" s="30"/>
      <ns0:c r="C1489" s="28"/>
      <ns0:c r="D1489" s="29"/>
      <ns0:c r="E1489" s="31"/>
      <ns0:c r="F1489" s="32"/>
      <ns0:c r="G1489" s="29"/>
      <ns0:c r="H1489" s="29"/>
      <ns0:c r="I1489" s="29"/>
      <ns0:c r="J1489" s="29"/>
      <ns0:c r="K1489" s="29"/>
    </ns0:row>
    <ns0:row r="1490" ht="28" customHeight="1">
      <ns0:c r="A1490" s="29"/>
      <ns0:c r="B1490" s="30"/>
      <ns0:c r="C1490" s="28"/>
      <ns0:c r="D1490" s="29"/>
      <ns0:c r="E1490" s="31"/>
      <ns0:c r="F1490" s="32"/>
      <ns0:c r="G1490" s="29"/>
      <ns0:c r="H1490" s="29"/>
      <ns0:c r="I1490" s="29"/>
      <ns0:c r="J1490" s="29"/>
      <ns0:c r="K1490" s="29"/>
    </ns0:row>
    <ns0:row r="1491" ht="28" customHeight="1">
      <ns0:c r="A1491" s="29"/>
      <ns0:c r="B1491" s="30"/>
      <ns0:c r="C1491" s="28"/>
      <ns0:c r="D1491" s="29"/>
      <ns0:c r="E1491" s="31"/>
      <ns0:c r="F1491" s="32"/>
      <ns0:c r="G1491" s="29"/>
      <ns0:c r="H1491" s="29"/>
      <ns0:c r="I1491" s="29"/>
      <ns0:c r="J1491" s="29"/>
      <ns0:c r="K1491" s="29"/>
    </ns0:row>
    <ns0:row r="1492" ht="28" customHeight="1">
      <ns0:c r="A1492" s="29"/>
      <ns0:c r="B1492" s="30"/>
      <ns0:c r="C1492" s="28"/>
      <ns0:c r="D1492" s="29"/>
      <ns0:c r="E1492" s="31"/>
      <ns0:c r="F1492" s="32"/>
      <ns0:c r="G1492" s="29"/>
      <ns0:c r="H1492" s="29"/>
      <ns0:c r="I1492" s="29"/>
      <ns0:c r="J1492" s="29"/>
      <ns0:c r="K1492" s="29"/>
    </ns0:row>
    <ns0:row r="1493" ht="28" customHeight="1">
      <ns0:c r="A1493" s="29"/>
      <ns0:c r="B1493" s="30"/>
      <ns0:c r="C1493" s="28"/>
      <ns0:c r="D1493" s="29"/>
      <ns0:c r="E1493" s="31"/>
      <ns0:c r="F1493" s="32"/>
      <ns0:c r="G1493" s="29"/>
      <ns0:c r="H1493" s="29"/>
      <ns0:c r="I1493" s="29"/>
      <ns0:c r="J1493" s="29"/>
      <ns0:c r="K1493" s="29"/>
    </ns0:row>
    <ns0:row r="1494" ht="28" customHeight="1">
      <ns0:c r="A1494" s="29"/>
      <ns0:c r="B1494" s="30"/>
      <ns0:c r="C1494" s="28"/>
      <ns0:c r="D1494" s="29"/>
      <ns0:c r="E1494" s="31"/>
      <ns0:c r="F1494" s="32"/>
      <ns0:c r="G1494" s="29"/>
      <ns0:c r="H1494" s="29"/>
      <ns0:c r="I1494" s="29"/>
      <ns0:c r="J1494" s="29"/>
      <ns0:c r="K1494" s="29"/>
    </ns0:row>
    <ns0:row r="1495" ht="28" customHeight="1">
      <ns0:c r="A1495" s="29"/>
      <ns0:c r="B1495" s="30"/>
      <ns0:c r="C1495" s="28"/>
      <ns0:c r="D1495" s="29"/>
      <ns0:c r="E1495" s="31"/>
      <ns0:c r="F1495" s="32"/>
      <ns0:c r="G1495" s="29"/>
      <ns0:c r="H1495" s="29"/>
      <ns0:c r="I1495" s="29"/>
      <ns0:c r="J1495" s="29"/>
      <ns0:c r="K1495" s="29"/>
    </ns0:row>
    <ns0:row r="1496" ht="28" customHeight="1">
      <ns0:c r="A1496" s="29"/>
      <ns0:c r="B1496" s="30"/>
      <ns0:c r="C1496" s="28"/>
      <ns0:c r="D1496" s="29"/>
      <ns0:c r="E1496" s="31"/>
      <ns0:c r="F1496" s="32"/>
      <ns0:c r="G1496" s="29"/>
      <ns0:c r="H1496" s="29"/>
      <ns0:c r="I1496" s="29"/>
      <ns0:c r="J1496" s="29"/>
      <ns0:c r="K1496" s="29"/>
    </ns0:row>
    <ns0:row r="1497" ht="28" customHeight="1">
      <ns0:c r="A1497" s="29"/>
      <ns0:c r="B1497" s="30"/>
      <ns0:c r="C1497" s="28"/>
      <ns0:c r="D1497" s="29"/>
      <ns0:c r="E1497" s="31"/>
      <ns0:c r="F1497" s="32"/>
      <ns0:c r="G1497" s="29"/>
      <ns0:c r="H1497" s="29"/>
      <ns0:c r="I1497" s="29"/>
      <ns0:c r="J1497" s="29"/>
      <ns0:c r="K1497" s="29"/>
    </ns0:row>
    <ns0:row r="1498" ht="28" customHeight="1">
      <ns0:c r="A1498" s="29"/>
      <ns0:c r="B1498" s="30"/>
      <ns0:c r="C1498" s="28"/>
      <ns0:c r="D1498" s="29"/>
      <ns0:c r="E1498" s="31"/>
      <ns0:c r="F1498" s="32"/>
      <ns0:c r="G1498" s="29"/>
      <ns0:c r="H1498" s="29"/>
      <ns0:c r="I1498" s="29"/>
      <ns0:c r="J1498" s="29"/>
      <ns0:c r="K1498" s="29"/>
    </ns0:row>
    <ns0:row r="1499" ht="28" customHeight="1">
      <ns0:c r="A1499" s="29"/>
      <ns0:c r="B1499" s="30"/>
      <ns0:c r="C1499" s="28"/>
      <ns0:c r="D1499" s="29"/>
      <ns0:c r="E1499" s="31"/>
      <ns0:c r="F1499" s="32"/>
      <ns0:c r="G1499" s="29"/>
      <ns0:c r="H1499" s="29"/>
      <ns0:c r="I1499" s="29"/>
      <ns0:c r="J1499" s="29"/>
      <ns0:c r="K1499" s="29"/>
    </ns0:row>
    <ns0:row r="1500" ht="28" customHeight="1">
      <ns0:c r="A1500" s="29"/>
      <ns0:c r="B1500" s="30"/>
      <ns0:c r="C1500" s="28"/>
      <ns0:c r="D1500" s="29"/>
      <ns0:c r="E1500" s="31"/>
      <ns0:c r="F1500" s="32"/>
      <ns0:c r="G1500" s="29"/>
      <ns0:c r="H1500" s="29"/>
      <ns0:c r="I1500" s="29"/>
      <ns0:c r="J1500" s="29"/>
      <ns0:c r="K1500" s="29"/>
    </ns0:row>
    <ns0:row r="1501" ht="28" customHeight="1">
      <ns0:c r="A1501" s="29"/>
      <ns0:c r="B1501" s="30"/>
      <ns0:c r="C1501" s="28"/>
      <ns0:c r="D1501" s="29"/>
      <ns0:c r="E1501" s="31"/>
      <ns0:c r="F1501" s="32"/>
      <ns0:c r="G1501" s="29"/>
      <ns0:c r="H1501" s="29"/>
      <ns0:c r="I1501" s="29"/>
      <ns0:c r="J1501" s="29"/>
      <ns0:c r="K1501" s="29"/>
    </ns0:row>
    <ns0:row r="1502" ht="28" customHeight="1">
      <ns0:c r="A1502" s="29"/>
      <ns0:c r="B1502" s="30"/>
      <ns0:c r="C1502" s="28"/>
      <ns0:c r="D1502" s="29"/>
      <ns0:c r="E1502" s="31"/>
      <ns0:c r="F1502" s="32"/>
      <ns0:c r="G1502" s="29"/>
      <ns0:c r="H1502" s="29"/>
      <ns0:c r="I1502" s="29"/>
      <ns0:c r="J1502" s="29"/>
      <ns0:c r="K1502" s="29"/>
    </ns0:row>
    <ns0:row r="1503" ht="28" customHeight="1">
      <ns0:c r="A1503" s="29"/>
      <ns0:c r="B1503" s="30"/>
      <ns0:c r="C1503" s="28"/>
      <ns0:c r="D1503" s="29"/>
      <ns0:c r="E1503" s="31"/>
      <ns0:c r="F1503" s="32"/>
      <ns0:c r="G1503" s="29"/>
      <ns0:c r="H1503" s="29"/>
      <ns0:c r="I1503" s="29"/>
      <ns0:c r="J1503" s="29"/>
      <ns0:c r="K1503" s="29"/>
    </ns0:row>
    <ns0:row r="1504" ht="28" customHeight="1">
      <ns0:c r="A1504" s="29"/>
      <ns0:c r="B1504" s="30"/>
      <ns0:c r="C1504" s="28"/>
      <ns0:c r="D1504" s="29"/>
      <ns0:c r="E1504" s="31"/>
      <ns0:c r="F1504" s="32"/>
      <ns0:c r="G1504" s="29"/>
      <ns0:c r="H1504" s="29"/>
      <ns0:c r="I1504" s="29"/>
      <ns0:c r="J1504" s="29"/>
      <ns0:c r="K1504" s="29"/>
    </ns0:row>
    <ns0:row r="1505" ht="28" customHeight="1">
      <ns0:c r="A1505" s="29"/>
      <ns0:c r="B1505" s="30"/>
      <ns0:c r="C1505" s="28"/>
      <ns0:c r="D1505" s="29"/>
      <ns0:c r="E1505" s="31"/>
      <ns0:c r="F1505" s="32"/>
      <ns0:c r="G1505" s="29"/>
      <ns0:c r="H1505" s="29"/>
      <ns0:c r="I1505" s="29"/>
      <ns0:c r="J1505" s="29"/>
      <ns0:c r="K1505" s="29"/>
    </ns0:row>
    <ns0:row r="1506" ht="28" customHeight="1">
      <ns0:c r="A1506" s="29"/>
      <ns0:c r="B1506" s="30"/>
      <ns0:c r="C1506" s="28"/>
      <ns0:c r="D1506" s="29"/>
      <ns0:c r="E1506" s="31"/>
      <ns0:c r="F1506" s="32"/>
      <ns0:c r="G1506" s="29"/>
      <ns0:c r="H1506" s="29"/>
      <ns0:c r="I1506" s="29"/>
      <ns0:c r="J1506" s="29"/>
      <ns0:c r="K1506" s="29"/>
    </ns0:row>
    <ns0:row r="1507" ht="28" customHeight="1">
      <ns0:c r="A1507" s="29"/>
      <ns0:c r="B1507" s="30"/>
      <ns0:c r="C1507" s="28"/>
      <ns0:c r="D1507" s="29"/>
      <ns0:c r="E1507" s="31"/>
      <ns0:c r="F1507" s="32"/>
      <ns0:c r="G1507" s="29"/>
      <ns0:c r="H1507" s="29"/>
      <ns0:c r="I1507" s="29"/>
      <ns0:c r="J1507" s="29"/>
      <ns0:c r="K1507" s="29"/>
    </ns0:row>
    <ns0:row r="1508" ht="28" customHeight="1">
      <ns0:c r="A1508" s="29"/>
      <ns0:c r="B1508" s="30"/>
      <ns0:c r="C1508" s="28"/>
      <ns0:c r="D1508" s="29"/>
      <ns0:c r="E1508" s="31"/>
      <ns0:c r="F1508" s="32"/>
      <ns0:c r="G1508" s="29"/>
      <ns0:c r="H1508" s="29"/>
      <ns0:c r="I1508" s="29"/>
      <ns0:c r="J1508" s="29"/>
      <ns0:c r="K1508" s="29"/>
    </ns0:row>
    <ns0:row r="1509" ht="28" customHeight="1">
      <ns0:c r="A1509" s="29"/>
      <ns0:c r="B1509" s="30"/>
      <ns0:c r="C1509" s="28"/>
      <ns0:c r="D1509" s="29"/>
      <ns0:c r="E1509" s="31"/>
      <ns0:c r="F1509" s="32"/>
      <ns0:c r="G1509" s="29"/>
      <ns0:c r="H1509" s="29"/>
      <ns0:c r="I1509" s="29"/>
      <ns0:c r="J1509" s="29"/>
      <ns0:c r="K1509" s="29"/>
    </ns0:row>
    <ns0:row r="1510" ht="28" customHeight="1">
      <ns0:c r="A1510" s="29"/>
      <ns0:c r="B1510" s="30"/>
      <ns0:c r="C1510" s="28"/>
      <ns0:c r="D1510" s="29"/>
      <ns0:c r="E1510" s="31"/>
      <ns0:c r="F1510" s="32"/>
      <ns0:c r="G1510" s="29"/>
      <ns0:c r="H1510" s="29"/>
      <ns0:c r="I1510" s="29"/>
      <ns0:c r="J1510" s="29"/>
      <ns0:c r="K1510" s="29"/>
    </ns0:row>
    <ns0:row r="1511" ht="28" customHeight="1">
      <ns0:c r="A1511" s="29"/>
      <ns0:c r="B1511" s="30"/>
      <ns0:c r="C1511" s="28"/>
      <ns0:c r="D1511" s="29"/>
      <ns0:c r="E1511" s="31"/>
      <ns0:c r="F1511" s="32"/>
      <ns0:c r="G1511" s="29"/>
      <ns0:c r="H1511" s="29"/>
      <ns0:c r="I1511" s="29"/>
      <ns0:c r="J1511" s="29"/>
      <ns0:c r="K1511" s="29"/>
    </ns0:row>
    <ns0:row r="1512" ht="28" customHeight="1">
      <ns0:c r="A1512" s="29"/>
      <ns0:c r="B1512" s="30"/>
      <ns0:c r="C1512" s="28"/>
      <ns0:c r="D1512" s="29"/>
      <ns0:c r="E1512" s="31"/>
      <ns0:c r="F1512" s="32"/>
      <ns0:c r="G1512" s="29"/>
      <ns0:c r="H1512" s="29"/>
      <ns0:c r="I1512" s="29"/>
      <ns0:c r="J1512" s="29"/>
      <ns0:c r="K1512" s="29"/>
    </ns0:row>
    <ns0:row r="1513" ht="28" customHeight="1">
      <ns0:c r="A1513" s="29"/>
      <ns0:c r="B1513" s="30"/>
      <ns0:c r="C1513" s="28"/>
      <ns0:c r="D1513" s="29"/>
      <ns0:c r="E1513" s="31"/>
      <ns0:c r="F1513" s="32"/>
      <ns0:c r="G1513" s="29"/>
      <ns0:c r="H1513" s="29"/>
      <ns0:c r="I1513" s="29"/>
      <ns0:c r="J1513" s="29"/>
      <ns0:c r="K1513" s="29"/>
    </ns0:row>
    <ns0:row r="1514" ht="28" customHeight="1">
      <ns0:c r="A1514" s="29"/>
      <ns0:c r="B1514" s="30"/>
      <ns0:c r="C1514" s="28"/>
      <ns0:c r="D1514" s="29"/>
      <ns0:c r="E1514" s="31"/>
      <ns0:c r="F1514" s="32"/>
      <ns0:c r="G1514" s="29"/>
      <ns0:c r="H1514" s="29"/>
      <ns0:c r="I1514" s="29"/>
      <ns0:c r="J1514" s="29"/>
      <ns0:c r="K1514" s="29"/>
    </ns0:row>
    <ns0:row r="1515" ht="28" customHeight="1">
      <ns0:c r="A1515" s="29"/>
      <ns0:c r="B1515" s="30"/>
      <ns0:c r="C1515" s="28"/>
      <ns0:c r="D1515" s="29"/>
      <ns0:c r="E1515" s="31"/>
      <ns0:c r="F1515" s="32"/>
      <ns0:c r="G1515" s="29"/>
      <ns0:c r="H1515" s="29"/>
      <ns0:c r="I1515" s="29"/>
      <ns0:c r="J1515" s="29"/>
      <ns0:c r="K1515" s="29"/>
    </ns0:row>
    <ns0:row r="1516" ht="28" customHeight="1">
      <ns0:c r="A1516" s="29"/>
      <ns0:c r="B1516" s="30"/>
      <ns0:c r="C1516" s="28"/>
      <ns0:c r="D1516" s="29"/>
      <ns0:c r="E1516" s="31"/>
      <ns0:c r="F1516" s="32"/>
      <ns0:c r="G1516" s="29"/>
      <ns0:c r="H1516" s="29"/>
      <ns0:c r="I1516" s="29"/>
      <ns0:c r="J1516" s="29"/>
      <ns0:c r="K1516" s="29"/>
    </ns0:row>
    <ns0:row r="1517" ht="28" customHeight="1">
      <ns0:c r="A1517" s="29"/>
      <ns0:c r="B1517" s="30"/>
      <ns0:c r="C1517" s="28"/>
      <ns0:c r="D1517" s="29"/>
      <ns0:c r="E1517" s="31"/>
      <ns0:c r="F1517" s="32"/>
      <ns0:c r="G1517" s="29"/>
      <ns0:c r="H1517" s="29"/>
      <ns0:c r="I1517" s="29"/>
      <ns0:c r="J1517" s="29"/>
      <ns0:c r="K1517" s="29"/>
    </ns0:row>
    <ns0:row r="1518" ht="28" customHeight="1">
      <ns0:c r="A1518" s="29"/>
      <ns0:c r="B1518" s="30"/>
      <ns0:c r="C1518" s="28"/>
      <ns0:c r="D1518" s="29"/>
      <ns0:c r="E1518" s="31"/>
      <ns0:c r="F1518" s="32"/>
      <ns0:c r="G1518" s="29"/>
      <ns0:c r="H1518" s="29"/>
      <ns0:c r="I1518" s="29"/>
      <ns0:c r="J1518" s="29"/>
      <ns0:c r="K1518" s="29"/>
    </ns0:row>
    <ns0:row r="1519" ht="28" customHeight="1">
      <ns0:c r="A1519" s="29"/>
      <ns0:c r="B1519" s="30"/>
      <ns0:c r="C1519" s="28"/>
      <ns0:c r="D1519" s="29"/>
      <ns0:c r="E1519" s="31"/>
      <ns0:c r="F1519" s="32"/>
      <ns0:c r="G1519" s="29"/>
      <ns0:c r="H1519" s="29"/>
      <ns0:c r="I1519" s="29"/>
      <ns0:c r="J1519" s="29"/>
      <ns0:c r="K1519" s="29"/>
    </ns0:row>
    <ns0:row r="1520" ht="28" customHeight="1">
      <ns0:c r="A1520" s="29"/>
      <ns0:c r="B1520" s="30"/>
      <ns0:c r="C1520" s="28"/>
      <ns0:c r="D1520" s="29"/>
      <ns0:c r="E1520" s="31"/>
      <ns0:c r="F1520" s="32"/>
      <ns0:c r="G1520" s="29"/>
      <ns0:c r="H1520" s="29"/>
      <ns0:c r="I1520" s="29"/>
      <ns0:c r="J1520" s="29"/>
      <ns0:c r="K1520" s="29"/>
    </ns0:row>
    <ns0:row r="1521" ht="28" customHeight="1">
      <ns0:c r="A1521" s="29"/>
      <ns0:c r="B1521" s="30"/>
      <ns0:c r="C1521" s="28"/>
      <ns0:c r="D1521" s="29"/>
      <ns0:c r="E1521" s="31"/>
      <ns0:c r="F1521" s="32"/>
      <ns0:c r="G1521" s="29"/>
      <ns0:c r="H1521" s="29"/>
      <ns0:c r="I1521" s="29"/>
      <ns0:c r="J1521" s="29"/>
      <ns0:c r="K1521" s="29"/>
    </ns0:row>
    <ns0:row r="1522" ht="28" customHeight="1">
      <ns0:c r="A1522" s="29"/>
      <ns0:c r="B1522" s="30"/>
      <ns0:c r="C1522" s="28"/>
      <ns0:c r="D1522" s="29"/>
      <ns0:c r="E1522" s="31"/>
      <ns0:c r="F1522" s="32"/>
      <ns0:c r="G1522" s="29"/>
      <ns0:c r="H1522" s="29"/>
      <ns0:c r="I1522" s="29"/>
      <ns0:c r="J1522" s="29"/>
      <ns0:c r="K1522" s="29"/>
    </ns0:row>
    <ns0:row r="1523" ht="28" customHeight="1">
      <ns0:c r="A1523" s="29"/>
      <ns0:c r="B1523" s="30"/>
      <ns0:c r="C1523" s="28"/>
      <ns0:c r="D1523" s="29"/>
      <ns0:c r="E1523" s="31"/>
      <ns0:c r="F1523" s="32"/>
      <ns0:c r="G1523" s="29"/>
      <ns0:c r="H1523" s="29"/>
      <ns0:c r="I1523" s="29"/>
      <ns0:c r="J1523" s="29"/>
      <ns0:c r="K1523" s="29"/>
    </ns0:row>
    <ns0:row r="1524" ht="28" customHeight="1">
      <ns0:c r="A1524" s="29"/>
      <ns0:c r="B1524" s="30"/>
      <ns0:c r="C1524" s="28"/>
      <ns0:c r="D1524" s="29"/>
      <ns0:c r="E1524" s="31"/>
      <ns0:c r="F1524" s="32"/>
      <ns0:c r="G1524" s="29"/>
      <ns0:c r="H1524" s="29"/>
      <ns0:c r="I1524" s="29"/>
      <ns0:c r="J1524" s="29"/>
      <ns0:c r="K1524" s="29"/>
    </ns0:row>
    <ns0:row r="1525" ht="28" customHeight="1">
      <ns0:c r="A1525" s="29"/>
      <ns0:c r="B1525" s="30"/>
      <ns0:c r="C1525" s="28"/>
      <ns0:c r="D1525" s="29"/>
      <ns0:c r="E1525" s="31"/>
      <ns0:c r="F1525" s="32"/>
      <ns0:c r="G1525" s="29"/>
      <ns0:c r="H1525" s="29"/>
      <ns0:c r="I1525" s="29"/>
      <ns0:c r="J1525" s="29"/>
      <ns0:c r="K1525" s="29"/>
    </ns0:row>
    <ns0:row r="1526" ht="28" customHeight="1">
      <ns0:c r="A1526" s="29"/>
      <ns0:c r="B1526" s="30"/>
      <ns0:c r="C1526" s="28"/>
      <ns0:c r="D1526" s="29"/>
      <ns0:c r="E1526" s="31"/>
      <ns0:c r="F1526" s="32"/>
      <ns0:c r="G1526" s="29"/>
      <ns0:c r="H1526" s="29"/>
      <ns0:c r="I1526" s="29"/>
      <ns0:c r="J1526" s="29"/>
      <ns0:c r="K1526" s="29"/>
    </ns0:row>
    <ns0:row r="1527" ht="28" customHeight="1">
      <ns0:c r="A1527" s="29"/>
      <ns0:c r="B1527" s="30"/>
      <ns0:c r="C1527" s="28"/>
      <ns0:c r="D1527" s="29"/>
      <ns0:c r="E1527" s="31"/>
      <ns0:c r="F1527" s="32"/>
      <ns0:c r="G1527" s="29"/>
      <ns0:c r="H1527" s="29"/>
      <ns0:c r="I1527" s="29"/>
      <ns0:c r="J1527" s="29"/>
      <ns0:c r="K1527" s="29"/>
    </ns0:row>
    <ns0:row r="1528" ht="28" customHeight="1">
      <ns0:c r="A1528" s="29"/>
      <ns0:c r="B1528" s="30"/>
      <ns0:c r="C1528" s="28"/>
      <ns0:c r="D1528" s="29"/>
      <ns0:c r="E1528" s="31"/>
      <ns0:c r="F1528" s="32"/>
      <ns0:c r="G1528" s="29"/>
      <ns0:c r="H1528" s="29"/>
      <ns0:c r="I1528" s="29"/>
      <ns0:c r="J1528" s="29"/>
      <ns0:c r="K1528" s="29"/>
    </ns0:row>
    <ns0:row r="1529" ht="28" customHeight="1">
      <ns0:c r="A1529" s="29"/>
      <ns0:c r="B1529" s="30"/>
      <ns0:c r="C1529" s="28"/>
      <ns0:c r="D1529" s="29"/>
      <ns0:c r="E1529" s="31"/>
      <ns0:c r="F1529" s="32"/>
      <ns0:c r="G1529" s="29"/>
      <ns0:c r="H1529" s="29"/>
      <ns0:c r="I1529" s="29"/>
      <ns0:c r="J1529" s="29"/>
      <ns0:c r="K1529" s="29"/>
    </ns0:row>
    <ns0:row r="1530" ht="28" customHeight="1">
      <ns0:c r="A1530" s="29"/>
      <ns0:c r="B1530" s="30"/>
      <ns0:c r="C1530" s="28"/>
      <ns0:c r="D1530" s="29"/>
      <ns0:c r="E1530" s="31"/>
      <ns0:c r="F1530" s="32"/>
      <ns0:c r="G1530" s="29"/>
      <ns0:c r="H1530" s="29"/>
      <ns0:c r="I1530" s="29"/>
      <ns0:c r="J1530" s="29"/>
      <ns0:c r="K1530" s="29"/>
    </ns0:row>
    <ns0:row r="1531" ht="28" customHeight="1">
      <ns0:c r="A1531" s="29"/>
      <ns0:c r="B1531" s="30"/>
      <ns0:c r="C1531" s="28"/>
      <ns0:c r="D1531" s="29"/>
      <ns0:c r="E1531" s="31"/>
      <ns0:c r="F1531" s="32"/>
      <ns0:c r="G1531" s="29"/>
      <ns0:c r="H1531" s="29"/>
      <ns0:c r="I1531" s="29"/>
      <ns0:c r="J1531" s="29"/>
      <ns0:c r="K1531" s="29"/>
    </ns0:row>
    <ns0:row r="1532" ht="28" customHeight="1">
      <ns0:c r="A1532" s="29"/>
      <ns0:c r="B1532" s="30"/>
      <ns0:c r="C1532" s="28"/>
      <ns0:c r="D1532" s="29"/>
      <ns0:c r="E1532" s="31"/>
      <ns0:c r="F1532" s="32"/>
      <ns0:c r="G1532" s="29"/>
      <ns0:c r="H1532" s="29"/>
      <ns0:c r="I1532" s="29"/>
      <ns0:c r="J1532" s="29"/>
      <ns0:c r="K1532" s="29"/>
    </ns0:row>
    <ns0:row r="1533" ht="28" customHeight="1">
      <ns0:c r="A1533" s="29"/>
      <ns0:c r="B1533" s="30"/>
      <ns0:c r="C1533" s="28"/>
      <ns0:c r="D1533" s="29"/>
      <ns0:c r="E1533" s="31"/>
      <ns0:c r="F1533" s="32"/>
      <ns0:c r="G1533" s="29"/>
      <ns0:c r="H1533" s="29"/>
      <ns0:c r="I1533" s="29"/>
      <ns0:c r="J1533" s="29"/>
      <ns0:c r="K1533" s="29"/>
    </ns0:row>
    <ns0:row r="1534" ht="28" customHeight="1">
      <ns0:c r="A1534" s="29"/>
      <ns0:c r="B1534" s="30"/>
      <ns0:c r="C1534" s="28"/>
      <ns0:c r="D1534" s="29"/>
      <ns0:c r="E1534" s="31"/>
      <ns0:c r="F1534" s="32"/>
      <ns0:c r="G1534" s="29"/>
      <ns0:c r="H1534" s="29"/>
      <ns0:c r="I1534" s="29"/>
      <ns0:c r="J1534" s="29"/>
      <ns0:c r="K1534" s="29"/>
    </ns0:row>
    <ns0:row r="1535" ht="28" customHeight="1">
      <ns0:c r="A1535" s="29"/>
      <ns0:c r="B1535" s="30"/>
      <ns0:c r="C1535" s="28"/>
      <ns0:c r="D1535" s="29"/>
      <ns0:c r="E1535" s="31"/>
      <ns0:c r="F1535" s="32"/>
      <ns0:c r="G1535" s="29"/>
      <ns0:c r="H1535" s="29"/>
      <ns0:c r="I1535" s="29"/>
      <ns0:c r="J1535" s="29"/>
      <ns0:c r="K1535" s="29"/>
    </ns0:row>
    <ns0:row r="1536" ht="28" customHeight="1">
      <ns0:c r="A1536" s="29"/>
      <ns0:c r="B1536" s="30"/>
      <ns0:c r="C1536" s="28"/>
      <ns0:c r="D1536" s="29"/>
      <ns0:c r="E1536" s="31"/>
      <ns0:c r="F1536" s="32"/>
      <ns0:c r="G1536" s="29"/>
      <ns0:c r="H1536" s="29"/>
      <ns0:c r="I1536" s="29"/>
      <ns0:c r="J1536" s="29"/>
      <ns0:c r="K1536" s="29"/>
    </ns0:row>
    <ns0:row r="1537" ht="28" customHeight="1">
      <ns0:c r="A1537" s="29"/>
      <ns0:c r="B1537" s="30"/>
      <ns0:c r="C1537" s="28"/>
      <ns0:c r="D1537" s="29"/>
      <ns0:c r="E1537" s="31"/>
      <ns0:c r="F1537" s="32"/>
      <ns0:c r="G1537" s="29"/>
      <ns0:c r="H1537" s="29"/>
      <ns0:c r="I1537" s="29"/>
      <ns0:c r="J1537" s="29"/>
      <ns0:c r="K1537" s="29"/>
    </ns0:row>
    <ns0:row r="1538" ht="28" customHeight="1">
      <ns0:c r="A1538" s="29"/>
      <ns0:c r="B1538" s="30"/>
      <ns0:c r="C1538" s="28"/>
      <ns0:c r="D1538" s="29"/>
      <ns0:c r="E1538" s="31"/>
      <ns0:c r="F1538" s="32"/>
      <ns0:c r="G1538" s="29"/>
      <ns0:c r="H1538" s="29"/>
      <ns0:c r="I1538" s="29"/>
      <ns0:c r="J1538" s="29"/>
      <ns0:c r="K1538" s="29"/>
    </ns0:row>
    <ns0:row r="1539" ht="28" customHeight="1">
      <ns0:c r="A1539" s="29"/>
      <ns0:c r="B1539" s="30"/>
      <ns0:c r="C1539" s="28"/>
      <ns0:c r="D1539" s="29"/>
      <ns0:c r="E1539" s="31"/>
      <ns0:c r="F1539" s="32"/>
      <ns0:c r="G1539" s="29"/>
      <ns0:c r="H1539" s="29"/>
      <ns0:c r="I1539" s="29"/>
      <ns0:c r="J1539" s="29"/>
      <ns0:c r="K1539" s="29"/>
    </ns0:row>
    <ns0:row r="1540" ht="28" customHeight="1">
      <ns0:c r="A1540" s="29"/>
      <ns0:c r="B1540" s="30"/>
      <ns0:c r="C1540" s="28"/>
      <ns0:c r="D1540" s="29"/>
      <ns0:c r="E1540" s="31"/>
      <ns0:c r="F1540" s="32"/>
      <ns0:c r="G1540" s="29"/>
      <ns0:c r="H1540" s="29"/>
      <ns0:c r="I1540" s="29"/>
      <ns0:c r="J1540" s="29"/>
      <ns0:c r="K1540" s="29"/>
    </ns0:row>
    <ns0:row r="1541" ht="28" customHeight="1">
      <ns0:c r="A1541" s="29"/>
      <ns0:c r="B1541" s="30"/>
      <ns0:c r="C1541" s="28"/>
      <ns0:c r="D1541" s="29"/>
      <ns0:c r="E1541" s="31"/>
      <ns0:c r="F1541" s="32"/>
      <ns0:c r="G1541" s="29"/>
      <ns0:c r="H1541" s="29"/>
      <ns0:c r="I1541" s="29"/>
      <ns0:c r="J1541" s="29"/>
      <ns0:c r="K1541" s="29"/>
    </ns0:row>
    <ns0:row r="1542" ht="28" customHeight="1">
      <ns0:c r="A1542" s="29"/>
      <ns0:c r="B1542" s="30"/>
      <ns0:c r="C1542" s="28"/>
      <ns0:c r="D1542" s="29"/>
      <ns0:c r="E1542" s="31"/>
      <ns0:c r="F1542" s="32"/>
      <ns0:c r="G1542" s="29"/>
      <ns0:c r="H1542" s="29"/>
      <ns0:c r="I1542" s="29"/>
      <ns0:c r="J1542" s="29"/>
      <ns0:c r="K1542" s="29"/>
    </ns0:row>
    <ns0:row r="1543" ht="28" customHeight="1">
      <ns0:c r="A1543" s="29"/>
      <ns0:c r="B1543" s="30"/>
      <ns0:c r="C1543" s="28"/>
      <ns0:c r="D1543" s="29"/>
      <ns0:c r="E1543" s="31"/>
      <ns0:c r="F1543" s="32"/>
      <ns0:c r="G1543" s="29"/>
      <ns0:c r="H1543" s="29"/>
      <ns0:c r="I1543" s="29"/>
      <ns0:c r="J1543" s="29"/>
      <ns0:c r="K1543" s="29"/>
    </ns0:row>
    <ns0:row r="1544" ht="28" customHeight="1">
      <ns0:c r="A1544" s="29"/>
      <ns0:c r="B1544" s="30"/>
      <ns0:c r="C1544" s="28"/>
      <ns0:c r="D1544" s="29"/>
      <ns0:c r="E1544" s="31"/>
      <ns0:c r="F1544" s="32"/>
      <ns0:c r="G1544" s="29"/>
      <ns0:c r="H1544" s="29"/>
      <ns0:c r="I1544" s="29"/>
      <ns0:c r="J1544" s="29"/>
      <ns0:c r="K1544" s="29"/>
    </ns0:row>
    <ns0:row r="1545" ht="28" customHeight="1">
      <ns0:c r="A1545" s="29"/>
      <ns0:c r="B1545" s="30"/>
      <ns0:c r="C1545" s="28"/>
      <ns0:c r="D1545" s="29"/>
      <ns0:c r="E1545" s="31"/>
      <ns0:c r="F1545" s="32"/>
      <ns0:c r="G1545" s="29"/>
      <ns0:c r="H1545" s="29"/>
      <ns0:c r="I1545" s="29"/>
      <ns0:c r="J1545" s="29"/>
      <ns0:c r="K1545" s="29"/>
    </ns0:row>
    <ns0:row r="1546" ht="28" customHeight="1">
      <ns0:c r="A1546" s="29"/>
      <ns0:c r="B1546" s="30"/>
      <ns0:c r="C1546" s="28"/>
      <ns0:c r="D1546" s="29"/>
      <ns0:c r="E1546" s="31"/>
      <ns0:c r="F1546" s="32"/>
      <ns0:c r="G1546" s="29"/>
      <ns0:c r="H1546" s="29"/>
      <ns0:c r="I1546" s="29"/>
      <ns0:c r="J1546" s="29"/>
      <ns0:c r="K1546" s="29"/>
    </ns0:row>
    <ns0:row r="1547" ht="28" customHeight="1">
      <ns0:c r="A1547" s="29"/>
      <ns0:c r="B1547" s="30"/>
      <ns0:c r="C1547" s="28"/>
      <ns0:c r="D1547" s="29"/>
      <ns0:c r="E1547" s="31"/>
      <ns0:c r="F1547" s="32"/>
      <ns0:c r="G1547" s="29"/>
      <ns0:c r="H1547" s="29"/>
      <ns0:c r="I1547" s="29"/>
      <ns0:c r="J1547" s="29"/>
      <ns0:c r="K1547" s="29"/>
    </ns0:row>
    <ns0:row r="1548" ht="28" customHeight="1">
      <ns0:c r="A1548" s="29"/>
      <ns0:c r="B1548" s="30"/>
      <ns0:c r="C1548" s="28"/>
      <ns0:c r="D1548" s="29"/>
      <ns0:c r="E1548" s="31"/>
      <ns0:c r="F1548" s="32"/>
      <ns0:c r="G1548" s="29"/>
      <ns0:c r="H1548" s="29"/>
      <ns0:c r="I1548" s="29"/>
      <ns0:c r="J1548" s="29"/>
      <ns0:c r="K1548" s="29"/>
    </ns0:row>
    <ns0:row r="1549" ht="28" customHeight="1">
      <ns0:c r="A1549" s="29"/>
      <ns0:c r="B1549" s="30"/>
      <ns0:c r="C1549" s="28"/>
      <ns0:c r="D1549" s="29"/>
      <ns0:c r="E1549" s="31"/>
      <ns0:c r="F1549" s="32"/>
      <ns0:c r="G1549" s="29"/>
      <ns0:c r="H1549" s="29"/>
      <ns0:c r="I1549" s="29"/>
      <ns0:c r="J1549" s="29"/>
      <ns0:c r="K1549" s="29"/>
    </ns0:row>
    <ns0:row r="1550" ht="28" customHeight="1">
      <ns0:c r="A1550" s="29"/>
      <ns0:c r="B1550" s="30"/>
      <ns0:c r="C1550" s="28"/>
      <ns0:c r="D1550" s="29"/>
      <ns0:c r="E1550" s="31"/>
      <ns0:c r="F1550" s="32"/>
      <ns0:c r="G1550" s="29"/>
      <ns0:c r="H1550" s="29"/>
      <ns0:c r="I1550" s="29"/>
      <ns0:c r="J1550" s="29"/>
      <ns0:c r="K1550" s="29"/>
    </ns0:row>
    <ns0:row r="1551" ht="28" customHeight="1">
      <ns0:c r="A1551" s="29"/>
      <ns0:c r="B1551" s="30"/>
      <ns0:c r="C1551" s="28"/>
      <ns0:c r="D1551" s="29"/>
      <ns0:c r="E1551" s="31"/>
      <ns0:c r="F1551" s="32"/>
      <ns0:c r="G1551" s="29"/>
      <ns0:c r="H1551" s="29"/>
      <ns0:c r="I1551" s="29"/>
      <ns0:c r="J1551" s="29"/>
      <ns0:c r="K1551" s="29"/>
    </ns0:row>
    <ns0:row r="1552" ht="28" customHeight="1">
      <ns0:c r="A1552" s="29"/>
      <ns0:c r="B1552" s="30"/>
      <ns0:c r="C1552" s="28"/>
      <ns0:c r="D1552" s="29"/>
      <ns0:c r="E1552" s="31"/>
      <ns0:c r="F1552" s="32"/>
      <ns0:c r="G1552" s="29"/>
      <ns0:c r="H1552" s="29"/>
      <ns0:c r="I1552" s="29"/>
      <ns0:c r="J1552" s="29"/>
      <ns0:c r="K1552" s="29"/>
    </ns0:row>
    <ns0:row r="1553" ht="28" customHeight="1">
      <ns0:c r="A1553" s="29"/>
      <ns0:c r="B1553" s="30"/>
      <ns0:c r="C1553" s="28"/>
      <ns0:c r="D1553" s="29"/>
      <ns0:c r="E1553" s="31"/>
      <ns0:c r="F1553" s="32"/>
      <ns0:c r="G1553" s="29"/>
      <ns0:c r="H1553" s="29"/>
      <ns0:c r="I1553" s="29"/>
      <ns0:c r="J1553" s="29"/>
      <ns0:c r="K1553" s="29"/>
    </ns0:row>
    <ns0:row r="1554" ht="28" customHeight="1">
      <ns0:c r="A1554" s="29"/>
      <ns0:c r="B1554" s="30"/>
      <ns0:c r="C1554" s="28"/>
      <ns0:c r="D1554" s="29"/>
      <ns0:c r="E1554" s="31"/>
      <ns0:c r="F1554" s="32"/>
      <ns0:c r="G1554" s="29"/>
      <ns0:c r="H1554" s="29"/>
      <ns0:c r="I1554" s="29"/>
      <ns0:c r="J1554" s="29"/>
      <ns0:c r="K1554" s="29"/>
    </ns0:row>
    <ns0:row r="1555" ht="28" customHeight="1">
      <ns0:c r="A1555" s="29"/>
      <ns0:c r="B1555" s="30"/>
      <ns0:c r="C1555" s="28"/>
      <ns0:c r="D1555" s="29"/>
      <ns0:c r="E1555" s="31"/>
      <ns0:c r="F1555" s="32"/>
      <ns0:c r="G1555" s="29"/>
      <ns0:c r="H1555" s="29"/>
      <ns0:c r="I1555" s="29"/>
      <ns0:c r="J1555" s="29"/>
      <ns0:c r="K1555" s="29"/>
    </ns0:row>
    <ns0:row r="1556" ht="28" customHeight="1">
      <ns0:c r="A1556" s="29"/>
      <ns0:c r="B1556" s="30"/>
      <ns0:c r="C1556" s="28"/>
      <ns0:c r="D1556" s="29"/>
      <ns0:c r="E1556" s="31"/>
      <ns0:c r="F1556" s="32"/>
      <ns0:c r="G1556" s="29"/>
      <ns0:c r="H1556" s="29"/>
      <ns0:c r="I1556" s="29"/>
      <ns0:c r="J1556" s="29"/>
      <ns0:c r="K1556" s="29"/>
    </ns0:row>
    <ns0:row r="1557" ht="28" customHeight="1">
      <ns0:c r="A1557" s="29"/>
      <ns0:c r="B1557" s="30"/>
      <ns0:c r="C1557" s="28"/>
      <ns0:c r="D1557" s="29"/>
      <ns0:c r="E1557" s="31"/>
      <ns0:c r="F1557" s="32"/>
      <ns0:c r="G1557" s="29"/>
      <ns0:c r="H1557" s="29"/>
      <ns0:c r="I1557" s="29"/>
      <ns0:c r="J1557" s="29"/>
      <ns0:c r="K1557" s="29"/>
    </ns0:row>
    <ns0:row r="1558" ht="28" customHeight="1">
      <ns0:c r="A1558" s="29"/>
      <ns0:c r="B1558" s="30"/>
      <ns0:c r="C1558" s="28"/>
      <ns0:c r="D1558" s="29"/>
      <ns0:c r="E1558" s="31"/>
      <ns0:c r="F1558" s="32"/>
      <ns0:c r="G1558" s="29"/>
      <ns0:c r="H1558" s="29"/>
      <ns0:c r="I1558" s="29"/>
      <ns0:c r="J1558" s="29"/>
      <ns0:c r="K1558" s="29"/>
    </ns0:row>
    <ns0:row r="1559" ht="28" customHeight="1">
      <ns0:c r="A1559" s="29"/>
      <ns0:c r="B1559" s="30"/>
      <ns0:c r="C1559" s="28"/>
      <ns0:c r="D1559" s="29"/>
      <ns0:c r="E1559" s="31"/>
      <ns0:c r="F1559" s="32"/>
      <ns0:c r="G1559" s="29"/>
      <ns0:c r="H1559" s="29"/>
      <ns0:c r="I1559" s="29"/>
      <ns0:c r="J1559" s="29"/>
      <ns0:c r="K1559" s="29"/>
    </ns0:row>
    <ns0:row r="1560" ht="28" customHeight="1">
      <ns0:c r="A1560" s="29"/>
      <ns0:c r="B1560" s="30"/>
      <ns0:c r="C1560" s="28"/>
      <ns0:c r="D1560" s="29"/>
      <ns0:c r="E1560" s="31"/>
      <ns0:c r="F1560" s="32"/>
      <ns0:c r="G1560" s="29"/>
      <ns0:c r="H1560" s="29"/>
      <ns0:c r="I1560" s="29"/>
      <ns0:c r="J1560" s="29"/>
      <ns0:c r="K1560" s="29"/>
    </ns0:row>
    <ns0:row r="1561" ht="28" customHeight="1">
      <ns0:c r="A1561" s="29"/>
      <ns0:c r="B1561" s="30"/>
      <ns0:c r="C1561" s="28"/>
      <ns0:c r="D1561" s="29"/>
      <ns0:c r="E1561" s="31"/>
      <ns0:c r="F1561" s="32"/>
      <ns0:c r="G1561" s="29"/>
      <ns0:c r="H1561" s="29"/>
      <ns0:c r="I1561" s="29"/>
      <ns0:c r="J1561" s="29"/>
      <ns0:c r="K1561" s="29"/>
    </ns0:row>
    <ns0:row r="1562" ht="28" customHeight="1">
      <ns0:c r="A1562" s="29"/>
      <ns0:c r="B1562" s="30"/>
      <ns0:c r="C1562" s="28"/>
      <ns0:c r="D1562" s="29"/>
      <ns0:c r="E1562" s="31"/>
      <ns0:c r="F1562" s="32"/>
      <ns0:c r="G1562" s="29"/>
      <ns0:c r="H1562" s="29"/>
      <ns0:c r="I1562" s="29"/>
      <ns0:c r="J1562" s="29"/>
      <ns0:c r="K1562" s="29"/>
    </ns0:row>
    <ns0:row r="1563" ht="28" customHeight="1">
      <ns0:c r="A1563" s="29"/>
      <ns0:c r="B1563" s="30"/>
      <ns0:c r="C1563" s="28"/>
      <ns0:c r="D1563" s="29"/>
      <ns0:c r="E1563" s="31"/>
      <ns0:c r="F1563" s="32"/>
      <ns0:c r="G1563" s="29"/>
      <ns0:c r="H1563" s="29"/>
      <ns0:c r="I1563" s="29"/>
      <ns0:c r="J1563" s="29"/>
      <ns0:c r="K1563" s="29"/>
    </ns0:row>
    <ns0:row r="1564" ht="28" customHeight="1">
      <ns0:c r="A1564" s="29"/>
      <ns0:c r="B1564" s="30"/>
      <ns0:c r="C1564" s="28"/>
      <ns0:c r="D1564" s="29"/>
      <ns0:c r="E1564" s="31"/>
      <ns0:c r="F1564" s="32"/>
      <ns0:c r="G1564" s="29"/>
      <ns0:c r="H1564" s="29"/>
      <ns0:c r="I1564" s="29"/>
      <ns0:c r="J1564" s="29"/>
      <ns0:c r="K1564" s="29"/>
    </ns0:row>
    <ns0:row r="1565" ht="28" customHeight="1">
      <ns0:c r="A1565" s="29"/>
      <ns0:c r="B1565" s="30"/>
      <ns0:c r="C1565" s="28"/>
      <ns0:c r="D1565" s="29"/>
      <ns0:c r="E1565" s="31"/>
      <ns0:c r="F1565" s="32"/>
      <ns0:c r="G1565" s="29"/>
      <ns0:c r="H1565" s="29"/>
      <ns0:c r="I1565" s="29"/>
      <ns0:c r="J1565" s="29"/>
      <ns0:c r="K1565" s="29"/>
    </ns0:row>
    <ns0:row r="1566" ht="28" customHeight="1">
      <ns0:c r="A1566" s="29"/>
      <ns0:c r="B1566" s="30"/>
      <ns0:c r="C1566" s="28"/>
      <ns0:c r="D1566" s="29"/>
      <ns0:c r="E1566" s="31"/>
      <ns0:c r="F1566" s="32"/>
      <ns0:c r="G1566" s="29"/>
      <ns0:c r="H1566" s="29"/>
      <ns0:c r="I1566" s="29"/>
      <ns0:c r="J1566" s="29"/>
      <ns0:c r="K1566" s="29"/>
    </ns0:row>
    <ns0:row r="1567" ht="28" customHeight="1">
      <ns0:c r="A1567" s="29"/>
      <ns0:c r="B1567" s="30"/>
      <ns0:c r="C1567" s="28"/>
      <ns0:c r="D1567" s="29"/>
      <ns0:c r="E1567" s="31"/>
      <ns0:c r="F1567" s="32"/>
      <ns0:c r="G1567" s="29"/>
      <ns0:c r="H1567" s="29"/>
      <ns0:c r="I1567" s="29"/>
      <ns0:c r="J1567" s="29"/>
      <ns0:c r="K1567" s="29"/>
    </ns0:row>
    <ns0:row r="1568" ht="28" customHeight="1">
      <ns0:c r="A1568" s="29"/>
      <ns0:c r="B1568" s="30"/>
      <ns0:c r="C1568" s="28"/>
      <ns0:c r="D1568" s="29"/>
      <ns0:c r="E1568" s="31"/>
      <ns0:c r="F1568" s="32"/>
      <ns0:c r="G1568" s="29"/>
      <ns0:c r="H1568" s="29"/>
      <ns0:c r="I1568" s="29"/>
      <ns0:c r="J1568" s="29"/>
      <ns0:c r="K1568" s="29"/>
    </ns0:row>
    <ns0:row r="1569" ht="28" customHeight="1">
      <ns0:c r="A1569" s="29"/>
      <ns0:c r="B1569" s="30"/>
      <ns0:c r="C1569" s="28"/>
      <ns0:c r="D1569" s="29"/>
      <ns0:c r="E1569" s="31"/>
      <ns0:c r="F1569" s="32"/>
      <ns0:c r="G1569" s="29"/>
      <ns0:c r="H1569" s="29"/>
      <ns0:c r="I1569" s="29"/>
      <ns0:c r="J1569" s="29"/>
      <ns0:c r="K1569" s="29"/>
    </ns0:row>
    <ns0:row r="1570" ht="28" customHeight="1">
      <ns0:c r="A1570" s="29"/>
      <ns0:c r="B1570" s="30"/>
      <ns0:c r="C1570" s="28"/>
      <ns0:c r="D1570" s="29"/>
      <ns0:c r="E1570" s="31"/>
      <ns0:c r="F1570" s="32"/>
      <ns0:c r="G1570" s="29"/>
      <ns0:c r="H1570" s="29"/>
      <ns0:c r="I1570" s="29"/>
      <ns0:c r="J1570" s="29"/>
      <ns0:c r="K1570" s="29"/>
    </ns0:row>
    <ns0:row r="1571" ht="28" customHeight="1">
      <ns0:c r="A1571" s="29"/>
      <ns0:c r="B1571" s="30"/>
      <ns0:c r="C1571" s="28"/>
      <ns0:c r="D1571" s="29"/>
      <ns0:c r="E1571" s="31"/>
      <ns0:c r="F1571" s="32"/>
      <ns0:c r="G1571" s="29"/>
      <ns0:c r="H1571" s="29"/>
      <ns0:c r="I1571" s="29"/>
      <ns0:c r="J1571" s="29"/>
      <ns0:c r="K1571" s="29"/>
    </ns0:row>
    <ns0:row r="1572" ht="28" customHeight="1">
      <ns0:c r="A1572" s="29"/>
      <ns0:c r="B1572" s="30"/>
      <ns0:c r="C1572" s="28"/>
      <ns0:c r="D1572" s="29"/>
      <ns0:c r="E1572" s="31"/>
      <ns0:c r="F1572" s="32"/>
      <ns0:c r="G1572" s="29"/>
      <ns0:c r="H1572" s="29"/>
      <ns0:c r="I1572" s="29"/>
      <ns0:c r="J1572" s="29"/>
      <ns0:c r="K1572" s="29"/>
    </ns0:row>
    <ns0:row r="1573" ht="28" customHeight="1">
      <ns0:c r="A1573" s="29"/>
      <ns0:c r="B1573" s="30"/>
      <ns0:c r="C1573" s="28"/>
      <ns0:c r="D1573" s="29"/>
      <ns0:c r="E1573" s="31"/>
      <ns0:c r="F1573" s="32"/>
      <ns0:c r="G1573" s="29"/>
      <ns0:c r="H1573" s="29"/>
      <ns0:c r="I1573" s="29"/>
      <ns0:c r="J1573" s="29"/>
      <ns0:c r="K1573" s="29"/>
    </ns0:row>
    <ns0:row r="1574" ht="28" customHeight="1">
      <ns0:c r="A1574" s="29"/>
      <ns0:c r="B1574" s="30"/>
      <ns0:c r="C1574" s="28"/>
      <ns0:c r="D1574" s="29"/>
      <ns0:c r="E1574" s="31"/>
      <ns0:c r="F1574" s="32"/>
      <ns0:c r="G1574" s="29"/>
      <ns0:c r="H1574" s="29"/>
      <ns0:c r="I1574" s="29"/>
      <ns0:c r="J1574" s="29"/>
      <ns0:c r="K1574" s="29"/>
    </ns0:row>
    <ns0:row r="1575" ht="28" customHeight="1">
      <ns0:c r="A1575" s="29"/>
      <ns0:c r="B1575" s="30"/>
      <ns0:c r="C1575" s="28"/>
      <ns0:c r="D1575" s="29"/>
      <ns0:c r="E1575" s="31"/>
      <ns0:c r="F1575" s="32"/>
      <ns0:c r="G1575" s="29"/>
      <ns0:c r="H1575" s="29"/>
      <ns0:c r="I1575" s="29"/>
      <ns0:c r="J1575" s="29"/>
      <ns0:c r="K1575" s="29"/>
    </ns0:row>
    <ns0:row r="1576" ht="28" customHeight="1">
      <ns0:c r="A1576" s="29"/>
      <ns0:c r="B1576" s="30"/>
      <ns0:c r="C1576" s="28"/>
      <ns0:c r="D1576" s="29"/>
      <ns0:c r="E1576" s="31"/>
      <ns0:c r="F1576" s="32"/>
      <ns0:c r="G1576" s="29"/>
      <ns0:c r="H1576" s="29"/>
      <ns0:c r="I1576" s="29"/>
      <ns0:c r="J1576" s="29"/>
      <ns0:c r="K1576" s="29"/>
    </ns0:row>
    <ns0:row r="1577" ht="28" customHeight="1">
      <ns0:c r="A1577" s="29"/>
      <ns0:c r="B1577" s="30"/>
      <ns0:c r="C1577" s="28"/>
      <ns0:c r="D1577" s="29"/>
      <ns0:c r="E1577" s="31"/>
      <ns0:c r="F1577" s="32"/>
      <ns0:c r="G1577" s="29"/>
      <ns0:c r="H1577" s="29"/>
      <ns0:c r="I1577" s="29"/>
      <ns0:c r="J1577" s="29"/>
      <ns0:c r="K1577" s="29"/>
    </ns0:row>
    <ns0:row r="1578" ht="28" customHeight="1">
      <ns0:c r="A1578" s="29"/>
      <ns0:c r="B1578" s="30"/>
      <ns0:c r="C1578" s="28"/>
      <ns0:c r="D1578" s="29"/>
      <ns0:c r="E1578" s="31"/>
      <ns0:c r="F1578" s="32"/>
      <ns0:c r="G1578" s="29"/>
      <ns0:c r="H1578" s="29"/>
      <ns0:c r="I1578" s="29"/>
      <ns0:c r="J1578" s="29"/>
      <ns0:c r="K1578" s="29"/>
    </ns0:row>
    <ns0:row r="1579" ht="28" customHeight="1">
      <ns0:c r="A1579" s="29"/>
      <ns0:c r="B1579" s="30"/>
      <ns0:c r="C1579" s="28"/>
      <ns0:c r="D1579" s="29"/>
      <ns0:c r="E1579" s="31"/>
      <ns0:c r="F1579" s="32"/>
      <ns0:c r="G1579" s="29"/>
      <ns0:c r="H1579" s="29"/>
      <ns0:c r="I1579" s="29"/>
      <ns0:c r="J1579" s="29"/>
      <ns0:c r="K1579" s="29"/>
    </ns0:row>
    <ns0:row r="1580" ht="28" customHeight="1">
      <ns0:c r="A1580" s="29"/>
      <ns0:c r="B1580" s="30"/>
      <ns0:c r="C1580" s="28"/>
      <ns0:c r="D1580" s="29"/>
      <ns0:c r="E1580" s="31"/>
      <ns0:c r="F1580" s="32"/>
      <ns0:c r="G1580" s="29"/>
      <ns0:c r="H1580" s="29"/>
      <ns0:c r="I1580" s="29"/>
      <ns0:c r="J1580" s="29"/>
      <ns0:c r="K1580" s="29"/>
    </ns0:row>
    <ns0:row r="1581" ht="28" customHeight="1">
      <ns0:c r="A1581" s="29"/>
      <ns0:c r="B1581" s="30"/>
      <ns0:c r="C1581" s="28"/>
      <ns0:c r="D1581" s="29"/>
      <ns0:c r="E1581" s="31"/>
      <ns0:c r="F1581" s="32"/>
      <ns0:c r="G1581" s="29"/>
      <ns0:c r="H1581" s="29"/>
      <ns0:c r="I1581" s="29"/>
      <ns0:c r="J1581" s="29"/>
      <ns0:c r="K1581" s="29"/>
    </ns0:row>
    <ns0:row r="1582" ht="28" customHeight="1">
      <ns0:c r="A1582" s="29"/>
      <ns0:c r="B1582" s="30"/>
      <ns0:c r="C1582" s="28"/>
      <ns0:c r="D1582" s="29"/>
      <ns0:c r="E1582" s="31"/>
      <ns0:c r="F1582" s="32"/>
      <ns0:c r="G1582" s="29"/>
      <ns0:c r="H1582" s="29"/>
      <ns0:c r="I1582" s="29"/>
      <ns0:c r="J1582" s="29"/>
      <ns0:c r="K1582" s="29"/>
    </ns0:row>
    <ns0:row r="1583" ht="28" customHeight="1">
      <ns0:c r="A1583" s="29"/>
      <ns0:c r="B1583" s="30"/>
      <ns0:c r="C1583" s="28"/>
      <ns0:c r="D1583" s="29"/>
      <ns0:c r="E1583" s="31"/>
      <ns0:c r="F1583" s="32"/>
      <ns0:c r="G1583" s="29"/>
      <ns0:c r="H1583" s="29"/>
      <ns0:c r="I1583" s="29"/>
      <ns0:c r="J1583" s="29"/>
      <ns0:c r="K1583" s="29"/>
    </ns0:row>
    <ns0:row r="1584" ht="28" customHeight="1">
      <ns0:c r="A1584" s="29"/>
      <ns0:c r="B1584" s="30"/>
      <ns0:c r="C1584" s="28"/>
      <ns0:c r="D1584" s="29"/>
      <ns0:c r="E1584" s="31"/>
      <ns0:c r="F1584" s="32"/>
      <ns0:c r="G1584" s="29"/>
      <ns0:c r="H1584" s="29"/>
      <ns0:c r="I1584" s="29"/>
      <ns0:c r="J1584" s="29"/>
      <ns0:c r="K1584" s="29"/>
    </ns0:row>
    <ns0:row r="1585" ht="28" customHeight="1">
      <ns0:c r="A1585" s="29"/>
      <ns0:c r="B1585" s="30"/>
      <ns0:c r="C1585" s="28"/>
      <ns0:c r="D1585" s="29"/>
      <ns0:c r="E1585" s="31"/>
      <ns0:c r="F1585" s="32"/>
      <ns0:c r="G1585" s="29"/>
      <ns0:c r="H1585" s="29"/>
      <ns0:c r="I1585" s="29"/>
      <ns0:c r="J1585" s="29"/>
      <ns0:c r="K1585" s="29"/>
    </ns0:row>
    <ns0:row r="1586" ht="28" customHeight="1">
      <ns0:c r="A1586" s="29"/>
      <ns0:c r="B1586" s="30"/>
      <ns0:c r="C1586" s="28"/>
      <ns0:c r="D1586" s="29"/>
      <ns0:c r="E1586" s="31"/>
      <ns0:c r="F1586" s="32"/>
      <ns0:c r="G1586" s="29"/>
      <ns0:c r="H1586" s="29"/>
      <ns0:c r="I1586" s="29"/>
      <ns0:c r="J1586" s="29"/>
      <ns0:c r="K1586" s="29"/>
    </ns0:row>
    <ns0:row r="1587" ht="28" customHeight="1">
      <ns0:c r="A1587" s="29"/>
      <ns0:c r="B1587" s="30"/>
      <ns0:c r="C1587" s="28"/>
      <ns0:c r="D1587" s="29"/>
      <ns0:c r="E1587" s="31"/>
      <ns0:c r="F1587" s="32"/>
      <ns0:c r="G1587" s="29"/>
      <ns0:c r="H1587" s="29"/>
      <ns0:c r="I1587" s="29"/>
      <ns0:c r="J1587" s="29"/>
      <ns0:c r="K1587" s="29"/>
    </ns0:row>
    <ns0:row r="1588" ht="28" customHeight="1">
      <ns0:c r="A1588" s="29"/>
      <ns0:c r="B1588" s="30"/>
      <ns0:c r="C1588" s="28"/>
      <ns0:c r="D1588" s="29"/>
      <ns0:c r="E1588" s="31"/>
      <ns0:c r="F1588" s="32"/>
      <ns0:c r="G1588" s="29"/>
      <ns0:c r="H1588" s="29"/>
      <ns0:c r="I1588" s="29"/>
      <ns0:c r="J1588" s="29"/>
      <ns0:c r="K1588" s="29"/>
    </ns0:row>
    <ns0:row r="1589" ht="28" customHeight="1">
      <ns0:c r="A1589" s="29"/>
      <ns0:c r="B1589" s="30"/>
      <ns0:c r="C1589" s="28"/>
      <ns0:c r="D1589" s="29"/>
      <ns0:c r="E1589" s="31"/>
      <ns0:c r="F1589" s="32"/>
      <ns0:c r="G1589" s="29"/>
      <ns0:c r="H1589" s="29"/>
      <ns0:c r="I1589" s="29"/>
      <ns0:c r="J1589" s="29"/>
      <ns0:c r="K1589" s="29"/>
    </ns0:row>
    <ns0:row r="1590" ht="28" customHeight="1">
      <ns0:c r="A1590" s="29"/>
      <ns0:c r="B1590" s="30"/>
      <ns0:c r="C1590" s="28"/>
      <ns0:c r="D1590" s="29"/>
      <ns0:c r="E1590" s="31"/>
      <ns0:c r="F1590" s="32"/>
      <ns0:c r="G1590" s="29"/>
      <ns0:c r="H1590" s="29"/>
      <ns0:c r="I1590" s="29"/>
      <ns0:c r="J1590" s="29"/>
      <ns0:c r="K1590" s="29"/>
    </ns0:row>
    <ns0:row r="1591" ht="28" customHeight="1">
      <ns0:c r="A1591" s="29"/>
      <ns0:c r="B1591" s="30"/>
      <ns0:c r="C1591" s="28"/>
      <ns0:c r="D1591" s="29"/>
      <ns0:c r="E1591" s="31"/>
      <ns0:c r="F1591" s="32"/>
      <ns0:c r="G1591" s="29"/>
      <ns0:c r="H1591" s="29"/>
      <ns0:c r="I1591" s="29"/>
      <ns0:c r="J1591" s="29"/>
      <ns0:c r="K1591" s="29"/>
    </ns0:row>
    <ns0:row r="1592" ht="28" customHeight="1">
      <ns0:c r="A1592" s="29"/>
      <ns0:c r="B1592" s="30"/>
      <ns0:c r="C1592" s="28"/>
      <ns0:c r="D1592" s="29"/>
      <ns0:c r="E1592" s="31"/>
      <ns0:c r="F1592" s="32"/>
      <ns0:c r="G1592" s="29"/>
      <ns0:c r="H1592" s="29"/>
      <ns0:c r="I1592" s="29"/>
      <ns0:c r="J1592" s="29"/>
      <ns0:c r="K1592" s="29"/>
    </ns0:row>
    <ns0:row r="1593" ht="28" customHeight="1">
      <ns0:c r="A1593" s="29"/>
      <ns0:c r="B1593" s="30"/>
      <ns0:c r="C1593" s="28"/>
      <ns0:c r="D1593" s="29"/>
      <ns0:c r="E1593" s="31"/>
      <ns0:c r="F1593" s="32"/>
      <ns0:c r="G1593" s="29"/>
      <ns0:c r="H1593" s="29"/>
      <ns0:c r="I1593" s="29"/>
      <ns0:c r="J1593" s="29"/>
      <ns0:c r="K1593" s="29"/>
    </ns0:row>
    <ns0:row r="1594" ht="28" customHeight="1">
      <ns0:c r="A1594" s="29"/>
      <ns0:c r="B1594" s="30"/>
      <ns0:c r="C1594" s="28"/>
      <ns0:c r="D1594" s="29"/>
      <ns0:c r="E1594" s="31"/>
      <ns0:c r="F1594" s="32"/>
      <ns0:c r="G1594" s="29"/>
      <ns0:c r="H1594" s="29"/>
      <ns0:c r="I1594" s="29"/>
      <ns0:c r="J1594" s="29"/>
      <ns0:c r="K1594" s="29"/>
    </ns0:row>
    <ns0:row r="1595" ht="28" customHeight="1">
      <ns0:c r="A1595" s="29"/>
      <ns0:c r="B1595" s="30"/>
      <ns0:c r="C1595" s="28"/>
      <ns0:c r="D1595" s="29"/>
      <ns0:c r="E1595" s="31"/>
      <ns0:c r="F1595" s="32"/>
      <ns0:c r="G1595" s="29"/>
      <ns0:c r="H1595" s="29"/>
      <ns0:c r="I1595" s="29"/>
      <ns0:c r="J1595" s="29"/>
      <ns0:c r="K1595" s="29"/>
    </ns0:row>
    <ns0:row r="1596" ht="28" customHeight="1">
      <ns0:c r="A1596" s="29"/>
      <ns0:c r="B1596" s="30"/>
      <ns0:c r="C1596" s="28"/>
      <ns0:c r="D1596" s="29"/>
      <ns0:c r="E1596" s="31"/>
      <ns0:c r="F1596" s="32"/>
      <ns0:c r="G1596" s="29"/>
      <ns0:c r="H1596" s="29"/>
      <ns0:c r="I1596" s="29"/>
      <ns0:c r="J1596" s="29"/>
      <ns0:c r="K1596" s="29"/>
    </ns0:row>
    <ns0:row r="1597" ht="28" customHeight="1">
      <ns0:c r="A1597" s="29"/>
      <ns0:c r="B1597" s="30"/>
      <ns0:c r="C1597" s="28"/>
      <ns0:c r="D1597" s="29"/>
      <ns0:c r="E1597" s="31"/>
      <ns0:c r="F1597" s="32"/>
      <ns0:c r="G1597" s="29"/>
      <ns0:c r="H1597" s="29"/>
      <ns0:c r="I1597" s="29"/>
      <ns0:c r="J1597" s="29"/>
      <ns0:c r="K1597" s="29"/>
    </ns0:row>
    <ns0:row r="1598" ht="28" customHeight="1">
      <ns0:c r="A1598" s="29"/>
      <ns0:c r="B1598" s="30"/>
      <ns0:c r="C1598" s="28"/>
      <ns0:c r="D1598" s="29"/>
      <ns0:c r="E1598" s="31"/>
      <ns0:c r="F1598" s="32"/>
      <ns0:c r="G1598" s="29"/>
      <ns0:c r="H1598" s="29"/>
      <ns0:c r="I1598" s="29"/>
      <ns0:c r="J1598" s="29"/>
      <ns0:c r="K1598" s="29"/>
    </ns0:row>
    <ns0:row r="1599" ht="28" customHeight="1">
      <ns0:c r="A1599" s="29"/>
      <ns0:c r="B1599" s="30"/>
      <ns0:c r="C1599" s="28"/>
      <ns0:c r="D1599" s="29"/>
      <ns0:c r="E1599" s="31"/>
      <ns0:c r="F1599" s="32"/>
      <ns0:c r="G1599" s="29"/>
      <ns0:c r="H1599" s="29"/>
      <ns0:c r="I1599" s="29"/>
      <ns0:c r="J1599" s="29"/>
      <ns0:c r="K1599" s="29"/>
    </ns0:row>
    <ns0:row r="1600" ht="28" customHeight="1">
      <ns0:c r="A1600" s="29"/>
      <ns0:c r="B1600" s="30"/>
      <ns0:c r="C1600" s="28"/>
      <ns0:c r="D1600" s="29"/>
      <ns0:c r="E1600" s="31"/>
      <ns0:c r="F1600" s="32"/>
      <ns0:c r="G1600" s="29"/>
      <ns0:c r="H1600" s="29"/>
      <ns0:c r="I1600" s="29"/>
      <ns0:c r="J1600" s="29"/>
      <ns0:c r="K1600" s="29"/>
    </ns0:row>
    <ns0:row r="1601" ht="28" customHeight="1">
      <ns0:c r="A1601" s="29"/>
      <ns0:c r="B1601" s="30"/>
      <ns0:c r="C1601" s="28"/>
      <ns0:c r="D1601" s="29"/>
      <ns0:c r="E1601" s="31"/>
      <ns0:c r="F1601" s="32"/>
      <ns0:c r="G1601" s="29"/>
      <ns0:c r="H1601" s="29"/>
      <ns0:c r="I1601" s="29"/>
      <ns0:c r="J1601" s="29"/>
      <ns0:c r="K1601" s="29"/>
    </ns0:row>
    <ns0:row r="1602" ht="28" customHeight="1">
      <ns0:c r="A1602" s="29"/>
      <ns0:c r="B1602" s="30"/>
      <ns0:c r="C1602" s="28"/>
      <ns0:c r="D1602" s="29"/>
      <ns0:c r="E1602" s="31"/>
      <ns0:c r="F1602" s="32"/>
      <ns0:c r="G1602" s="29"/>
      <ns0:c r="H1602" s="29"/>
      <ns0:c r="I1602" s="29"/>
      <ns0:c r="J1602" s="29"/>
      <ns0:c r="K1602" s="29"/>
    </ns0:row>
    <ns0:row r="1603" ht="28" customHeight="1">
      <ns0:c r="A1603" s="29"/>
      <ns0:c r="B1603" s="30"/>
      <ns0:c r="C1603" s="28"/>
      <ns0:c r="D1603" s="29"/>
      <ns0:c r="E1603" s="31"/>
      <ns0:c r="F1603" s="32"/>
      <ns0:c r="G1603" s="29"/>
      <ns0:c r="H1603" s="29"/>
      <ns0:c r="I1603" s="29"/>
      <ns0:c r="J1603" s="29"/>
      <ns0:c r="K1603" s="29"/>
    </ns0:row>
    <ns0:row r="1604" ht="28" customHeight="1">
      <ns0:c r="A1604" s="29"/>
      <ns0:c r="B1604" s="30"/>
      <ns0:c r="C1604" s="28"/>
      <ns0:c r="D1604" s="29"/>
      <ns0:c r="E1604" s="31"/>
      <ns0:c r="F1604" s="32"/>
      <ns0:c r="G1604" s="29"/>
      <ns0:c r="H1604" s="29"/>
      <ns0:c r="I1604" s="29"/>
      <ns0:c r="J1604" s="29"/>
      <ns0:c r="K1604" s="29"/>
    </ns0:row>
    <ns0:row r="1605" ht="28" customHeight="1">
      <ns0:c r="A1605" s="29"/>
      <ns0:c r="B1605" s="30"/>
      <ns0:c r="C1605" s="28"/>
      <ns0:c r="D1605" s="29"/>
      <ns0:c r="E1605" s="31"/>
      <ns0:c r="F1605" s="32"/>
      <ns0:c r="G1605" s="29"/>
      <ns0:c r="H1605" s="29"/>
      <ns0:c r="I1605" s="29"/>
      <ns0:c r="J1605" s="29"/>
      <ns0:c r="K1605" s="29"/>
    </ns0:row>
    <ns0:row r="1606" ht="28" customHeight="1">
      <ns0:c r="A1606" s="29"/>
      <ns0:c r="B1606" s="30"/>
      <ns0:c r="C1606" s="28"/>
      <ns0:c r="D1606" s="29"/>
      <ns0:c r="E1606" s="31"/>
      <ns0:c r="F1606" s="32"/>
      <ns0:c r="G1606" s="29"/>
      <ns0:c r="H1606" s="29"/>
      <ns0:c r="I1606" s="29"/>
      <ns0:c r="J1606" s="29"/>
      <ns0:c r="K1606" s="29"/>
    </ns0:row>
    <ns0:row r="1607" ht="28" customHeight="1">
      <ns0:c r="A1607" s="29"/>
      <ns0:c r="B1607" s="30"/>
      <ns0:c r="C1607" s="28"/>
      <ns0:c r="D1607" s="29"/>
      <ns0:c r="E1607" s="31"/>
      <ns0:c r="F1607" s="32"/>
      <ns0:c r="G1607" s="29"/>
      <ns0:c r="H1607" s="29"/>
      <ns0:c r="I1607" s="29"/>
      <ns0:c r="J1607" s="29"/>
      <ns0:c r="K1607" s="29"/>
    </ns0:row>
    <ns0:row r="1608" ht="28" customHeight="1">
      <ns0:c r="A1608" s="29"/>
      <ns0:c r="B1608" s="30"/>
      <ns0:c r="C1608" s="28"/>
      <ns0:c r="D1608" s="29"/>
      <ns0:c r="E1608" s="31"/>
      <ns0:c r="F1608" s="32"/>
      <ns0:c r="G1608" s="29"/>
      <ns0:c r="H1608" s="29"/>
      <ns0:c r="I1608" s="29"/>
      <ns0:c r="J1608" s="29"/>
      <ns0:c r="K1608" s="29"/>
    </ns0:row>
    <ns0:row r="1609" ht="28" customHeight="1">
      <ns0:c r="A1609" s="29"/>
      <ns0:c r="B1609" s="30"/>
      <ns0:c r="C1609" s="28"/>
      <ns0:c r="D1609" s="29"/>
      <ns0:c r="E1609" s="31"/>
      <ns0:c r="F1609" s="32"/>
      <ns0:c r="G1609" s="29"/>
      <ns0:c r="H1609" s="29"/>
      <ns0:c r="I1609" s="29"/>
      <ns0:c r="J1609" s="29"/>
      <ns0:c r="K1609" s="29"/>
    </ns0:row>
    <ns0:row r="1610" ht="28" customHeight="1">
      <ns0:c r="A1610" s="29"/>
      <ns0:c r="B1610" s="30"/>
      <ns0:c r="C1610" s="28"/>
      <ns0:c r="D1610" s="29"/>
      <ns0:c r="E1610" s="31"/>
      <ns0:c r="F1610" s="32"/>
      <ns0:c r="G1610" s="29"/>
      <ns0:c r="H1610" s="29"/>
      <ns0:c r="I1610" s="29"/>
      <ns0:c r="J1610" s="29"/>
      <ns0:c r="K1610" s="29"/>
    </ns0:row>
    <ns0:row r="1611" ht="28" customHeight="1">
      <ns0:c r="A1611" s="29"/>
      <ns0:c r="B1611" s="30"/>
      <ns0:c r="C1611" s="28"/>
      <ns0:c r="D1611" s="29"/>
      <ns0:c r="E1611" s="31"/>
      <ns0:c r="F1611" s="32"/>
      <ns0:c r="G1611" s="29"/>
      <ns0:c r="H1611" s="29"/>
      <ns0:c r="I1611" s="29"/>
      <ns0:c r="J1611" s="29"/>
      <ns0:c r="K1611" s="29"/>
    </ns0:row>
    <ns0:row r="1612" ht="28" customHeight="1">
      <ns0:c r="A1612" s="29"/>
      <ns0:c r="B1612" s="30"/>
      <ns0:c r="C1612" s="28"/>
      <ns0:c r="D1612" s="29"/>
      <ns0:c r="E1612" s="31"/>
      <ns0:c r="F1612" s="32"/>
      <ns0:c r="G1612" s="29"/>
      <ns0:c r="H1612" s="29"/>
      <ns0:c r="I1612" s="29"/>
      <ns0:c r="J1612" s="29"/>
      <ns0:c r="K1612" s="29"/>
    </ns0:row>
    <ns0:row r="1613" ht="28" customHeight="1">
      <ns0:c r="A1613" s="29"/>
      <ns0:c r="B1613" s="30"/>
      <ns0:c r="C1613" s="28"/>
      <ns0:c r="D1613" s="29"/>
      <ns0:c r="E1613" s="31"/>
      <ns0:c r="F1613" s="32"/>
      <ns0:c r="G1613" s="29"/>
      <ns0:c r="H1613" s="29"/>
      <ns0:c r="I1613" s="29"/>
      <ns0:c r="J1613" s="29"/>
      <ns0:c r="K1613" s="29"/>
    </ns0:row>
    <ns0:row r="1614" ht="28" customHeight="1">
      <ns0:c r="A1614" s="29"/>
      <ns0:c r="B1614" s="30"/>
      <ns0:c r="C1614" s="28"/>
      <ns0:c r="D1614" s="29"/>
      <ns0:c r="E1614" s="31"/>
      <ns0:c r="F1614" s="32"/>
      <ns0:c r="G1614" s="29"/>
      <ns0:c r="H1614" s="29"/>
      <ns0:c r="I1614" s="29"/>
      <ns0:c r="J1614" s="29"/>
      <ns0:c r="K1614" s="29"/>
    </ns0:row>
    <ns0:row r="1615" ht="28" customHeight="1">
      <ns0:c r="A1615" s="29"/>
      <ns0:c r="B1615" s="30"/>
      <ns0:c r="C1615" s="28"/>
      <ns0:c r="D1615" s="29"/>
      <ns0:c r="E1615" s="31"/>
      <ns0:c r="F1615" s="32"/>
      <ns0:c r="G1615" s="29"/>
      <ns0:c r="H1615" s="29"/>
      <ns0:c r="I1615" s="29"/>
      <ns0:c r="J1615" s="29"/>
      <ns0:c r="K1615" s="29"/>
    </ns0:row>
    <ns0:row r="1616" ht="28" customHeight="1">
      <ns0:c r="A1616" s="29"/>
      <ns0:c r="B1616" s="30"/>
      <ns0:c r="C1616" s="28"/>
      <ns0:c r="D1616" s="29"/>
      <ns0:c r="E1616" s="31"/>
      <ns0:c r="F1616" s="32"/>
      <ns0:c r="G1616" s="29"/>
      <ns0:c r="H1616" s="29"/>
      <ns0:c r="I1616" s="29"/>
      <ns0:c r="J1616" s="29"/>
      <ns0:c r="K1616" s="29"/>
    </ns0:row>
    <ns0:row r="1617" ht="28" customHeight="1">
      <ns0:c r="A1617" s="29"/>
      <ns0:c r="B1617" s="30"/>
      <ns0:c r="C1617" s="28"/>
      <ns0:c r="D1617" s="29"/>
      <ns0:c r="E1617" s="31"/>
      <ns0:c r="F1617" s="32"/>
      <ns0:c r="G1617" s="29"/>
      <ns0:c r="H1617" s="29"/>
      <ns0:c r="I1617" s="29"/>
      <ns0:c r="J1617" s="29"/>
      <ns0:c r="K1617" s="29"/>
    </ns0:row>
    <ns0:row r="1618" ht="28" customHeight="1">
      <ns0:c r="A1618" s="29"/>
      <ns0:c r="B1618" s="30"/>
      <ns0:c r="C1618" s="28"/>
      <ns0:c r="D1618" s="29"/>
      <ns0:c r="E1618" s="31"/>
      <ns0:c r="F1618" s="32"/>
      <ns0:c r="G1618" s="29"/>
      <ns0:c r="H1618" s="29"/>
      <ns0:c r="I1618" s="29"/>
      <ns0:c r="J1618" s="29"/>
      <ns0:c r="K1618" s="29"/>
    </ns0:row>
    <ns0:row r="1619" ht="28" customHeight="1">
      <ns0:c r="A1619" s="29"/>
      <ns0:c r="B1619" s="30"/>
      <ns0:c r="C1619" s="28"/>
      <ns0:c r="D1619" s="29"/>
      <ns0:c r="E1619" s="31"/>
      <ns0:c r="F1619" s="32"/>
      <ns0:c r="G1619" s="29"/>
      <ns0:c r="H1619" s="29"/>
      <ns0:c r="I1619" s="29"/>
      <ns0:c r="J1619" s="29"/>
      <ns0:c r="K1619" s="29"/>
    </ns0:row>
    <ns0:row r="1620" ht="28" customHeight="1">
      <ns0:c r="A1620" s="29"/>
      <ns0:c r="B1620" s="30"/>
      <ns0:c r="C1620" s="28"/>
      <ns0:c r="D1620" s="29"/>
      <ns0:c r="E1620" s="31"/>
      <ns0:c r="F1620" s="32"/>
      <ns0:c r="G1620" s="29"/>
      <ns0:c r="H1620" s="29"/>
      <ns0:c r="I1620" s="29"/>
      <ns0:c r="J1620" s="29"/>
      <ns0:c r="K1620" s="29"/>
    </ns0:row>
    <ns0:row r="1621" ht="28" customHeight="1">
      <ns0:c r="A1621" s="29"/>
      <ns0:c r="B1621" s="30"/>
      <ns0:c r="C1621" s="28"/>
      <ns0:c r="D1621" s="29"/>
      <ns0:c r="E1621" s="31"/>
      <ns0:c r="F1621" s="32"/>
      <ns0:c r="G1621" s="29"/>
      <ns0:c r="H1621" s="29"/>
      <ns0:c r="I1621" s="29"/>
      <ns0:c r="J1621" s="29"/>
      <ns0:c r="K1621" s="29"/>
    </ns0:row>
    <ns0:row r="1622" ht="28" customHeight="1">
      <ns0:c r="A1622" s="29"/>
      <ns0:c r="B1622" s="30"/>
      <ns0:c r="C1622" s="28"/>
      <ns0:c r="D1622" s="29"/>
      <ns0:c r="E1622" s="31"/>
      <ns0:c r="F1622" s="32"/>
      <ns0:c r="G1622" s="29"/>
      <ns0:c r="H1622" s="29"/>
      <ns0:c r="I1622" s="29"/>
      <ns0:c r="J1622" s="29"/>
      <ns0:c r="K1622" s="29"/>
    </ns0:row>
    <ns0:row r="1623" ht="28" customHeight="1">
      <ns0:c r="A1623" s="29"/>
      <ns0:c r="B1623" s="30"/>
      <ns0:c r="C1623" s="28"/>
      <ns0:c r="D1623" s="29"/>
      <ns0:c r="E1623" s="31"/>
      <ns0:c r="F1623" s="32"/>
      <ns0:c r="G1623" s="29"/>
      <ns0:c r="H1623" s="29"/>
      <ns0:c r="I1623" s="29"/>
      <ns0:c r="J1623" s="29"/>
      <ns0:c r="K1623" s="29"/>
    </ns0:row>
    <ns0:row r="1624" ht="28" customHeight="1">
      <ns0:c r="A1624" s="29"/>
      <ns0:c r="B1624" s="30"/>
      <ns0:c r="C1624" s="28"/>
      <ns0:c r="D1624" s="29"/>
      <ns0:c r="E1624" s="31"/>
      <ns0:c r="F1624" s="32"/>
      <ns0:c r="G1624" s="29"/>
      <ns0:c r="H1624" s="29"/>
      <ns0:c r="I1624" s="29"/>
      <ns0:c r="J1624" s="29"/>
      <ns0:c r="K1624" s="29"/>
    </ns0:row>
    <ns0:row r="1625" ht="28" customHeight="1">
      <ns0:c r="A1625" s="29"/>
      <ns0:c r="B1625" s="30"/>
      <ns0:c r="C1625" s="28"/>
      <ns0:c r="D1625" s="29"/>
      <ns0:c r="E1625" s="31"/>
      <ns0:c r="F1625" s="32"/>
      <ns0:c r="G1625" s="29"/>
      <ns0:c r="H1625" s="29"/>
      <ns0:c r="I1625" s="29"/>
      <ns0:c r="J1625" s="29"/>
      <ns0:c r="K1625" s="29"/>
    </ns0:row>
    <ns0:row r="1626" ht="28" customHeight="1">
      <ns0:c r="A1626" s="29"/>
      <ns0:c r="B1626" s="30"/>
      <ns0:c r="C1626" s="28"/>
      <ns0:c r="D1626" s="29"/>
      <ns0:c r="E1626" s="31"/>
      <ns0:c r="F1626" s="32"/>
      <ns0:c r="G1626" s="29"/>
      <ns0:c r="H1626" s="29"/>
      <ns0:c r="I1626" s="29"/>
      <ns0:c r="J1626" s="29"/>
      <ns0:c r="K1626" s="29"/>
    </ns0:row>
    <ns0:row r="1627" ht="28" customHeight="1">
      <ns0:c r="A1627" s="29"/>
      <ns0:c r="B1627" s="30"/>
      <ns0:c r="C1627" s="28"/>
      <ns0:c r="D1627" s="29"/>
      <ns0:c r="E1627" s="31"/>
      <ns0:c r="F1627" s="32"/>
      <ns0:c r="G1627" s="29"/>
      <ns0:c r="H1627" s="29"/>
      <ns0:c r="I1627" s="29"/>
      <ns0:c r="J1627" s="29"/>
      <ns0:c r="K1627" s="29"/>
    </ns0:row>
    <ns0:row r="1628" ht="28" customHeight="1">
      <ns0:c r="A1628" s="29"/>
      <ns0:c r="B1628" s="30"/>
      <ns0:c r="C1628" s="28"/>
      <ns0:c r="D1628" s="29"/>
      <ns0:c r="E1628" s="31"/>
      <ns0:c r="F1628" s="32"/>
      <ns0:c r="G1628" s="29"/>
      <ns0:c r="H1628" s="29"/>
      <ns0:c r="I1628" s="29"/>
      <ns0:c r="J1628" s="29"/>
      <ns0:c r="K1628" s="29"/>
    </ns0:row>
    <ns0:row r="1629" ht="28" customHeight="1">
      <ns0:c r="A1629" s="29"/>
      <ns0:c r="B1629" s="30"/>
      <ns0:c r="C1629" s="28"/>
      <ns0:c r="D1629" s="29"/>
      <ns0:c r="E1629" s="31"/>
      <ns0:c r="F1629" s="32"/>
      <ns0:c r="G1629" s="29"/>
      <ns0:c r="H1629" s="29"/>
      <ns0:c r="I1629" s="29"/>
      <ns0:c r="J1629" s="29"/>
      <ns0:c r="K1629" s="29"/>
    </ns0:row>
    <ns0:row r="1630" ht="28" customHeight="1">
      <ns0:c r="A1630" s="29"/>
      <ns0:c r="B1630" s="30"/>
      <ns0:c r="C1630" s="28"/>
      <ns0:c r="D1630" s="29"/>
      <ns0:c r="E1630" s="31"/>
      <ns0:c r="F1630" s="32"/>
      <ns0:c r="G1630" s="29"/>
      <ns0:c r="H1630" s="29"/>
      <ns0:c r="I1630" s="29"/>
      <ns0:c r="J1630" s="29"/>
      <ns0:c r="K1630" s="29"/>
    </ns0:row>
    <ns0:row r="1631" ht="28" customHeight="1">
      <ns0:c r="A1631" s="29"/>
      <ns0:c r="B1631" s="30"/>
      <ns0:c r="C1631" s="28"/>
      <ns0:c r="D1631" s="29"/>
      <ns0:c r="E1631" s="31"/>
      <ns0:c r="F1631" s="32"/>
      <ns0:c r="G1631" s="29"/>
      <ns0:c r="H1631" s="29"/>
      <ns0:c r="I1631" s="29"/>
      <ns0:c r="J1631" s="29"/>
      <ns0:c r="K1631" s="29"/>
    </ns0:row>
    <ns0:row r="1632" ht="28" customHeight="1">
      <ns0:c r="A1632" s="29"/>
      <ns0:c r="B1632" s="30"/>
      <ns0:c r="C1632" s="28"/>
      <ns0:c r="D1632" s="29"/>
      <ns0:c r="E1632" s="31"/>
      <ns0:c r="F1632" s="32"/>
      <ns0:c r="G1632" s="29"/>
      <ns0:c r="H1632" s="29"/>
      <ns0:c r="I1632" s="29"/>
      <ns0:c r="J1632" s="29"/>
      <ns0:c r="K1632" s="29"/>
    </ns0:row>
    <ns0:row r="1633" ht="28" customHeight="1">
      <ns0:c r="A1633" s="29"/>
      <ns0:c r="B1633" s="30"/>
      <ns0:c r="C1633" s="28"/>
      <ns0:c r="D1633" s="29"/>
      <ns0:c r="E1633" s="31"/>
      <ns0:c r="F1633" s="32"/>
      <ns0:c r="G1633" s="29"/>
      <ns0:c r="H1633" s="29"/>
      <ns0:c r="I1633" s="29"/>
      <ns0:c r="J1633" s="29"/>
      <ns0:c r="K1633" s="29"/>
    </ns0:row>
    <ns0:row r="1634" ht="28" customHeight="1">
      <ns0:c r="A1634" s="29"/>
      <ns0:c r="B1634" s="30"/>
      <ns0:c r="C1634" s="28"/>
      <ns0:c r="D1634" s="29"/>
      <ns0:c r="E1634" s="31"/>
      <ns0:c r="F1634" s="32"/>
      <ns0:c r="G1634" s="29"/>
      <ns0:c r="H1634" s="29"/>
      <ns0:c r="I1634" s="29"/>
      <ns0:c r="J1634" s="29"/>
      <ns0:c r="K1634" s="29"/>
    </ns0:row>
    <ns0:row r="1635" ht="28" customHeight="1">
      <ns0:c r="A1635" s="29"/>
      <ns0:c r="B1635" s="30"/>
      <ns0:c r="C1635" s="28"/>
      <ns0:c r="D1635" s="29"/>
      <ns0:c r="E1635" s="31"/>
      <ns0:c r="F1635" s="32"/>
      <ns0:c r="G1635" s="29"/>
      <ns0:c r="H1635" s="29"/>
      <ns0:c r="I1635" s="29"/>
      <ns0:c r="J1635" s="29"/>
      <ns0:c r="K1635" s="29"/>
    </ns0:row>
    <ns0:row r="1636" ht="28" customHeight="1">
      <ns0:c r="A1636" s="29"/>
      <ns0:c r="B1636" s="30"/>
      <ns0:c r="C1636" s="28"/>
      <ns0:c r="D1636" s="29"/>
      <ns0:c r="E1636" s="31"/>
      <ns0:c r="F1636" s="32"/>
      <ns0:c r="G1636" s="29"/>
      <ns0:c r="H1636" s="29"/>
      <ns0:c r="I1636" s="29"/>
      <ns0:c r="J1636" s="29"/>
      <ns0:c r="K1636" s="29"/>
    </ns0:row>
    <ns0:row r="1637" ht="28" customHeight="1">
      <ns0:c r="A1637" s="29"/>
      <ns0:c r="B1637" s="30"/>
      <ns0:c r="C1637" s="28"/>
      <ns0:c r="D1637" s="29"/>
      <ns0:c r="E1637" s="31"/>
      <ns0:c r="F1637" s="32"/>
      <ns0:c r="G1637" s="29"/>
      <ns0:c r="H1637" s="29"/>
      <ns0:c r="I1637" s="29"/>
      <ns0:c r="J1637" s="29"/>
      <ns0:c r="K1637" s="29"/>
    </ns0:row>
    <ns0:row r="1638" ht="28" customHeight="1">
      <ns0:c r="A1638" s="29"/>
      <ns0:c r="B1638" s="30"/>
      <ns0:c r="C1638" s="28"/>
      <ns0:c r="D1638" s="29"/>
      <ns0:c r="E1638" s="31"/>
      <ns0:c r="F1638" s="32"/>
      <ns0:c r="G1638" s="29"/>
      <ns0:c r="H1638" s="29"/>
      <ns0:c r="I1638" s="29"/>
      <ns0:c r="J1638" s="29"/>
      <ns0:c r="K1638" s="29"/>
    </ns0:row>
    <ns0:row r="1639" ht="28" customHeight="1">
      <ns0:c r="A1639" s="29"/>
      <ns0:c r="B1639" s="30"/>
      <ns0:c r="C1639" s="28"/>
      <ns0:c r="D1639" s="29"/>
      <ns0:c r="E1639" s="31"/>
      <ns0:c r="F1639" s="32"/>
      <ns0:c r="G1639" s="29"/>
      <ns0:c r="H1639" s="29"/>
      <ns0:c r="I1639" s="29"/>
      <ns0:c r="J1639" s="29"/>
      <ns0:c r="K1639" s="29"/>
    </ns0:row>
    <ns0:row r="1640" ht="28" customHeight="1">
      <ns0:c r="A1640" s="29"/>
      <ns0:c r="B1640" s="30"/>
      <ns0:c r="C1640" s="28"/>
      <ns0:c r="D1640" s="29"/>
      <ns0:c r="E1640" s="31"/>
      <ns0:c r="F1640" s="32"/>
      <ns0:c r="G1640" s="29"/>
      <ns0:c r="H1640" s="29"/>
      <ns0:c r="I1640" s="29"/>
      <ns0:c r="J1640" s="29"/>
      <ns0:c r="K1640" s="29"/>
    </ns0:row>
    <ns0:row r="1641" ht="28" customHeight="1">
      <ns0:c r="A1641" s="29"/>
      <ns0:c r="B1641" s="30"/>
      <ns0:c r="C1641" s="28"/>
      <ns0:c r="D1641" s="29"/>
      <ns0:c r="E1641" s="31"/>
      <ns0:c r="F1641" s="32"/>
      <ns0:c r="G1641" s="29"/>
      <ns0:c r="H1641" s="29"/>
      <ns0:c r="I1641" s="29"/>
      <ns0:c r="J1641" s="29"/>
      <ns0:c r="K1641" s="29"/>
    </ns0:row>
    <ns0:row r="1642" ht="28" customHeight="1">
      <ns0:c r="A1642" s="29"/>
      <ns0:c r="B1642" s="30"/>
      <ns0:c r="C1642" s="28"/>
      <ns0:c r="D1642" s="29"/>
      <ns0:c r="E1642" s="31"/>
      <ns0:c r="F1642" s="32"/>
      <ns0:c r="G1642" s="29"/>
      <ns0:c r="H1642" s="29"/>
      <ns0:c r="I1642" s="29"/>
      <ns0:c r="J1642" s="29"/>
      <ns0:c r="K1642" s="29"/>
    </ns0:row>
    <ns0:row r="1643" ht="28" customHeight="1">
      <ns0:c r="A1643" s="29"/>
      <ns0:c r="B1643" s="30"/>
      <ns0:c r="C1643" s="28"/>
      <ns0:c r="D1643" s="29"/>
      <ns0:c r="E1643" s="31"/>
      <ns0:c r="F1643" s="32"/>
      <ns0:c r="G1643" s="29"/>
      <ns0:c r="H1643" s="29"/>
      <ns0:c r="I1643" s="29"/>
      <ns0:c r="J1643" s="29"/>
      <ns0:c r="K1643" s="29"/>
    </ns0:row>
    <ns0:row r="1644" ht="28" customHeight="1">
      <ns0:c r="A1644" s="29"/>
      <ns0:c r="B1644" s="30"/>
      <ns0:c r="C1644" s="28"/>
      <ns0:c r="D1644" s="29"/>
      <ns0:c r="E1644" s="31"/>
      <ns0:c r="F1644" s="32"/>
      <ns0:c r="G1644" s="29"/>
      <ns0:c r="H1644" s="29"/>
      <ns0:c r="I1644" s="29"/>
      <ns0:c r="J1644" s="29"/>
      <ns0:c r="K1644" s="29"/>
    </ns0:row>
    <ns0:row r="1645" ht="28" customHeight="1">
      <ns0:c r="A1645" s="29"/>
      <ns0:c r="B1645" s="30"/>
      <ns0:c r="C1645" s="28"/>
      <ns0:c r="D1645" s="29"/>
      <ns0:c r="E1645" s="31"/>
      <ns0:c r="F1645" s="32"/>
      <ns0:c r="G1645" s="29"/>
      <ns0:c r="H1645" s="29"/>
      <ns0:c r="I1645" s="29"/>
      <ns0:c r="J1645" s="29"/>
      <ns0:c r="K1645" s="29"/>
    </ns0:row>
    <ns0:row r="1646" ht="28" customHeight="1">
      <ns0:c r="A1646" s="29"/>
      <ns0:c r="B1646" s="30"/>
      <ns0:c r="C1646" s="28"/>
      <ns0:c r="D1646" s="29"/>
      <ns0:c r="E1646" s="31"/>
      <ns0:c r="F1646" s="32"/>
      <ns0:c r="G1646" s="29"/>
      <ns0:c r="H1646" s="29"/>
      <ns0:c r="I1646" s="29"/>
      <ns0:c r="J1646" s="29"/>
      <ns0:c r="K1646" s="29"/>
    </ns0:row>
    <ns0:row r="1647" ht="28" customHeight="1">
      <ns0:c r="A1647" s="29"/>
      <ns0:c r="B1647" s="30"/>
      <ns0:c r="C1647" s="28"/>
      <ns0:c r="D1647" s="29"/>
      <ns0:c r="E1647" s="31"/>
      <ns0:c r="F1647" s="32"/>
      <ns0:c r="G1647" s="29"/>
      <ns0:c r="H1647" s="29"/>
      <ns0:c r="I1647" s="29"/>
      <ns0:c r="J1647" s="29"/>
      <ns0:c r="K1647" s="29"/>
    </ns0:row>
    <ns0:row r="1648" ht="28" customHeight="1">
      <ns0:c r="A1648" s="29"/>
      <ns0:c r="B1648" s="30"/>
      <ns0:c r="C1648" s="28"/>
      <ns0:c r="D1648" s="29"/>
      <ns0:c r="E1648" s="31"/>
      <ns0:c r="F1648" s="32"/>
      <ns0:c r="G1648" s="29"/>
      <ns0:c r="H1648" s="29"/>
      <ns0:c r="I1648" s="29"/>
      <ns0:c r="J1648" s="29"/>
      <ns0:c r="K1648" s="29"/>
    </ns0:row>
    <ns0:row r="1649" ht="28" customHeight="1">
      <ns0:c r="A1649" s="29"/>
      <ns0:c r="B1649" s="30"/>
      <ns0:c r="C1649" s="28"/>
      <ns0:c r="D1649" s="29"/>
      <ns0:c r="E1649" s="31"/>
      <ns0:c r="F1649" s="32"/>
      <ns0:c r="G1649" s="29"/>
      <ns0:c r="H1649" s="29"/>
      <ns0:c r="I1649" s="29"/>
      <ns0:c r="J1649" s="29"/>
      <ns0:c r="K1649" s="29"/>
    </ns0:row>
    <ns0:row r="1650" ht="28" customHeight="1">
      <ns0:c r="A1650" s="29"/>
      <ns0:c r="B1650" s="30"/>
      <ns0:c r="C1650" s="28"/>
      <ns0:c r="D1650" s="29"/>
      <ns0:c r="E1650" s="31"/>
      <ns0:c r="F1650" s="32"/>
      <ns0:c r="G1650" s="29"/>
      <ns0:c r="H1650" s="29"/>
      <ns0:c r="I1650" s="29"/>
      <ns0:c r="J1650" s="29"/>
      <ns0:c r="K1650" s="29"/>
    </ns0:row>
    <ns0:row r="1651" ht="28" customHeight="1">
      <ns0:c r="A1651" s="29"/>
      <ns0:c r="B1651" s="30"/>
      <ns0:c r="C1651" s="28"/>
      <ns0:c r="D1651" s="29"/>
      <ns0:c r="E1651" s="31"/>
      <ns0:c r="F1651" s="32"/>
      <ns0:c r="G1651" s="29"/>
      <ns0:c r="H1651" s="29"/>
      <ns0:c r="I1651" s="29"/>
      <ns0:c r="J1651" s="29"/>
      <ns0:c r="K1651" s="29"/>
    </ns0:row>
    <ns0:row r="1652" ht="28" customHeight="1">
      <ns0:c r="A1652" s="29"/>
      <ns0:c r="B1652" s="30"/>
      <ns0:c r="C1652" s="28"/>
      <ns0:c r="D1652" s="29"/>
      <ns0:c r="E1652" s="31"/>
      <ns0:c r="F1652" s="32"/>
      <ns0:c r="G1652" s="29"/>
      <ns0:c r="H1652" s="29"/>
      <ns0:c r="I1652" s="29"/>
      <ns0:c r="J1652" s="29"/>
      <ns0:c r="K1652" s="29"/>
    </ns0:row>
    <ns0:row r="1653" ht="28" customHeight="1">
      <ns0:c r="A1653" s="29"/>
      <ns0:c r="B1653" s="30"/>
      <ns0:c r="C1653" s="28"/>
      <ns0:c r="D1653" s="29"/>
      <ns0:c r="E1653" s="31"/>
      <ns0:c r="F1653" s="32"/>
      <ns0:c r="G1653" s="29"/>
      <ns0:c r="H1653" s="29"/>
      <ns0:c r="I1653" s="29"/>
      <ns0:c r="J1653" s="29"/>
      <ns0:c r="K1653" s="29"/>
    </ns0:row>
    <ns0:row r="1654" ht="28" customHeight="1">
      <ns0:c r="A1654" s="29"/>
      <ns0:c r="B1654" s="30"/>
      <ns0:c r="C1654" s="28"/>
      <ns0:c r="D1654" s="29"/>
      <ns0:c r="E1654" s="31"/>
      <ns0:c r="F1654" s="32"/>
      <ns0:c r="G1654" s="29"/>
      <ns0:c r="H1654" s="29"/>
      <ns0:c r="I1654" s="29"/>
      <ns0:c r="J1654" s="29"/>
      <ns0:c r="K1654" s="29"/>
    </ns0:row>
    <ns0:row r="1655" ht="28" customHeight="1">
      <ns0:c r="A1655" s="29"/>
      <ns0:c r="B1655" s="30"/>
      <ns0:c r="C1655" s="28"/>
      <ns0:c r="D1655" s="29"/>
      <ns0:c r="E1655" s="31"/>
      <ns0:c r="F1655" s="32"/>
      <ns0:c r="G1655" s="29"/>
      <ns0:c r="H1655" s="29"/>
      <ns0:c r="I1655" s="29"/>
      <ns0:c r="J1655" s="29"/>
      <ns0:c r="K1655" s="29"/>
    </ns0:row>
    <ns0:row r="1656" ht="28" customHeight="1">
      <ns0:c r="A1656" s="29"/>
      <ns0:c r="B1656" s="30"/>
      <ns0:c r="C1656" s="28"/>
      <ns0:c r="D1656" s="29"/>
      <ns0:c r="E1656" s="31"/>
      <ns0:c r="F1656" s="32"/>
      <ns0:c r="G1656" s="29"/>
      <ns0:c r="H1656" s="29"/>
      <ns0:c r="I1656" s="29"/>
      <ns0:c r="J1656" s="29"/>
      <ns0:c r="K1656" s="29"/>
    </ns0:row>
    <ns0:row r="1657" ht="28" customHeight="1">
      <ns0:c r="A1657" s="29"/>
      <ns0:c r="B1657" s="30"/>
      <ns0:c r="C1657" s="28"/>
      <ns0:c r="D1657" s="29"/>
      <ns0:c r="E1657" s="31"/>
      <ns0:c r="F1657" s="32"/>
      <ns0:c r="G1657" s="29"/>
      <ns0:c r="H1657" s="29"/>
      <ns0:c r="I1657" s="29"/>
      <ns0:c r="J1657" s="29"/>
      <ns0:c r="K1657" s="29"/>
    </ns0:row>
    <ns0:row r="1658" ht="28" customHeight="1">
      <ns0:c r="A1658" s="29"/>
      <ns0:c r="B1658" s="30"/>
      <ns0:c r="C1658" s="28"/>
      <ns0:c r="D1658" s="29"/>
      <ns0:c r="E1658" s="31"/>
      <ns0:c r="F1658" s="32"/>
      <ns0:c r="G1658" s="29"/>
      <ns0:c r="H1658" s="29"/>
      <ns0:c r="I1658" s="29"/>
      <ns0:c r="J1658" s="29"/>
      <ns0:c r="K1658" s="29"/>
    </ns0:row>
    <ns0:row r="1659" ht="28" customHeight="1">
      <ns0:c r="A1659" s="29"/>
      <ns0:c r="B1659" s="30"/>
      <ns0:c r="C1659" s="28"/>
      <ns0:c r="D1659" s="29"/>
      <ns0:c r="E1659" s="31"/>
      <ns0:c r="F1659" s="32"/>
      <ns0:c r="G1659" s="29"/>
      <ns0:c r="H1659" s="29"/>
      <ns0:c r="I1659" s="29"/>
      <ns0:c r="J1659" s="29"/>
      <ns0:c r="K1659" s="29"/>
    </ns0:row>
    <ns0:row r="1660" ht="28" customHeight="1">
      <ns0:c r="A1660" s="29"/>
      <ns0:c r="B1660" s="30"/>
      <ns0:c r="C1660" s="28"/>
      <ns0:c r="D1660" s="29"/>
      <ns0:c r="E1660" s="31"/>
      <ns0:c r="F1660" s="32"/>
      <ns0:c r="G1660" s="29"/>
      <ns0:c r="H1660" s="29"/>
      <ns0:c r="I1660" s="29"/>
      <ns0:c r="J1660" s="29"/>
      <ns0:c r="K1660" s="29"/>
    </ns0:row>
    <ns0:row r="1661" ht="28" customHeight="1">
      <ns0:c r="A1661" s="29"/>
      <ns0:c r="B1661" s="30"/>
      <ns0:c r="C1661" s="28"/>
      <ns0:c r="D1661" s="29"/>
      <ns0:c r="E1661" s="31"/>
      <ns0:c r="F1661" s="32"/>
      <ns0:c r="G1661" s="29"/>
      <ns0:c r="H1661" s="29"/>
      <ns0:c r="I1661" s="29"/>
      <ns0:c r="J1661" s="29"/>
      <ns0:c r="K1661" s="29"/>
    </ns0:row>
    <ns0:row r="1662" ht="28" customHeight="1">
      <ns0:c r="A1662" s="29"/>
      <ns0:c r="B1662" s="30"/>
      <ns0:c r="C1662" s="28"/>
      <ns0:c r="D1662" s="29"/>
      <ns0:c r="E1662" s="31"/>
      <ns0:c r="F1662" s="32"/>
      <ns0:c r="G1662" s="29"/>
      <ns0:c r="H1662" s="29"/>
      <ns0:c r="I1662" s="29"/>
      <ns0:c r="J1662" s="29"/>
      <ns0:c r="K1662" s="29"/>
    </ns0:row>
    <ns0:row r="1663" ht="28" customHeight="1">
      <ns0:c r="A1663" s="29"/>
      <ns0:c r="B1663" s="30"/>
      <ns0:c r="C1663" s="28"/>
      <ns0:c r="D1663" s="29"/>
      <ns0:c r="E1663" s="31"/>
      <ns0:c r="F1663" s="32"/>
      <ns0:c r="G1663" s="29"/>
      <ns0:c r="H1663" s="29"/>
      <ns0:c r="I1663" s="29"/>
      <ns0:c r="J1663" s="29"/>
      <ns0:c r="K1663" s="29"/>
    </ns0:row>
    <ns0:row r="1664" ht="28" customHeight="1">
      <ns0:c r="A1664" s="29"/>
      <ns0:c r="B1664" s="30"/>
      <ns0:c r="C1664" s="28"/>
      <ns0:c r="D1664" s="29"/>
      <ns0:c r="E1664" s="31"/>
      <ns0:c r="F1664" s="32"/>
      <ns0:c r="G1664" s="29"/>
      <ns0:c r="H1664" s="29"/>
      <ns0:c r="I1664" s="29"/>
      <ns0:c r="J1664" s="29"/>
      <ns0:c r="K1664" s="29"/>
    </ns0:row>
    <ns0:row r="1665" ht="28" customHeight="1">
      <ns0:c r="A1665" s="29"/>
      <ns0:c r="B1665" s="30"/>
      <ns0:c r="C1665" s="28"/>
      <ns0:c r="D1665" s="29"/>
      <ns0:c r="E1665" s="31"/>
      <ns0:c r="F1665" s="32"/>
      <ns0:c r="G1665" s="29"/>
      <ns0:c r="H1665" s="29"/>
      <ns0:c r="I1665" s="29"/>
      <ns0:c r="J1665" s="29"/>
      <ns0:c r="K1665" s="29"/>
    </ns0:row>
    <ns0:row r="1666" ht="28" customHeight="1">
      <ns0:c r="A1666" s="29"/>
      <ns0:c r="B1666" s="30"/>
      <ns0:c r="C1666" s="28"/>
      <ns0:c r="D1666" s="29"/>
      <ns0:c r="E1666" s="31"/>
      <ns0:c r="F1666" s="32"/>
      <ns0:c r="G1666" s="29"/>
      <ns0:c r="H1666" s="29"/>
      <ns0:c r="I1666" s="29"/>
      <ns0:c r="J1666" s="29"/>
      <ns0:c r="K1666" s="29"/>
    </ns0:row>
    <ns0:row r="1667" ht="28" customHeight="1">
      <ns0:c r="A1667" s="29"/>
      <ns0:c r="B1667" s="30"/>
      <ns0:c r="C1667" s="28"/>
      <ns0:c r="D1667" s="29"/>
      <ns0:c r="E1667" s="31"/>
      <ns0:c r="F1667" s="32"/>
      <ns0:c r="G1667" s="29"/>
      <ns0:c r="H1667" s="29"/>
      <ns0:c r="I1667" s="29"/>
      <ns0:c r="J1667" s="29"/>
      <ns0:c r="K1667" s="29"/>
    </ns0:row>
    <ns0:row r="1668" ht="28" customHeight="1">
      <ns0:c r="A1668" s="29"/>
      <ns0:c r="B1668" s="30"/>
      <ns0:c r="C1668" s="28"/>
      <ns0:c r="D1668" s="29"/>
      <ns0:c r="E1668" s="31"/>
      <ns0:c r="F1668" s="32"/>
      <ns0:c r="G1668" s="29"/>
      <ns0:c r="H1668" s="29"/>
      <ns0:c r="I1668" s="29"/>
      <ns0:c r="J1668" s="29"/>
      <ns0:c r="K1668" s="29"/>
    </ns0:row>
    <ns0:row r="1669" ht="28" customHeight="1">
      <ns0:c r="A1669" s="29"/>
      <ns0:c r="B1669" s="30"/>
      <ns0:c r="C1669" s="28"/>
      <ns0:c r="D1669" s="29"/>
      <ns0:c r="E1669" s="31"/>
      <ns0:c r="F1669" s="32"/>
      <ns0:c r="G1669" s="29"/>
      <ns0:c r="H1669" s="29"/>
      <ns0:c r="I1669" s="29"/>
      <ns0:c r="J1669" s="29"/>
      <ns0:c r="K1669" s="29"/>
    </ns0:row>
    <ns0:row r="1670" ht="28" customHeight="1">
      <ns0:c r="A1670" s="29"/>
      <ns0:c r="B1670" s="30"/>
      <ns0:c r="C1670" s="28"/>
      <ns0:c r="D1670" s="29"/>
      <ns0:c r="E1670" s="31"/>
      <ns0:c r="F1670" s="32"/>
      <ns0:c r="G1670" s="29"/>
      <ns0:c r="H1670" s="29"/>
      <ns0:c r="I1670" s="29"/>
      <ns0:c r="J1670" s="29"/>
      <ns0:c r="K1670" s="29"/>
    </ns0:row>
    <ns0:row r="1671" ht="28" customHeight="1">
      <ns0:c r="A1671" s="29"/>
      <ns0:c r="B1671" s="30"/>
      <ns0:c r="C1671" s="28"/>
      <ns0:c r="D1671" s="29"/>
      <ns0:c r="E1671" s="31"/>
      <ns0:c r="F1671" s="32"/>
      <ns0:c r="G1671" s="29"/>
      <ns0:c r="H1671" s="29"/>
      <ns0:c r="I1671" s="29"/>
      <ns0:c r="J1671" s="29"/>
      <ns0:c r="K1671" s="29"/>
    </ns0:row>
    <ns0:row r="1672" ht="28" customHeight="1">
      <ns0:c r="A1672" s="29"/>
      <ns0:c r="B1672" s="30"/>
      <ns0:c r="C1672" s="28"/>
      <ns0:c r="D1672" s="29"/>
      <ns0:c r="E1672" s="31"/>
      <ns0:c r="F1672" s="32"/>
      <ns0:c r="G1672" s="29"/>
      <ns0:c r="H1672" s="29"/>
      <ns0:c r="I1672" s="29"/>
      <ns0:c r="J1672" s="29"/>
      <ns0:c r="K1672" s="29"/>
    </ns0:row>
    <ns0:row r="1673" ht="28" customHeight="1">
      <ns0:c r="A1673" s="29"/>
      <ns0:c r="B1673" s="30"/>
      <ns0:c r="C1673" s="28"/>
      <ns0:c r="D1673" s="29"/>
      <ns0:c r="E1673" s="31"/>
      <ns0:c r="F1673" s="32"/>
      <ns0:c r="G1673" s="29"/>
      <ns0:c r="H1673" s="29"/>
      <ns0:c r="I1673" s="29"/>
      <ns0:c r="J1673" s="29"/>
      <ns0:c r="K1673" s="29"/>
    </ns0:row>
    <ns0:row r="1674" ht="28" customHeight="1">
      <ns0:c r="A1674" s="29"/>
      <ns0:c r="B1674" s="30"/>
      <ns0:c r="C1674" s="28"/>
      <ns0:c r="D1674" s="29"/>
      <ns0:c r="E1674" s="31"/>
      <ns0:c r="F1674" s="32"/>
      <ns0:c r="G1674" s="29"/>
      <ns0:c r="H1674" s="29"/>
      <ns0:c r="I1674" s="29"/>
      <ns0:c r="J1674" s="29"/>
      <ns0:c r="K1674" s="29"/>
    </ns0:row>
    <ns0:row r="1675" ht="28" customHeight="1">
      <ns0:c r="A1675" s="29"/>
      <ns0:c r="B1675" s="30"/>
      <ns0:c r="C1675" s="28"/>
      <ns0:c r="D1675" s="29"/>
      <ns0:c r="E1675" s="31"/>
      <ns0:c r="F1675" s="32"/>
      <ns0:c r="G1675" s="29"/>
      <ns0:c r="H1675" s="29"/>
      <ns0:c r="I1675" s="29"/>
      <ns0:c r="J1675" s="29"/>
      <ns0:c r="K1675" s="29"/>
    </ns0:row>
    <ns0:row r="1676" ht="28" customHeight="1">
      <ns0:c r="A1676" s="29"/>
      <ns0:c r="B1676" s="30"/>
      <ns0:c r="C1676" s="28"/>
      <ns0:c r="D1676" s="29"/>
      <ns0:c r="E1676" s="31"/>
      <ns0:c r="F1676" s="32"/>
      <ns0:c r="G1676" s="29"/>
      <ns0:c r="H1676" s="29"/>
      <ns0:c r="I1676" s="29"/>
      <ns0:c r="J1676" s="29"/>
      <ns0:c r="K1676" s="29"/>
    </ns0:row>
    <ns0:row r="1677" ht="28" customHeight="1">
      <ns0:c r="A1677" s="29"/>
      <ns0:c r="B1677" s="30"/>
      <ns0:c r="C1677" s="28"/>
      <ns0:c r="D1677" s="29"/>
      <ns0:c r="E1677" s="31"/>
      <ns0:c r="F1677" s="32"/>
      <ns0:c r="G1677" s="29"/>
      <ns0:c r="H1677" s="29"/>
      <ns0:c r="I1677" s="29"/>
      <ns0:c r="J1677" s="29"/>
      <ns0:c r="K1677" s="29"/>
    </ns0:row>
    <ns0:row r="1678" ht="28" customHeight="1">
      <ns0:c r="A1678" s="29"/>
      <ns0:c r="B1678" s="30"/>
      <ns0:c r="C1678" s="28"/>
      <ns0:c r="D1678" s="29"/>
      <ns0:c r="E1678" s="31"/>
      <ns0:c r="F1678" s="32"/>
      <ns0:c r="G1678" s="29"/>
      <ns0:c r="H1678" s="29"/>
      <ns0:c r="I1678" s="29"/>
      <ns0:c r="J1678" s="29"/>
      <ns0:c r="K1678" s="29"/>
    </ns0:row>
    <ns0:row r="1679" ht="28" customHeight="1">
      <ns0:c r="A1679" s="29"/>
      <ns0:c r="B1679" s="30"/>
      <ns0:c r="C1679" s="28"/>
      <ns0:c r="D1679" s="29"/>
      <ns0:c r="E1679" s="31"/>
      <ns0:c r="F1679" s="32"/>
      <ns0:c r="G1679" s="29"/>
      <ns0:c r="H1679" s="29"/>
      <ns0:c r="I1679" s="29"/>
      <ns0:c r="J1679" s="29"/>
      <ns0:c r="K1679" s="29"/>
    </ns0:row>
    <ns0:row r="1680" ht="28" customHeight="1">
      <ns0:c r="A1680" s="29"/>
      <ns0:c r="B1680" s="30"/>
      <ns0:c r="C1680" s="28"/>
      <ns0:c r="D1680" s="29"/>
      <ns0:c r="E1680" s="31"/>
      <ns0:c r="F1680" s="32"/>
      <ns0:c r="G1680" s="29"/>
      <ns0:c r="H1680" s="29"/>
      <ns0:c r="I1680" s="29"/>
      <ns0:c r="J1680" s="29"/>
      <ns0:c r="K1680" s="29"/>
    </ns0:row>
    <ns0:row r="1681" ht="28" customHeight="1">
      <ns0:c r="A1681" s="29"/>
      <ns0:c r="B1681" s="30"/>
      <ns0:c r="C1681" s="28"/>
      <ns0:c r="D1681" s="29"/>
      <ns0:c r="E1681" s="31"/>
      <ns0:c r="F1681" s="32"/>
      <ns0:c r="G1681" s="29"/>
      <ns0:c r="H1681" s="29"/>
      <ns0:c r="I1681" s="29"/>
      <ns0:c r="J1681" s="29"/>
      <ns0:c r="K1681" s="29"/>
    </ns0:row>
    <ns0:row r="1682" ht="28" customHeight="1">
      <ns0:c r="A1682" s="29"/>
      <ns0:c r="B1682" s="30"/>
      <ns0:c r="C1682" s="28"/>
      <ns0:c r="D1682" s="29"/>
      <ns0:c r="E1682" s="31"/>
      <ns0:c r="F1682" s="32"/>
      <ns0:c r="G1682" s="29"/>
      <ns0:c r="H1682" s="29"/>
      <ns0:c r="I1682" s="29"/>
      <ns0:c r="J1682" s="29"/>
      <ns0:c r="K1682" s="29"/>
    </ns0:row>
    <ns0:row r="1683" ht="28" customHeight="1">
      <ns0:c r="A1683" s="29"/>
      <ns0:c r="B1683" s="30"/>
      <ns0:c r="C1683" s="28"/>
      <ns0:c r="D1683" s="29"/>
      <ns0:c r="E1683" s="31"/>
      <ns0:c r="F1683" s="32"/>
      <ns0:c r="G1683" s="29"/>
      <ns0:c r="H1683" s="29"/>
      <ns0:c r="I1683" s="29"/>
      <ns0:c r="J1683" s="29"/>
      <ns0:c r="K1683" s="29"/>
    </ns0:row>
    <ns0:row r="1684" ht="28" customHeight="1">
      <ns0:c r="A1684" s="29"/>
      <ns0:c r="B1684" s="30"/>
      <ns0:c r="C1684" s="28"/>
      <ns0:c r="D1684" s="29"/>
      <ns0:c r="E1684" s="31"/>
      <ns0:c r="F1684" s="32"/>
      <ns0:c r="G1684" s="29"/>
      <ns0:c r="H1684" s="29"/>
      <ns0:c r="I1684" s="29"/>
      <ns0:c r="J1684" s="29"/>
      <ns0:c r="K1684" s="29"/>
    </ns0:row>
    <ns0:row r="1685" ht="28" customHeight="1">
      <ns0:c r="A1685" s="29"/>
      <ns0:c r="B1685" s="30"/>
      <ns0:c r="C1685" s="28"/>
      <ns0:c r="D1685" s="29"/>
      <ns0:c r="E1685" s="31"/>
      <ns0:c r="F1685" s="32"/>
      <ns0:c r="G1685" s="29"/>
      <ns0:c r="H1685" s="29"/>
      <ns0:c r="I1685" s="29"/>
      <ns0:c r="J1685" s="29"/>
      <ns0:c r="K1685" s="29"/>
    </ns0:row>
    <ns0:row r="1686" ht="28" customHeight="1">
      <ns0:c r="A1686" s="29"/>
      <ns0:c r="B1686" s="30"/>
      <ns0:c r="C1686" s="28"/>
      <ns0:c r="D1686" s="29"/>
      <ns0:c r="E1686" s="31"/>
      <ns0:c r="F1686" s="32"/>
      <ns0:c r="G1686" s="29"/>
      <ns0:c r="H1686" s="29"/>
      <ns0:c r="I1686" s="29"/>
      <ns0:c r="J1686" s="29"/>
      <ns0:c r="K1686" s="29"/>
    </ns0:row>
    <ns0:row r="1687" ht="28" customHeight="1">
      <ns0:c r="A1687" s="29"/>
      <ns0:c r="B1687" s="30"/>
      <ns0:c r="C1687" s="28"/>
      <ns0:c r="D1687" s="29"/>
      <ns0:c r="E1687" s="31"/>
      <ns0:c r="F1687" s="32"/>
      <ns0:c r="G1687" s="29"/>
      <ns0:c r="H1687" s="29"/>
      <ns0:c r="I1687" s="29"/>
      <ns0:c r="J1687" s="29"/>
      <ns0:c r="K1687" s="29"/>
    </ns0:row>
    <ns0:row r="1688" ht="28" customHeight="1">
      <ns0:c r="A1688" s="29"/>
      <ns0:c r="B1688" s="30"/>
      <ns0:c r="C1688" s="28"/>
      <ns0:c r="D1688" s="29"/>
      <ns0:c r="E1688" s="31"/>
      <ns0:c r="F1688" s="32"/>
      <ns0:c r="G1688" s="29"/>
      <ns0:c r="H1688" s="29"/>
      <ns0:c r="I1688" s="29"/>
      <ns0:c r="J1688" s="29"/>
      <ns0:c r="K1688" s="29"/>
    </ns0:row>
    <ns0:row r="1689" ht="28" customHeight="1">
      <ns0:c r="A1689" s="29"/>
      <ns0:c r="B1689" s="30"/>
      <ns0:c r="C1689" s="28"/>
      <ns0:c r="D1689" s="29"/>
      <ns0:c r="E1689" s="31"/>
      <ns0:c r="F1689" s="32"/>
      <ns0:c r="G1689" s="29"/>
      <ns0:c r="H1689" s="29"/>
      <ns0:c r="I1689" s="29"/>
      <ns0:c r="J1689" s="29"/>
      <ns0:c r="K1689" s="29"/>
    </ns0:row>
    <ns0:row r="1690" ht="28" customHeight="1">
      <ns0:c r="A1690" s="29"/>
      <ns0:c r="B1690" s="30"/>
      <ns0:c r="C1690" s="28"/>
      <ns0:c r="D1690" s="29"/>
      <ns0:c r="E1690" s="31"/>
      <ns0:c r="F1690" s="32"/>
      <ns0:c r="G1690" s="29"/>
      <ns0:c r="H1690" s="29"/>
      <ns0:c r="I1690" s="29"/>
      <ns0:c r="J1690" s="29"/>
      <ns0:c r="K1690" s="29"/>
    </ns0:row>
    <ns0:row r="1691" ht="28" customHeight="1">
      <ns0:c r="A1691" s="29"/>
      <ns0:c r="B1691" s="30"/>
      <ns0:c r="C1691" s="28"/>
      <ns0:c r="D1691" s="29"/>
      <ns0:c r="E1691" s="31"/>
      <ns0:c r="F1691" s="32"/>
      <ns0:c r="G1691" s="29"/>
      <ns0:c r="H1691" s="29"/>
      <ns0:c r="I1691" s="29"/>
      <ns0:c r="J1691" s="29"/>
      <ns0:c r="K1691" s="29"/>
    </ns0:row>
    <ns0:row r="1692" ht="28" customHeight="1">
      <ns0:c r="A1692" s="29"/>
      <ns0:c r="B1692" s="30"/>
      <ns0:c r="C1692" s="28"/>
      <ns0:c r="D1692" s="29"/>
      <ns0:c r="E1692" s="31"/>
      <ns0:c r="F1692" s="32"/>
      <ns0:c r="G1692" s="29"/>
      <ns0:c r="H1692" s="29"/>
      <ns0:c r="I1692" s="29"/>
      <ns0:c r="J1692" s="29"/>
      <ns0:c r="K1692" s="29"/>
    </ns0:row>
    <ns0:row r="1693" ht="28" customHeight="1">
      <ns0:c r="A1693" s="29"/>
      <ns0:c r="B1693" s="30"/>
      <ns0:c r="C1693" s="28"/>
      <ns0:c r="D1693" s="29"/>
      <ns0:c r="E1693" s="31"/>
      <ns0:c r="F1693" s="32"/>
      <ns0:c r="G1693" s="29"/>
      <ns0:c r="H1693" s="29"/>
      <ns0:c r="I1693" s="29"/>
      <ns0:c r="J1693" s="29"/>
      <ns0:c r="K1693" s="29"/>
    </ns0:row>
    <ns0:row r="1694" ht="28" customHeight="1">
      <ns0:c r="A1694" s="29"/>
      <ns0:c r="B1694" s="30"/>
      <ns0:c r="C1694" s="28"/>
      <ns0:c r="D1694" s="29"/>
      <ns0:c r="E1694" s="31"/>
      <ns0:c r="F1694" s="32"/>
      <ns0:c r="G1694" s="29"/>
      <ns0:c r="H1694" s="29"/>
      <ns0:c r="I1694" s="29"/>
      <ns0:c r="J1694" s="29"/>
      <ns0:c r="K1694" s="29"/>
    </ns0:row>
    <ns0:row r="1695" ht="28" customHeight="1">
      <ns0:c r="A1695" s="29"/>
      <ns0:c r="B1695" s="30"/>
      <ns0:c r="C1695" s="28"/>
      <ns0:c r="D1695" s="29"/>
      <ns0:c r="E1695" s="31"/>
      <ns0:c r="F1695" s="32"/>
      <ns0:c r="G1695" s="29"/>
      <ns0:c r="H1695" s="29"/>
      <ns0:c r="I1695" s="29"/>
      <ns0:c r="J1695" s="29"/>
      <ns0:c r="K1695" s="29"/>
    </ns0:row>
    <ns0:row r="1696" ht="28" customHeight="1">
      <ns0:c r="A1696" s="29"/>
      <ns0:c r="B1696" s="30"/>
      <ns0:c r="C1696" s="28"/>
      <ns0:c r="D1696" s="29"/>
      <ns0:c r="E1696" s="31"/>
      <ns0:c r="F1696" s="32"/>
      <ns0:c r="G1696" s="29"/>
      <ns0:c r="H1696" s="29"/>
      <ns0:c r="I1696" s="29"/>
      <ns0:c r="J1696" s="29"/>
      <ns0:c r="K1696" s="29"/>
    </ns0:row>
    <ns0:row r="1697" ht="28" customHeight="1">
      <ns0:c r="A1697" s="29"/>
      <ns0:c r="B1697" s="30"/>
      <ns0:c r="C1697" s="28"/>
      <ns0:c r="D1697" s="29"/>
      <ns0:c r="E1697" s="31"/>
      <ns0:c r="F1697" s="32"/>
      <ns0:c r="G1697" s="29"/>
      <ns0:c r="H1697" s="29"/>
      <ns0:c r="I1697" s="29"/>
      <ns0:c r="J1697" s="29"/>
      <ns0:c r="K1697" s="29"/>
    </ns0:row>
    <ns0:row r="1698" ht="28" customHeight="1">
      <ns0:c r="A1698" s="29"/>
      <ns0:c r="B1698" s="30"/>
      <ns0:c r="C1698" s="28"/>
      <ns0:c r="D1698" s="29"/>
      <ns0:c r="E1698" s="31"/>
      <ns0:c r="F1698" s="32"/>
      <ns0:c r="G1698" s="29"/>
      <ns0:c r="H1698" s="29"/>
      <ns0:c r="I1698" s="29"/>
      <ns0:c r="J1698" s="29"/>
      <ns0:c r="K1698" s="29"/>
    </ns0:row>
    <ns0:row r="1699" ht="28" customHeight="1">
      <ns0:c r="A1699" s="29"/>
      <ns0:c r="B1699" s="30"/>
      <ns0:c r="C1699" s="28"/>
      <ns0:c r="D1699" s="29"/>
      <ns0:c r="E1699" s="31"/>
      <ns0:c r="F1699" s="32"/>
      <ns0:c r="G1699" s="29"/>
      <ns0:c r="H1699" s="29"/>
      <ns0:c r="I1699" s="29"/>
      <ns0:c r="J1699" s="29"/>
      <ns0:c r="K1699" s="29"/>
    </ns0:row>
    <ns0:row r="1700" ht="28" customHeight="1">
      <ns0:c r="A1700" s="29"/>
      <ns0:c r="B1700" s="30"/>
      <ns0:c r="C1700" s="28"/>
      <ns0:c r="D1700" s="29"/>
      <ns0:c r="E1700" s="31"/>
      <ns0:c r="F1700" s="32"/>
      <ns0:c r="G1700" s="29"/>
      <ns0:c r="H1700" s="29"/>
      <ns0:c r="I1700" s="29"/>
      <ns0:c r="J1700" s="29"/>
      <ns0:c r="K1700" s="29"/>
    </ns0:row>
    <ns0:row r="1701" ht="28" customHeight="1">
      <ns0:c r="A1701" s="29"/>
      <ns0:c r="B1701" s="30"/>
      <ns0:c r="C1701" s="28"/>
      <ns0:c r="D1701" s="29"/>
      <ns0:c r="E1701" s="31"/>
      <ns0:c r="F1701" s="32"/>
      <ns0:c r="G1701" s="29"/>
      <ns0:c r="H1701" s="29"/>
      <ns0:c r="I1701" s="29"/>
      <ns0:c r="J1701" s="29"/>
      <ns0:c r="K1701" s="29"/>
    </ns0:row>
    <ns0:row r="1702" ht="28" customHeight="1">
      <ns0:c r="A1702" s="29"/>
      <ns0:c r="B1702" s="30"/>
      <ns0:c r="C1702" s="28"/>
      <ns0:c r="D1702" s="29"/>
      <ns0:c r="E1702" s="31"/>
      <ns0:c r="F1702" s="32"/>
      <ns0:c r="G1702" s="29"/>
      <ns0:c r="H1702" s="29"/>
      <ns0:c r="I1702" s="29"/>
      <ns0:c r="J1702" s="29"/>
      <ns0:c r="K1702" s="29"/>
    </ns0:row>
    <ns0:row r="1703" ht="28" customHeight="1">
      <ns0:c r="A1703" s="29"/>
      <ns0:c r="B1703" s="30"/>
      <ns0:c r="C1703" s="28"/>
      <ns0:c r="D1703" s="29"/>
      <ns0:c r="E1703" s="31"/>
      <ns0:c r="F1703" s="32"/>
      <ns0:c r="G1703" s="29"/>
      <ns0:c r="H1703" s="29"/>
      <ns0:c r="I1703" s="29"/>
      <ns0:c r="J1703" s="29"/>
      <ns0:c r="K1703" s="29"/>
    </ns0:row>
    <ns0:row r="1704" ht="28" customHeight="1">
      <ns0:c r="A1704" s="29"/>
      <ns0:c r="B1704" s="30"/>
      <ns0:c r="C1704" s="28"/>
      <ns0:c r="D1704" s="29"/>
      <ns0:c r="E1704" s="31"/>
      <ns0:c r="F1704" s="32"/>
      <ns0:c r="G1704" s="29"/>
      <ns0:c r="H1704" s="29"/>
      <ns0:c r="I1704" s="29"/>
      <ns0:c r="J1704" s="29"/>
      <ns0:c r="K1704" s="29"/>
    </ns0:row>
    <ns0:row r="1705" ht="28" customHeight="1">
      <ns0:c r="A1705" s="29"/>
      <ns0:c r="B1705" s="30"/>
      <ns0:c r="C1705" s="28"/>
      <ns0:c r="D1705" s="29"/>
      <ns0:c r="E1705" s="31"/>
      <ns0:c r="F1705" s="32"/>
      <ns0:c r="G1705" s="29"/>
      <ns0:c r="H1705" s="29"/>
      <ns0:c r="I1705" s="29"/>
      <ns0:c r="J1705" s="29"/>
      <ns0:c r="K1705" s="29"/>
    </ns0:row>
    <ns0:row r="1706" ht="28" customHeight="1">
      <ns0:c r="A1706" s="29"/>
      <ns0:c r="B1706" s="30"/>
      <ns0:c r="C1706" s="28"/>
      <ns0:c r="D1706" s="29"/>
      <ns0:c r="E1706" s="31"/>
      <ns0:c r="F1706" s="32"/>
      <ns0:c r="G1706" s="29"/>
      <ns0:c r="H1706" s="29"/>
      <ns0:c r="I1706" s="29"/>
      <ns0:c r="J1706" s="29"/>
      <ns0:c r="K1706" s="29"/>
    </ns0:row>
    <ns0:row r="1707" ht="28" customHeight="1">
      <ns0:c r="A1707" s="29"/>
      <ns0:c r="B1707" s="30"/>
      <ns0:c r="C1707" s="28"/>
      <ns0:c r="D1707" s="29"/>
      <ns0:c r="E1707" s="31"/>
      <ns0:c r="F1707" s="32"/>
      <ns0:c r="G1707" s="29"/>
      <ns0:c r="H1707" s="29"/>
      <ns0:c r="I1707" s="29"/>
      <ns0:c r="J1707" s="29"/>
      <ns0:c r="K1707" s="29"/>
    </ns0:row>
    <ns0:row r="1708" ht="28" customHeight="1">
      <ns0:c r="A1708" s="29"/>
      <ns0:c r="B1708" s="30"/>
      <ns0:c r="C1708" s="28"/>
      <ns0:c r="D1708" s="29"/>
      <ns0:c r="E1708" s="31"/>
      <ns0:c r="F1708" s="32"/>
      <ns0:c r="G1708" s="29"/>
      <ns0:c r="H1708" s="29"/>
      <ns0:c r="I1708" s="29"/>
      <ns0:c r="J1708" s="29"/>
      <ns0:c r="K1708" s="29"/>
    </ns0:row>
    <ns0:row r="1709" ht="28" customHeight="1">
      <ns0:c r="A1709" s="29"/>
      <ns0:c r="B1709" s="30"/>
      <ns0:c r="C1709" s="28"/>
      <ns0:c r="D1709" s="29"/>
      <ns0:c r="E1709" s="31"/>
      <ns0:c r="F1709" s="32"/>
      <ns0:c r="G1709" s="29"/>
      <ns0:c r="H1709" s="29"/>
      <ns0:c r="I1709" s="29"/>
      <ns0:c r="J1709" s="29"/>
      <ns0:c r="K1709" s="29"/>
    </ns0:row>
    <ns0:row r="1710" ht="28" customHeight="1">
      <ns0:c r="A1710" s="29"/>
      <ns0:c r="B1710" s="30"/>
      <ns0:c r="C1710" s="28"/>
      <ns0:c r="D1710" s="29"/>
      <ns0:c r="E1710" s="31"/>
      <ns0:c r="F1710" s="32"/>
      <ns0:c r="G1710" s="29"/>
      <ns0:c r="H1710" s="29"/>
      <ns0:c r="I1710" s="29"/>
      <ns0:c r="J1710" s="29"/>
      <ns0:c r="K1710" s="29"/>
    </ns0:row>
    <ns0:row r="1711" ht="28" customHeight="1">
      <ns0:c r="A1711" s="29"/>
      <ns0:c r="B1711" s="30"/>
      <ns0:c r="C1711" s="28"/>
      <ns0:c r="D1711" s="29"/>
      <ns0:c r="E1711" s="31"/>
      <ns0:c r="F1711" s="32"/>
      <ns0:c r="G1711" s="29"/>
      <ns0:c r="H1711" s="29"/>
      <ns0:c r="I1711" s="29"/>
      <ns0:c r="J1711" s="29"/>
      <ns0:c r="K1711" s="29"/>
    </ns0:row>
    <ns0:row r="1712" ht="28" customHeight="1">
      <ns0:c r="A1712" s="29"/>
      <ns0:c r="B1712" s="30"/>
      <ns0:c r="C1712" s="28"/>
      <ns0:c r="D1712" s="29"/>
      <ns0:c r="E1712" s="31"/>
      <ns0:c r="F1712" s="32"/>
      <ns0:c r="G1712" s="29"/>
      <ns0:c r="H1712" s="29"/>
      <ns0:c r="I1712" s="29"/>
      <ns0:c r="J1712" s="29"/>
      <ns0:c r="K1712" s="29"/>
    </ns0:row>
    <ns0:row r="1713" ht="28" customHeight="1">
      <ns0:c r="A1713" s="29"/>
      <ns0:c r="B1713" s="30"/>
      <ns0:c r="C1713" s="28"/>
      <ns0:c r="D1713" s="29"/>
      <ns0:c r="E1713" s="31"/>
      <ns0:c r="F1713" s="32"/>
      <ns0:c r="G1713" s="29"/>
      <ns0:c r="H1713" s="29"/>
      <ns0:c r="I1713" s="29"/>
      <ns0:c r="J1713" s="29"/>
      <ns0:c r="K1713" s="29"/>
    </ns0:row>
    <ns0:row r="1714" ht="28" customHeight="1">
      <ns0:c r="A1714" s="29"/>
      <ns0:c r="B1714" s="30"/>
      <ns0:c r="C1714" s="28"/>
      <ns0:c r="D1714" s="29"/>
      <ns0:c r="E1714" s="31"/>
      <ns0:c r="F1714" s="32"/>
      <ns0:c r="G1714" s="29"/>
      <ns0:c r="H1714" s="29"/>
      <ns0:c r="I1714" s="29"/>
      <ns0:c r="J1714" s="29"/>
      <ns0:c r="K1714" s="29"/>
    </ns0:row>
    <ns0:row r="1715" ht="28" customHeight="1">
      <ns0:c r="A1715" s="29"/>
      <ns0:c r="B1715" s="30"/>
      <ns0:c r="C1715" s="28"/>
      <ns0:c r="D1715" s="29"/>
      <ns0:c r="E1715" s="31"/>
      <ns0:c r="F1715" s="32"/>
      <ns0:c r="G1715" s="29"/>
      <ns0:c r="H1715" s="29"/>
      <ns0:c r="I1715" s="29"/>
      <ns0:c r="J1715" s="29"/>
      <ns0:c r="K1715" s="29"/>
    </ns0:row>
    <ns0:row r="1716" ht="28" customHeight="1">
      <ns0:c r="A1716" s="29"/>
      <ns0:c r="B1716" s="30"/>
      <ns0:c r="C1716" s="28"/>
      <ns0:c r="D1716" s="29"/>
      <ns0:c r="E1716" s="31"/>
      <ns0:c r="F1716" s="32"/>
      <ns0:c r="G1716" s="29"/>
      <ns0:c r="H1716" s="29"/>
      <ns0:c r="I1716" s="29"/>
      <ns0:c r="J1716" s="29"/>
      <ns0:c r="K1716" s="29"/>
    </ns0:row>
    <ns0:row r="1717" ht="28" customHeight="1">
      <ns0:c r="A1717" s="29"/>
      <ns0:c r="B1717" s="30"/>
      <ns0:c r="C1717" s="28"/>
      <ns0:c r="D1717" s="29"/>
      <ns0:c r="E1717" s="31"/>
      <ns0:c r="F1717" s="32"/>
      <ns0:c r="G1717" s="29"/>
      <ns0:c r="H1717" s="29"/>
      <ns0:c r="I1717" s="29"/>
      <ns0:c r="J1717" s="29"/>
      <ns0:c r="K1717" s="29"/>
    </ns0:row>
    <ns0:row r="1718" ht="28" customHeight="1">
      <ns0:c r="A1718" s="29"/>
      <ns0:c r="B1718" s="30"/>
      <ns0:c r="C1718" s="28"/>
      <ns0:c r="D1718" s="29"/>
      <ns0:c r="E1718" s="31"/>
      <ns0:c r="F1718" s="32"/>
      <ns0:c r="G1718" s="29"/>
      <ns0:c r="H1718" s="29"/>
      <ns0:c r="I1718" s="29"/>
      <ns0:c r="J1718" s="29"/>
      <ns0:c r="K1718" s="29"/>
    </ns0:row>
    <ns0:row r="1719" ht="28" customHeight="1">
      <ns0:c r="A1719" s="29"/>
      <ns0:c r="B1719" s="30"/>
      <ns0:c r="C1719" s="28"/>
      <ns0:c r="D1719" s="29"/>
      <ns0:c r="E1719" s="31"/>
      <ns0:c r="F1719" s="32"/>
      <ns0:c r="G1719" s="29"/>
      <ns0:c r="H1719" s="29"/>
      <ns0:c r="I1719" s="29"/>
      <ns0:c r="J1719" s="29"/>
      <ns0:c r="K1719" s="29"/>
    </ns0:row>
    <ns0:row r="1720" ht="28" customHeight="1">
      <ns0:c r="A1720" s="29"/>
      <ns0:c r="B1720" s="30"/>
      <ns0:c r="C1720" s="28"/>
      <ns0:c r="D1720" s="29"/>
      <ns0:c r="E1720" s="31"/>
      <ns0:c r="F1720" s="32"/>
      <ns0:c r="G1720" s="29"/>
      <ns0:c r="H1720" s="29"/>
      <ns0:c r="I1720" s="29"/>
      <ns0:c r="J1720" s="29"/>
      <ns0:c r="K1720" s="29"/>
    </ns0:row>
    <ns0:row r="1721" ht="28" customHeight="1">
      <ns0:c r="A1721" s="29"/>
      <ns0:c r="B1721" s="30"/>
      <ns0:c r="C1721" s="28"/>
      <ns0:c r="D1721" s="29"/>
      <ns0:c r="E1721" s="31"/>
      <ns0:c r="F1721" s="32"/>
      <ns0:c r="G1721" s="29"/>
      <ns0:c r="H1721" s="29"/>
      <ns0:c r="I1721" s="29"/>
      <ns0:c r="J1721" s="29"/>
      <ns0:c r="K1721" s="29"/>
    </ns0:row>
    <ns0:row r="1722" ht="28" customHeight="1">
      <ns0:c r="A1722" s="29"/>
      <ns0:c r="B1722" s="30"/>
      <ns0:c r="C1722" s="28"/>
      <ns0:c r="D1722" s="29"/>
      <ns0:c r="E1722" s="31"/>
      <ns0:c r="F1722" s="32"/>
      <ns0:c r="G1722" s="29"/>
      <ns0:c r="H1722" s="29"/>
      <ns0:c r="I1722" s="29"/>
      <ns0:c r="J1722" s="29"/>
      <ns0:c r="K1722" s="29"/>
    </ns0:row>
    <ns0:row r="1723" ht="28" customHeight="1">
      <ns0:c r="A1723" s="29"/>
      <ns0:c r="B1723" s="30"/>
      <ns0:c r="C1723" s="28"/>
      <ns0:c r="D1723" s="29"/>
      <ns0:c r="E1723" s="31"/>
      <ns0:c r="F1723" s="32"/>
      <ns0:c r="G1723" s="29"/>
      <ns0:c r="H1723" s="29"/>
      <ns0:c r="I1723" s="29"/>
      <ns0:c r="J1723" s="29"/>
      <ns0:c r="K1723" s="29"/>
    </ns0:row>
    <ns0:row r="1724" ht="28" customHeight="1">
      <ns0:c r="A1724" s="29"/>
      <ns0:c r="B1724" s="30"/>
      <ns0:c r="C1724" s="28"/>
      <ns0:c r="D1724" s="29"/>
      <ns0:c r="E1724" s="31"/>
      <ns0:c r="F1724" s="32"/>
      <ns0:c r="G1724" s="29"/>
      <ns0:c r="H1724" s="29"/>
      <ns0:c r="I1724" s="29"/>
      <ns0:c r="J1724" s="29"/>
      <ns0:c r="K1724" s="29"/>
    </ns0:row>
    <ns0:row r="1725" ht="28" customHeight="1">
      <ns0:c r="A1725" s="29"/>
      <ns0:c r="B1725" s="30"/>
      <ns0:c r="C1725" s="28"/>
      <ns0:c r="D1725" s="29"/>
      <ns0:c r="E1725" s="31"/>
      <ns0:c r="F1725" s="32"/>
      <ns0:c r="G1725" s="29"/>
      <ns0:c r="H1725" s="29"/>
      <ns0:c r="I1725" s="29"/>
      <ns0:c r="J1725" s="29"/>
      <ns0:c r="K1725" s="29"/>
    </ns0:row>
    <ns0:row r="1726" ht="28" customHeight="1">
      <ns0:c r="A1726" s="29"/>
      <ns0:c r="B1726" s="30"/>
      <ns0:c r="C1726" s="28"/>
      <ns0:c r="D1726" s="29"/>
      <ns0:c r="E1726" s="31"/>
      <ns0:c r="F1726" s="32"/>
      <ns0:c r="G1726" s="29"/>
      <ns0:c r="H1726" s="29"/>
      <ns0:c r="I1726" s="29"/>
      <ns0:c r="J1726" s="29"/>
      <ns0:c r="K1726" s="29"/>
    </ns0:row>
    <ns0:row r="1727" ht="28" customHeight="1">
      <ns0:c r="A1727" s="29"/>
      <ns0:c r="B1727" s="30"/>
      <ns0:c r="C1727" s="28"/>
      <ns0:c r="D1727" s="29"/>
      <ns0:c r="E1727" s="31"/>
      <ns0:c r="F1727" s="32"/>
      <ns0:c r="G1727" s="29"/>
      <ns0:c r="H1727" s="29"/>
      <ns0:c r="I1727" s="29"/>
      <ns0:c r="J1727" s="29"/>
      <ns0:c r="K1727" s="29"/>
    </ns0:row>
    <ns0:row r="1728" ht="28" customHeight="1">
      <ns0:c r="A1728" s="29"/>
      <ns0:c r="B1728" s="30"/>
      <ns0:c r="C1728" s="28"/>
      <ns0:c r="D1728" s="29"/>
      <ns0:c r="E1728" s="31"/>
      <ns0:c r="F1728" s="32"/>
      <ns0:c r="G1728" s="29"/>
      <ns0:c r="H1728" s="29"/>
      <ns0:c r="I1728" s="29"/>
      <ns0:c r="J1728" s="29"/>
      <ns0:c r="K1728" s="29"/>
    </ns0:row>
    <ns0:row r="1729" ht="28" customHeight="1">
      <ns0:c r="A1729" s="29"/>
      <ns0:c r="B1729" s="30"/>
      <ns0:c r="C1729" s="28"/>
      <ns0:c r="D1729" s="29"/>
      <ns0:c r="E1729" s="31"/>
      <ns0:c r="F1729" s="32"/>
      <ns0:c r="G1729" s="29"/>
      <ns0:c r="H1729" s="29"/>
      <ns0:c r="I1729" s="29"/>
      <ns0:c r="J1729" s="29"/>
      <ns0:c r="K1729" s="29"/>
    </ns0:row>
    <ns0:row r="1730" ht="28" customHeight="1">
      <ns0:c r="A1730" s="29"/>
      <ns0:c r="B1730" s="30"/>
      <ns0:c r="C1730" s="28"/>
      <ns0:c r="D1730" s="29"/>
      <ns0:c r="E1730" s="31"/>
      <ns0:c r="F1730" s="32"/>
      <ns0:c r="G1730" s="29"/>
      <ns0:c r="H1730" s="29"/>
      <ns0:c r="I1730" s="29"/>
      <ns0:c r="J1730" s="29"/>
      <ns0:c r="K1730" s="29"/>
    </ns0:row>
    <ns0:row r="1731" ht="28" customHeight="1">
      <ns0:c r="A1731" s="29"/>
      <ns0:c r="B1731" s="30"/>
      <ns0:c r="C1731" s="28"/>
      <ns0:c r="D1731" s="29"/>
      <ns0:c r="E1731" s="31"/>
      <ns0:c r="F1731" s="32"/>
      <ns0:c r="G1731" s="29"/>
      <ns0:c r="H1731" s="29"/>
      <ns0:c r="I1731" s="29"/>
      <ns0:c r="J1731" s="29"/>
      <ns0:c r="K1731" s="29"/>
    </ns0:row>
    <ns0:row r="1732" ht="28" customHeight="1">
      <ns0:c r="A1732" s="29"/>
      <ns0:c r="B1732" s="30"/>
      <ns0:c r="C1732" s="28"/>
      <ns0:c r="D1732" s="29"/>
      <ns0:c r="E1732" s="31"/>
      <ns0:c r="F1732" s="32"/>
      <ns0:c r="G1732" s="29"/>
      <ns0:c r="H1732" s="29"/>
      <ns0:c r="I1732" s="29"/>
      <ns0:c r="J1732" s="29"/>
      <ns0:c r="K1732" s="29"/>
    </ns0:row>
    <ns0:row r="1733" ht="28" customHeight="1">
      <ns0:c r="A1733" s="29"/>
      <ns0:c r="B1733" s="30"/>
      <ns0:c r="C1733" s="28"/>
      <ns0:c r="D1733" s="29"/>
      <ns0:c r="E1733" s="31"/>
      <ns0:c r="F1733" s="32"/>
      <ns0:c r="G1733" s="29"/>
      <ns0:c r="H1733" s="29"/>
      <ns0:c r="I1733" s="29"/>
      <ns0:c r="J1733" s="29"/>
      <ns0:c r="K1733" s="29"/>
    </ns0:row>
    <ns0:row r="1734" ht="28" customHeight="1">
      <ns0:c r="A1734" s="29"/>
      <ns0:c r="B1734" s="30"/>
      <ns0:c r="C1734" s="28"/>
      <ns0:c r="D1734" s="29"/>
      <ns0:c r="E1734" s="31"/>
      <ns0:c r="F1734" s="32"/>
      <ns0:c r="G1734" s="29"/>
      <ns0:c r="H1734" s="29"/>
      <ns0:c r="I1734" s="29"/>
      <ns0:c r="J1734" s="29"/>
      <ns0:c r="K1734" s="29"/>
    </ns0:row>
    <ns0:row r="1735" ht="28" customHeight="1">
      <ns0:c r="A1735" s="29"/>
      <ns0:c r="B1735" s="30"/>
      <ns0:c r="C1735" s="28"/>
      <ns0:c r="D1735" s="29"/>
      <ns0:c r="E1735" s="31"/>
      <ns0:c r="F1735" s="32"/>
      <ns0:c r="G1735" s="29"/>
      <ns0:c r="H1735" s="29"/>
      <ns0:c r="I1735" s="29"/>
      <ns0:c r="J1735" s="29"/>
      <ns0:c r="K1735" s="29"/>
    </ns0:row>
    <ns0:row r="1736" ht="28" customHeight="1">
      <ns0:c r="A1736" s="29"/>
      <ns0:c r="B1736" s="30"/>
      <ns0:c r="C1736" s="28"/>
      <ns0:c r="D1736" s="29"/>
      <ns0:c r="E1736" s="31"/>
      <ns0:c r="F1736" s="32"/>
      <ns0:c r="G1736" s="29"/>
      <ns0:c r="H1736" s="29"/>
      <ns0:c r="I1736" s="29"/>
      <ns0:c r="J1736" s="29"/>
      <ns0:c r="K1736" s="29"/>
    </ns0:row>
    <ns0:row r="1737" ht="28" customHeight="1">
      <ns0:c r="A1737" s="29"/>
      <ns0:c r="B1737" s="30"/>
      <ns0:c r="C1737" s="28"/>
      <ns0:c r="D1737" s="29"/>
      <ns0:c r="E1737" s="31"/>
      <ns0:c r="F1737" s="32"/>
      <ns0:c r="G1737" s="29"/>
      <ns0:c r="H1737" s="29"/>
      <ns0:c r="I1737" s="29"/>
      <ns0:c r="J1737" s="29"/>
      <ns0:c r="K1737" s="29"/>
    </ns0:row>
    <ns0:row r="1738" ht="28" customHeight="1">
      <ns0:c r="A1738" s="29"/>
      <ns0:c r="B1738" s="30"/>
      <ns0:c r="C1738" s="28"/>
      <ns0:c r="D1738" s="29"/>
      <ns0:c r="E1738" s="31"/>
      <ns0:c r="F1738" s="32"/>
      <ns0:c r="G1738" s="29"/>
      <ns0:c r="H1738" s="29"/>
      <ns0:c r="I1738" s="29"/>
      <ns0:c r="J1738" s="29"/>
      <ns0:c r="K1738" s="29"/>
    </ns0:row>
    <ns0:row r="1739" ht="28" customHeight="1">
      <ns0:c r="A1739" s="29"/>
      <ns0:c r="B1739" s="30"/>
      <ns0:c r="C1739" s="28"/>
      <ns0:c r="D1739" s="29"/>
      <ns0:c r="E1739" s="31"/>
      <ns0:c r="F1739" s="32"/>
      <ns0:c r="G1739" s="29"/>
      <ns0:c r="H1739" s="29"/>
      <ns0:c r="I1739" s="29"/>
      <ns0:c r="J1739" s="29"/>
      <ns0:c r="K1739" s="29"/>
    </ns0:row>
    <ns0:row r="1740" ht="28" customHeight="1">
      <ns0:c r="A1740" s="29"/>
      <ns0:c r="B1740" s="30"/>
      <ns0:c r="C1740" s="28"/>
      <ns0:c r="D1740" s="29"/>
      <ns0:c r="E1740" s="31"/>
      <ns0:c r="F1740" s="32"/>
      <ns0:c r="G1740" s="29"/>
      <ns0:c r="H1740" s="29"/>
      <ns0:c r="I1740" s="29"/>
      <ns0:c r="J1740" s="29"/>
      <ns0:c r="K1740" s="29"/>
    </ns0:row>
    <ns0:row r="1741" ht="28" customHeight="1">
      <ns0:c r="A1741" s="29"/>
      <ns0:c r="B1741" s="30"/>
      <ns0:c r="C1741" s="28"/>
      <ns0:c r="D1741" s="29"/>
      <ns0:c r="E1741" s="31"/>
      <ns0:c r="F1741" s="32"/>
      <ns0:c r="G1741" s="29"/>
      <ns0:c r="H1741" s="29"/>
      <ns0:c r="I1741" s="29"/>
      <ns0:c r="J1741" s="29"/>
      <ns0:c r="K1741" s="29"/>
    </ns0:row>
    <ns0:row r="1742" ht="28" customHeight="1">
      <ns0:c r="A1742" s="29"/>
      <ns0:c r="B1742" s="30"/>
      <ns0:c r="C1742" s="28"/>
      <ns0:c r="D1742" s="29"/>
      <ns0:c r="E1742" s="31"/>
      <ns0:c r="F1742" s="32"/>
      <ns0:c r="G1742" s="29"/>
      <ns0:c r="H1742" s="29"/>
      <ns0:c r="I1742" s="29"/>
      <ns0:c r="J1742" s="29"/>
      <ns0:c r="K1742" s="29"/>
    </ns0:row>
    <ns0:row r="1743" ht="28" customHeight="1">
      <ns0:c r="A1743" s="29"/>
      <ns0:c r="B1743" s="30"/>
      <ns0:c r="C1743" s="28"/>
      <ns0:c r="D1743" s="29"/>
      <ns0:c r="E1743" s="31"/>
      <ns0:c r="F1743" s="32"/>
      <ns0:c r="G1743" s="29"/>
      <ns0:c r="H1743" s="29"/>
      <ns0:c r="I1743" s="29"/>
      <ns0:c r="J1743" s="29"/>
      <ns0:c r="K1743" s="29"/>
    </ns0:row>
    <ns0:row r="1744" ht="28" customHeight="1">
      <ns0:c r="A1744" s="29"/>
      <ns0:c r="B1744" s="30"/>
      <ns0:c r="C1744" s="28"/>
      <ns0:c r="D1744" s="29"/>
      <ns0:c r="E1744" s="31"/>
      <ns0:c r="F1744" s="32"/>
      <ns0:c r="G1744" s="29"/>
      <ns0:c r="H1744" s="29"/>
      <ns0:c r="I1744" s="29"/>
      <ns0:c r="J1744" s="29"/>
      <ns0:c r="K1744" s="29"/>
    </ns0:row>
    <ns0:row r="1745" ht="28" customHeight="1">
      <ns0:c r="A1745" s="29"/>
      <ns0:c r="B1745" s="30"/>
      <ns0:c r="C1745" s="28"/>
      <ns0:c r="D1745" s="29"/>
      <ns0:c r="E1745" s="31"/>
      <ns0:c r="F1745" s="32"/>
      <ns0:c r="G1745" s="29"/>
      <ns0:c r="H1745" s="29"/>
      <ns0:c r="I1745" s="29"/>
      <ns0:c r="J1745" s="29"/>
      <ns0:c r="K1745" s="29"/>
    </ns0:row>
    <ns0:row r="1746" ht="28" customHeight="1">
      <ns0:c r="A1746" s="29"/>
      <ns0:c r="B1746" s="30"/>
      <ns0:c r="C1746" s="28"/>
      <ns0:c r="D1746" s="29"/>
      <ns0:c r="E1746" s="31"/>
      <ns0:c r="F1746" s="32"/>
      <ns0:c r="G1746" s="29"/>
      <ns0:c r="H1746" s="29"/>
      <ns0:c r="I1746" s="29"/>
      <ns0:c r="J1746" s="29"/>
      <ns0:c r="K1746" s="29"/>
    </ns0:row>
    <ns0:row r="1747" ht="28" customHeight="1">
      <ns0:c r="A1747" s="29"/>
      <ns0:c r="B1747" s="30"/>
      <ns0:c r="C1747" s="28"/>
      <ns0:c r="D1747" s="29"/>
      <ns0:c r="E1747" s="31"/>
      <ns0:c r="F1747" s="32"/>
      <ns0:c r="G1747" s="29"/>
      <ns0:c r="H1747" s="29"/>
      <ns0:c r="I1747" s="29"/>
      <ns0:c r="J1747" s="29"/>
      <ns0:c r="K1747" s="29"/>
    </ns0:row>
    <ns0:row r="1748" ht="28" customHeight="1">
      <ns0:c r="A1748" s="29"/>
      <ns0:c r="B1748" s="30"/>
      <ns0:c r="C1748" s="28"/>
      <ns0:c r="D1748" s="29"/>
      <ns0:c r="E1748" s="31"/>
      <ns0:c r="F1748" s="32"/>
      <ns0:c r="G1748" s="29"/>
      <ns0:c r="H1748" s="29"/>
      <ns0:c r="I1748" s="29"/>
      <ns0:c r="J1748" s="29"/>
      <ns0:c r="K1748" s="29"/>
    </ns0:row>
    <ns0:row r="1749" ht="28" customHeight="1">
      <ns0:c r="A1749" s="29"/>
      <ns0:c r="B1749" s="30"/>
      <ns0:c r="C1749" s="28"/>
      <ns0:c r="D1749" s="29"/>
      <ns0:c r="E1749" s="31"/>
      <ns0:c r="F1749" s="32"/>
      <ns0:c r="G1749" s="29"/>
      <ns0:c r="H1749" s="29"/>
      <ns0:c r="I1749" s="29"/>
      <ns0:c r="J1749" s="29"/>
      <ns0:c r="K1749" s="29"/>
    </ns0:row>
    <ns0:row r="1750" ht="28" customHeight="1">
      <ns0:c r="A1750" s="29"/>
      <ns0:c r="B1750" s="30"/>
      <ns0:c r="C1750" s="28"/>
      <ns0:c r="D1750" s="29"/>
      <ns0:c r="E1750" s="31"/>
      <ns0:c r="F1750" s="32"/>
      <ns0:c r="G1750" s="29"/>
      <ns0:c r="H1750" s="29"/>
      <ns0:c r="I1750" s="29"/>
      <ns0:c r="J1750" s="29"/>
      <ns0:c r="K1750" s="29"/>
    </ns0:row>
    <ns0:row r="1751" ht="28" customHeight="1">
      <ns0:c r="A1751" s="29"/>
      <ns0:c r="B1751" s="30"/>
      <ns0:c r="C1751" s="28"/>
      <ns0:c r="D1751" s="29"/>
      <ns0:c r="E1751" s="31"/>
      <ns0:c r="F1751" s="32"/>
      <ns0:c r="G1751" s="29"/>
      <ns0:c r="H1751" s="29"/>
      <ns0:c r="I1751" s="29"/>
      <ns0:c r="J1751" s="29"/>
      <ns0:c r="K1751" s="29"/>
    </ns0:row>
    <ns0:row r="1752" ht="28" customHeight="1">
      <ns0:c r="A1752" s="29"/>
      <ns0:c r="B1752" s="30"/>
      <ns0:c r="C1752" s="28"/>
      <ns0:c r="D1752" s="29"/>
      <ns0:c r="E1752" s="31"/>
      <ns0:c r="F1752" s="32"/>
      <ns0:c r="G1752" s="29"/>
      <ns0:c r="H1752" s="29"/>
      <ns0:c r="I1752" s="29"/>
      <ns0:c r="J1752" s="29"/>
      <ns0:c r="K1752" s="29"/>
    </ns0:row>
    <ns0:row r="1753" ht="28" customHeight="1">
      <ns0:c r="A1753" s="29"/>
      <ns0:c r="B1753" s="30"/>
      <ns0:c r="C1753" s="28"/>
      <ns0:c r="D1753" s="29"/>
      <ns0:c r="E1753" s="31"/>
      <ns0:c r="F1753" s="32"/>
      <ns0:c r="G1753" s="29"/>
      <ns0:c r="H1753" s="29"/>
      <ns0:c r="I1753" s="29"/>
      <ns0:c r="J1753" s="29"/>
      <ns0:c r="K1753" s="29"/>
    </ns0:row>
    <ns0:row r="1754" ht="28" customHeight="1">
      <ns0:c r="A1754" s="29"/>
      <ns0:c r="B1754" s="30"/>
      <ns0:c r="C1754" s="28"/>
      <ns0:c r="D1754" s="29"/>
      <ns0:c r="E1754" s="31"/>
      <ns0:c r="F1754" s="32"/>
      <ns0:c r="G1754" s="29"/>
      <ns0:c r="H1754" s="29"/>
      <ns0:c r="I1754" s="29"/>
      <ns0:c r="J1754" s="29"/>
      <ns0:c r="K1754" s="29"/>
    </ns0:row>
    <ns0:row r="1755" ht="28" customHeight="1">
      <ns0:c r="A1755" s="29"/>
      <ns0:c r="B1755" s="30"/>
      <ns0:c r="C1755" s="28"/>
      <ns0:c r="D1755" s="29"/>
      <ns0:c r="E1755" s="31"/>
      <ns0:c r="F1755" s="32"/>
      <ns0:c r="G1755" s="29"/>
      <ns0:c r="H1755" s="29"/>
      <ns0:c r="I1755" s="29"/>
      <ns0:c r="J1755" s="29"/>
      <ns0:c r="K1755" s="29"/>
    </ns0:row>
    <ns0:row r="1756" ht="28" customHeight="1">
      <ns0:c r="A1756" s="29"/>
      <ns0:c r="B1756" s="30"/>
      <ns0:c r="C1756" s="28"/>
      <ns0:c r="D1756" s="29"/>
      <ns0:c r="E1756" s="31"/>
      <ns0:c r="F1756" s="32"/>
      <ns0:c r="G1756" s="29"/>
      <ns0:c r="H1756" s="29"/>
      <ns0:c r="I1756" s="29"/>
      <ns0:c r="J1756" s="29"/>
      <ns0:c r="K1756" s="29"/>
    </ns0:row>
    <ns0:row r="1757" ht="28" customHeight="1">
      <ns0:c r="A1757" s="29"/>
      <ns0:c r="B1757" s="30"/>
      <ns0:c r="C1757" s="28"/>
      <ns0:c r="D1757" s="29"/>
      <ns0:c r="E1757" s="31"/>
      <ns0:c r="F1757" s="32"/>
      <ns0:c r="G1757" s="29"/>
      <ns0:c r="H1757" s="29"/>
      <ns0:c r="I1757" s="29"/>
      <ns0:c r="J1757" s="29"/>
      <ns0:c r="K1757" s="29"/>
    </ns0:row>
    <ns0:row r="1758" ht="28" customHeight="1">
      <ns0:c r="A1758" s="29"/>
      <ns0:c r="B1758" s="30"/>
      <ns0:c r="C1758" s="28"/>
      <ns0:c r="D1758" s="29"/>
      <ns0:c r="E1758" s="31"/>
      <ns0:c r="F1758" s="32"/>
      <ns0:c r="G1758" s="29"/>
      <ns0:c r="H1758" s="29"/>
      <ns0:c r="I1758" s="29"/>
      <ns0:c r="J1758" s="29"/>
      <ns0:c r="K1758" s="29"/>
    </ns0:row>
    <ns0:row r="1759" ht="28" customHeight="1">
      <ns0:c r="A1759" s="29"/>
      <ns0:c r="B1759" s="30"/>
      <ns0:c r="C1759" s="28"/>
      <ns0:c r="D1759" s="29"/>
      <ns0:c r="E1759" s="31"/>
      <ns0:c r="F1759" s="32"/>
      <ns0:c r="G1759" s="29"/>
      <ns0:c r="H1759" s="29"/>
      <ns0:c r="I1759" s="29"/>
      <ns0:c r="J1759" s="29"/>
      <ns0:c r="K1759" s="29"/>
    </ns0:row>
    <ns0:row r="1760" ht="28" customHeight="1">
      <ns0:c r="A1760" s="29"/>
      <ns0:c r="B1760" s="30"/>
      <ns0:c r="C1760" s="28"/>
      <ns0:c r="D1760" s="29"/>
      <ns0:c r="E1760" s="31"/>
      <ns0:c r="F1760" s="32"/>
      <ns0:c r="G1760" s="29"/>
      <ns0:c r="H1760" s="29"/>
      <ns0:c r="I1760" s="29"/>
      <ns0:c r="J1760" s="29"/>
      <ns0:c r="K1760" s="29"/>
    </ns0:row>
    <ns0:row r="1761" ht="28" customHeight="1">
      <ns0:c r="A1761" s="29"/>
      <ns0:c r="B1761" s="30"/>
      <ns0:c r="C1761" s="28"/>
      <ns0:c r="D1761" s="29"/>
      <ns0:c r="E1761" s="31"/>
      <ns0:c r="F1761" s="32"/>
      <ns0:c r="G1761" s="29"/>
      <ns0:c r="H1761" s="29"/>
      <ns0:c r="I1761" s="29"/>
      <ns0:c r="J1761" s="29"/>
      <ns0:c r="K1761" s="29"/>
    </ns0:row>
    <ns0:row r="1762" ht="28" customHeight="1">
      <ns0:c r="A1762" s="29"/>
      <ns0:c r="B1762" s="30"/>
      <ns0:c r="C1762" s="28"/>
      <ns0:c r="D1762" s="29"/>
      <ns0:c r="E1762" s="31"/>
      <ns0:c r="F1762" s="32"/>
      <ns0:c r="G1762" s="29"/>
      <ns0:c r="H1762" s="29"/>
      <ns0:c r="I1762" s="29"/>
      <ns0:c r="J1762" s="29"/>
      <ns0:c r="K1762" s="29"/>
    </ns0:row>
    <ns0:row r="1763" ht="28" customHeight="1">
      <ns0:c r="A1763" s="29"/>
      <ns0:c r="B1763" s="30"/>
      <ns0:c r="C1763" s="28"/>
      <ns0:c r="D1763" s="29"/>
      <ns0:c r="E1763" s="31"/>
      <ns0:c r="F1763" s="32"/>
      <ns0:c r="G1763" s="29"/>
      <ns0:c r="H1763" s="29"/>
      <ns0:c r="I1763" s="29"/>
      <ns0:c r="J1763" s="29"/>
      <ns0:c r="K1763" s="29"/>
    </ns0:row>
    <ns0:row r="1764" ht="28" customHeight="1">
      <ns0:c r="A1764" s="29"/>
      <ns0:c r="B1764" s="30"/>
      <ns0:c r="C1764" s="28"/>
      <ns0:c r="D1764" s="29"/>
      <ns0:c r="E1764" s="31"/>
      <ns0:c r="F1764" s="32"/>
      <ns0:c r="G1764" s="29"/>
      <ns0:c r="H1764" s="29"/>
      <ns0:c r="I1764" s="29"/>
      <ns0:c r="J1764" s="29"/>
      <ns0:c r="K1764" s="29"/>
    </ns0:row>
    <ns0:row r="1765" ht="28" customHeight="1">
      <ns0:c r="A1765" s="29"/>
      <ns0:c r="B1765" s="30"/>
      <ns0:c r="C1765" s="28"/>
      <ns0:c r="D1765" s="29"/>
      <ns0:c r="E1765" s="31"/>
      <ns0:c r="F1765" s="32"/>
      <ns0:c r="G1765" s="29"/>
      <ns0:c r="H1765" s="29"/>
      <ns0:c r="I1765" s="29"/>
      <ns0:c r="J1765" s="29"/>
      <ns0:c r="K1765" s="29"/>
    </ns0:row>
    <ns0:row r="1766" ht="28" customHeight="1">
      <ns0:c r="A1766" s="29"/>
      <ns0:c r="B1766" s="30"/>
      <ns0:c r="C1766" s="28"/>
      <ns0:c r="D1766" s="29"/>
      <ns0:c r="E1766" s="31"/>
      <ns0:c r="F1766" s="32"/>
      <ns0:c r="G1766" s="29"/>
      <ns0:c r="H1766" s="29"/>
      <ns0:c r="I1766" s="29"/>
      <ns0:c r="J1766" s="29"/>
      <ns0:c r="K1766" s="29"/>
    </ns0:row>
    <ns0:row r="1767" ht="28" customHeight="1">
      <ns0:c r="A1767" s="29"/>
      <ns0:c r="B1767" s="30"/>
      <ns0:c r="C1767" s="28"/>
      <ns0:c r="D1767" s="29"/>
      <ns0:c r="E1767" s="31"/>
      <ns0:c r="F1767" s="32"/>
      <ns0:c r="G1767" s="29"/>
      <ns0:c r="H1767" s="29"/>
      <ns0:c r="I1767" s="29"/>
      <ns0:c r="J1767" s="29"/>
      <ns0:c r="K1767" s="29"/>
    </ns0:row>
    <ns0:row r="1768" ht="28" customHeight="1">
      <ns0:c r="A1768" s="29"/>
      <ns0:c r="B1768" s="30"/>
      <ns0:c r="C1768" s="28"/>
      <ns0:c r="D1768" s="29"/>
      <ns0:c r="E1768" s="31"/>
      <ns0:c r="F1768" s="32"/>
      <ns0:c r="G1768" s="29"/>
      <ns0:c r="H1768" s="29"/>
      <ns0:c r="I1768" s="29"/>
      <ns0:c r="J1768" s="29"/>
      <ns0:c r="K1768" s="29"/>
    </ns0:row>
    <ns0:row r="1769" ht="28" customHeight="1">
      <ns0:c r="A1769" s="29"/>
      <ns0:c r="B1769" s="30"/>
      <ns0:c r="C1769" s="28"/>
      <ns0:c r="D1769" s="29"/>
      <ns0:c r="E1769" s="31"/>
      <ns0:c r="F1769" s="32"/>
      <ns0:c r="G1769" s="29"/>
      <ns0:c r="H1769" s="29"/>
      <ns0:c r="I1769" s="29"/>
      <ns0:c r="J1769" s="29"/>
      <ns0:c r="K1769" s="29"/>
    </ns0:row>
    <ns0:row r="1770" ht="28" customHeight="1">
      <ns0:c r="A1770" s="29"/>
      <ns0:c r="B1770" s="30"/>
      <ns0:c r="C1770" s="28"/>
      <ns0:c r="D1770" s="29"/>
      <ns0:c r="E1770" s="31"/>
      <ns0:c r="F1770" s="32"/>
      <ns0:c r="G1770" s="29"/>
      <ns0:c r="H1770" s="29"/>
      <ns0:c r="I1770" s="29"/>
      <ns0:c r="J1770" s="29"/>
      <ns0:c r="K1770" s="29"/>
    </ns0:row>
    <ns0:row r="1771" ht="28" customHeight="1">
      <ns0:c r="A1771" s="29"/>
      <ns0:c r="B1771" s="30"/>
      <ns0:c r="C1771" s="28"/>
      <ns0:c r="D1771" s="29"/>
      <ns0:c r="E1771" s="31"/>
      <ns0:c r="F1771" s="32"/>
      <ns0:c r="G1771" s="29"/>
      <ns0:c r="H1771" s="29"/>
      <ns0:c r="I1771" s="29"/>
      <ns0:c r="J1771" s="29"/>
      <ns0:c r="K1771" s="29"/>
    </ns0:row>
    <ns0:row r="1772" ht="28" customHeight="1">
      <ns0:c r="A1772" s="29"/>
      <ns0:c r="B1772" s="30"/>
      <ns0:c r="C1772" s="28"/>
      <ns0:c r="D1772" s="29"/>
      <ns0:c r="E1772" s="31"/>
      <ns0:c r="F1772" s="32"/>
      <ns0:c r="G1772" s="29"/>
      <ns0:c r="H1772" s="29"/>
      <ns0:c r="I1772" s="29"/>
      <ns0:c r="J1772" s="29"/>
      <ns0:c r="K1772" s="29"/>
    </ns0:row>
    <ns0:row r="1773" ht="28" customHeight="1">
      <ns0:c r="A1773" s="29"/>
      <ns0:c r="B1773" s="30"/>
      <ns0:c r="C1773" s="28"/>
      <ns0:c r="D1773" s="29"/>
      <ns0:c r="E1773" s="31"/>
      <ns0:c r="F1773" s="32"/>
      <ns0:c r="G1773" s="29"/>
      <ns0:c r="H1773" s="29"/>
      <ns0:c r="I1773" s="29"/>
      <ns0:c r="J1773" s="29"/>
      <ns0:c r="K1773" s="29"/>
    </ns0:row>
    <ns0:row r="1774" ht="28" customHeight="1">
      <ns0:c r="A1774" s="29"/>
      <ns0:c r="B1774" s="30"/>
      <ns0:c r="C1774" s="28"/>
      <ns0:c r="D1774" s="29"/>
      <ns0:c r="E1774" s="31"/>
      <ns0:c r="F1774" s="32"/>
      <ns0:c r="G1774" s="29"/>
      <ns0:c r="H1774" s="29"/>
      <ns0:c r="I1774" s="29"/>
      <ns0:c r="J1774" s="29"/>
      <ns0:c r="K1774" s="29"/>
    </ns0:row>
    <ns0:row r="1775" ht="28" customHeight="1">
      <ns0:c r="A1775" s="29"/>
      <ns0:c r="B1775" s="30"/>
      <ns0:c r="C1775" s="28"/>
      <ns0:c r="D1775" s="29"/>
      <ns0:c r="E1775" s="31"/>
      <ns0:c r="F1775" s="32"/>
      <ns0:c r="G1775" s="29"/>
      <ns0:c r="H1775" s="29"/>
      <ns0:c r="I1775" s="29"/>
      <ns0:c r="J1775" s="29"/>
      <ns0:c r="K1775" s="29"/>
    </ns0:row>
    <ns0:row r="1776" ht="28" customHeight="1">
      <ns0:c r="A1776" s="29"/>
      <ns0:c r="B1776" s="30"/>
      <ns0:c r="C1776" s="28"/>
      <ns0:c r="D1776" s="29"/>
      <ns0:c r="E1776" s="31"/>
      <ns0:c r="F1776" s="32"/>
      <ns0:c r="G1776" s="29"/>
      <ns0:c r="H1776" s="29"/>
      <ns0:c r="I1776" s="29"/>
      <ns0:c r="J1776" s="29"/>
      <ns0:c r="K1776" s="29"/>
    </ns0:row>
    <ns0:row r="1777" ht="28" customHeight="1">
      <ns0:c r="A1777" s="29"/>
      <ns0:c r="B1777" s="30"/>
      <ns0:c r="C1777" s="28"/>
      <ns0:c r="D1777" s="29"/>
      <ns0:c r="E1777" s="31"/>
      <ns0:c r="F1777" s="32"/>
      <ns0:c r="G1777" s="29"/>
      <ns0:c r="H1777" s="29"/>
      <ns0:c r="I1777" s="29"/>
      <ns0:c r="J1777" s="29"/>
      <ns0:c r="K1777" s="29"/>
    </ns0:row>
    <ns0:row r="1778" ht="28" customHeight="1">
      <ns0:c r="A1778" s="29"/>
      <ns0:c r="B1778" s="30"/>
      <ns0:c r="C1778" s="28"/>
      <ns0:c r="D1778" s="29"/>
      <ns0:c r="E1778" s="31"/>
      <ns0:c r="F1778" s="32"/>
      <ns0:c r="G1778" s="29"/>
      <ns0:c r="H1778" s="29"/>
      <ns0:c r="I1778" s="29"/>
      <ns0:c r="J1778" s="29"/>
      <ns0:c r="K1778" s="29"/>
    </ns0:row>
    <ns0:row r="1779" ht="28" customHeight="1">
      <ns0:c r="A1779" s="29"/>
      <ns0:c r="B1779" s="30"/>
      <ns0:c r="C1779" s="28"/>
      <ns0:c r="D1779" s="29"/>
      <ns0:c r="E1779" s="31"/>
      <ns0:c r="F1779" s="32"/>
      <ns0:c r="G1779" s="29"/>
      <ns0:c r="H1779" s="29"/>
      <ns0:c r="I1779" s="29"/>
      <ns0:c r="J1779" s="29"/>
      <ns0:c r="K1779" s="29"/>
    </ns0:row>
    <ns0:row r="1780" ht="28" customHeight="1">
      <ns0:c r="A1780" s="29"/>
      <ns0:c r="B1780" s="30"/>
      <ns0:c r="C1780" s="28"/>
      <ns0:c r="D1780" s="29"/>
      <ns0:c r="E1780" s="31"/>
      <ns0:c r="F1780" s="32"/>
      <ns0:c r="G1780" s="29"/>
      <ns0:c r="H1780" s="29"/>
      <ns0:c r="I1780" s="29"/>
      <ns0:c r="J1780" s="29"/>
      <ns0:c r="K1780" s="29"/>
    </ns0:row>
    <ns0:row r="1781" ht="28" customHeight="1">
      <ns0:c r="A1781" s="29"/>
      <ns0:c r="B1781" s="30"/>
      <ns0:c r="C1781" s="28"/>
      <ns0:c r="D1781" s="29"/>
      <ns0:c r="E1781" s="31"/>
      <ns0:c r="F1781" s="32"/>
      <ns0:c r="G1781" s="29"/>
      <ns0:c r="H1781" s="29"/>
      <ns0:c r="I1781" s="29"/>
      <ns0:c r="J1781" s="29"/>
      <ns0:c r="K1781" s="29"/>
    </ns0:row>
    <ns0:row r="1782" ht="28" customHeight="1">
      <ns0:c r="A1782" s="29"/>
      <ns0:c r="B1782" s="30"/>
      <ns0:c r="C1782" s="28"/>
      <ns0:c r="D1782" s="29"/>
      <ns0:c r="E1782" s="31"/>
      <ns0:c r="F1782" s="32"/>
      <ns0:c r="G1782" s="29"/>
      <ns0:c r="H1782" s="29"/>
      <ns0:c r="I1782" s="29"/>
      <ns0:c r="J1782" s="29"/>
      <ns0:c r="K1782" s="29"/>
    </ns0:row>
    <ns0:row r="1783" ht="28" customHeight="1">
      <ns0:c r="A1783" s="29"/>
      <ns0:c r="B1783" s="30"/>
      <ns0:c r="C1783" s="28"/>
      <ns0:c r="D1783" s="29"/>
      <ns0:c r="E1783" s="31"/>
      <ns0:c r="F1783" s="32"/>
      <ns0:c r="G1783" s="29"/>
      <ns0:c r="H1783" s="29"/>
      <ns0:c r="I1783" s="29"/>
      <ns0:c r="J1783" s="29"/>
      <ns0:c r="K1783" s="29"/>
    </ns0:row>
    <ns0:row r="1784" ht="28" customHeight="1">
      <ns0:c r="A1784" s="29"/>
      <ns0:c r="B1784" s="30"/>
      <ns0:c r="C1784" s="28"/>
      <ns0:c r="D1784" s="29"/>
      <ns0:c r="E1784" s="31"/>
      <ns0:c r="F1784" s="32"/>
      <ns0:c r="G1784" s="29"/>
      <ns0:c r="H1784" s="29"/>
      <ns0:c r="I1784" s="29"/>
      <ns0:c r="J1784" s="29"/>
      <ns0:c r="K1784" s="29"/>
    </ns0:row>
    <ns0:row r="1785" ht="28" customHeight="1">
      <ns0:c r="A1785" s="29"/>
      <ns0:c r="B1785" s="30"/>
      <ns0:c r="C1785" s="28"/>
      <ns0:c r="D1785" s="29"/>
      <ns0:c r="E1785" s="31"/>
      <ns0:c r="F1785" s="32"/>
      <ns0:c r="G1785" s="29"/>
      <ns0:c r="H1785" s="29"/>
      <ns0:c r="I1785" s="29"/>
      <ns0:c r="J1785" s="29"/>
      <ns0:c r="K1785" s="29"/>
    </ns0:row>
    <ns0:row r="1786" ht="28" customHeight="1">
      <ns0:c r="A1786" s="29"/>
      <ns0:c r="B1786" s="30"/>
      <ns0:c r="C1786" s="28"/>
      <ns0:c r="D1786" s="29"/>
      <ns0:c r="E1786" s="31"/>
      <ns0:c r="F1786" s="32"/>
      <ns0:c r="G1786" s="29"/>
      <ns0:c r="H1786" s="29"/>
      <ns0:c r="I1786" s="29"/>
      <ns0:c r="J1786" s="29"/>
      <ns0:c r="K1786" s="29"/>
    </ns0:row>
    <ns0:row r="1787" ht="28" customHeight="1">
      <ns0:c r="A1787" s="29"/>
      <ns0:c r="B1787" s="30"/>
      <ns0:c r="C1787" s="28"/>
      <ns0:c r="D1787" s="29"/>
      <ns0:c r="E1787" s="31"/>
      <ns0:c r="F1787" s="32"/>
      <ns0:c r="G1787" s="29"/>
      <ns0:c r="H1787" s="29"/>
      <ns0:c r="I1787" s="29"/>
      <ns0:c r="J1787" s="29"/>
      <ns0:c r="K1787" s="29"/>
    </ns0:row>
    <ns0:row r="1788" ht="28" customHeight="1">
      <ns0:c r="A1788" s="29"/>
      <ns0:c r="B1788" s="30"/>
      <ns0:c r="C1788" s="28"/>
      <ns0:c r="D1788" s="29"/>
      <ns0:c r="E1788" s="31"/>
      <ns0:c r="F1788" s="32"/>
      <ns0:c r="G1788" s="29"/>
      <ns0:c r="H1788" s="29"/>
      <ns0:c r="I1788" s="29"/>
      <ns0:c r="J1788" s="29"/>
      <ns0:c r="K1788" s="29"/>
    </ns0:row>
    <ns0:row r="1789" ht="28" customHeight="1">
      <ns0:c r="A1789" s="29"/>
      <ns0:c r="B1789" s="30"/>
      <ns0:c r="C1789" s="28"/>
      <ns0:c r="D1789" s="29"/>
      <ns0:c r="E1789" s="31"/>
      <ns0:c r="F1789" s="32"/>
      <ns0:c r="G1789" s="29"/>
      <ns0:c r="H1789" s="29"/>
      <ns0:c r="I1789" s="29"/>
      <ns0:c r="J1789" s="29"/>
      <ns0:c r="K1789" s="29"/>
    </ns0:row>
    <ns0:row r="1790" ht="28" customHeight="1">
      <ns0:c r="A1790" s="29"/>
      <ns0:c r="B1790" s="30"/>
      <ns0:c r="C1790" s="28"/>
      <ns0:c r="D1790" s="29"/>
      <ns0:c r="E1790" s="31"/>
      <ns0:c r="F1790" s="32"/>
      <ns0:c r="G1790" s="29"/>
      <ns0:c r="H1790" s="29"/>
      <ns0:c r="I1790" s="29"/>
      <ns0:c r="J1790" s="29"/>
      <ns0:c r="K1790" s="29"/>
    </ns0:row>
    <ns0:row r="1791" ht="28" customHeight="1">
      <ns0:c r="A1791" s="29"/>
      <ns0:c r="B1791" s="30"/>
      <ns0:c r="C1791" s="28"/>
      <ns0:c r="D1791" s="29"/>
      <ns0:c r="E1791" s="31"/>
      <ns0:c r="F1791" s="32"/>
      <ns0:c r="G1791" s="29"/>
      <ns0:c r="H1791" s="29"/>
      <ns0:c r="I1791" s="29"/>
      <ns0:c r="J1791" s="29"/>
      <ns0:c r="K1791" s="29"/>
    </ns0:row>
    <ns0:row r="1792" ht="28" customHeight="1">
      <ns0:c r="A1792" s="29"/>
      <ns0:c r="B1792" s="30"/>
      <ns0:c r="C1792" s="28"/>
      <ns0:c r="D1792" s="29"/>
      <ns0:c r="E1792" s="31"/>
      <ns0:c r="F1792" s="32"/>
      <ns0:c r="G1792" s="29"/>
      <ns0:c r="H1792" s="29"/>
      <ns0:c r="I1792" s="29"/>
      <ns0:c r="J1792" s="29"/>
      <ns0:c r="K1792" s="29"/>
    </ns0:row>
    <ns0:row r="1793" ht="28" customHeight="1">
      <ns0:c r="A1793" s="29"/>
      <ns0:c r="B1793" s="30"/>
      <ns0:c r="C1793" s="28"/>
      <ns0:c r="D1793" s="29"/>
      <ns0:c r="E1793" s="31"/>
      <ns0:c r="F1793" s="32"/>
      <ns0:c r="G1793" s="29"/>
      <ns0:c r="H1793" s="29"/>
      <ns0:c r="I1793" s="29"/>
      <ns0:c r="J1793" s="29"/>
      <ns0:c r="K1793" s="29"/>
    </ns0:row>
    <ns0:row r="1794" ht="28" customHeight="1">
      <ns0:c r="A1794" s="29"/>
      <ns0:c r="B1794" s="30"/>
      <ns0:c r="C1794" s="28"/>
      <ns0:c r="D1794" s="29"/>
      <ns0:c r="E1794" s="31"/>
      <ns0:c r="F1794" s="32"/>
      <ns0:c r="G1794" s="29"/>
      <ns0:c r="H1794" s="29"/>
      <ns0:c r="I1794" s="29"/>
      <ns0:c r="J1794" s="29"/>
      <ns0:c r="K1794" s="29"/>
    </ns0:row>
    <ns0:row r="1795" ht="28" customHeight="1">
      <ns0:c r="A1795" s="29"/>
      <ns0:c r="B1795" s="30"/>
      <ns0:c r="C1795" s="28"/>
      <ns0:c r="D1795" s="29"/>
      <ns0:c r="E1795" s="31"/>
      <ns0:c r="F1795" s="32"/>
      <ns0:c r="G1795" s="29"/>
      <ns0:c r="H1795" s="29"/>
      <ns0:c r="I1795" s="29"/>
      <ns0:c r="J1795" s="29"/>
      <ns0:c r="K1795" s="29"/>
    </ns0:row>
    <ns0:row r="1796" ht="28" customHeight="1">
      <ns0:c r="A1796" s="29"/>
      <ns0:c r="B1796" s="30"/>
      <ns0:c r="C1796" s="28"/>
      <ns0:c r="D1796" s="29"/>
      <ns0:c r="E1796" s="31"/>
      <ns0:c r="F1796" s="32"/>
      <ns0:c r="G1796" s="29"/>
      <ns0:c r="H1796" s="29"/>
      <ns0:c r="I1796" s="29"/>
      <ns0:c r="J1796" s="29"/>
      <ns0:c r="K1796" s="29"/>
    </ns0:row>
    <ns0:row r="1797" ht="28" customHeight="1">
      <ns0:c r="A1797" s="29"/>
      <ns0:c r="B1797" s="30"/>
      <ns0:c r="C1797" s="28"/>
      <ns0:c r="D1797" s="29"/>
      <ns0:c r="E1797" s="31"/>
      <ns0:c r="F1797" s="32"/>
      <ns0:c r="G1797" s="29"/>
      <ns0:c r="H1797" s="29"/>
      <ns0:c r="I1797" s="29"/>
      <ns0:c r="J1797" s="29"/>
      <ns0:c r="K1797" s="29"/>
    </ns0:row>
    <ns0:row r="1798" ht="28" customHeight="1">
      <ns0:c r="A1798" s="29"/>
      <ns0:c r="B1798" s="30"/>
      <ns0:c r="C1798" s="28"/>
      <ns0:c r="D1798" s="29"/>
      <ns0:c r="E1798" s="31"/>
      <ns0:c r="F1798" s="32"/>
      <ns0:c r="G1798" s="29"/>
      <ns0:c r="H1798" s="29"/>
      <ns0:c r="I1798" s="29"/>
      <ns0:c r="J1798" s="29"/>
      <ns0:c r="K1798" s="29"/>
    </ns0:row>
    <ns0:row r="1799" ht="28" customHeight="1">
      <ns0:c r="A1799" s="29"/>
      <ns0:c r="B1799" s="30"/>
      <ns0:c r="C1799" s="28"/>
      <ns0:c r="D1799" s="29"/>
      <ns0:c r="E1799" s="31"/>
      <ns0:c r="F1799" s="32"/>
      <ns0:c r="G1799" s="29"/>
      <ns0:c r="H1799" s="29"/>
      <ns0:c r="I1799" s="29"/>
      <ns0:c r="J1799" s="29"/>
      <ns0:c r="K1799" s="29"/>
    </ns0:row>
    <ns0:row r="1800" ht="28" customHeight="1">
      <ns0:c r="A1800" s="29"/>
      <ns0:c r="B1800" s="30"/>
      <ns0:c r="C1800" s="28"/>
      <ns0:c r="D1800" s="29"/>
      <ns0:c r="E1800" s="31"/>
      <ns0:c r="F1800" s="32"/>
      <ns0:c r="G1800" s="29"/>
      <ns0:c r="H1800" s="29"/>
      <ns0:c r="I1800" s="29"/>
      <ns0:c r="J1800" s="29"/>
      <ns0:c r="K1800" s="29"/>
    </ns0:row>
    <ns0:row r="1801" ht="28" customHeight="1">
      <ns0:c r="A1801" s="29"/>
      <ns0:c r="B1801" s="30"/>
      <ns0:c r="C1801" s="28"/>
      <ns0:c r="D1801" s="29"/>
      <ns0:c r="E1801" s="31"/>
      <ns0:c r="F1801" s="32"/>
      <ns0:c r="G1801" s="29"/>
      <ns0:c r="H1801" s="29"/>
      <ns0:c r="I1801" s="29"/>
      <ns0:c r="J1801" s="29"/>
      <ns0:c r="K1801" s="29"/>
    </ns0:row>
    <ns0:row r="1802" ht="28" customHeight="1">
      <ns0:c r="A1802" s="29"/>
      <ns0:c r="B1802" s="30"/>
      <ns0:c r="C1802" s="28"/>
      <ns0:c r="D1802" s="29"/>
      <ns0:c r="E1802" s="31"/>
      <ns0:c r="F1802" s="32"/>
      <ns0:c r="G1802" s="29"/>
      <ns0:c r="H1802" s="29"/>
      <ns0:c r="I1802" s="29"/>
      <ns0:c r="J1802" s="29"/>
      <ns0:c r="K1802" s="29"/>
    </ns0:row>
    <ns0:row r="1803" ht="28" customHeight="1">
      <ns0:c r="A1803" s="29"/>
      <ns0:c r="B1803" s="30"/>
      <ns0:c r="C1803" s="28"/>
      <ns0:c r="D1803" s="29"/>
      <ns0:c r="E1803" s="31"/>
      <ns0:c r="F1803" s="32"/>
      <ns0:c r="G1803" s="29"/>
      <ns0:c r="H1803" s="29"/>
      <ns0:c r="I1803" s="29"/>
      <ns0:c r="J1803" s="29"/>
      <ns0:c r="K1803" s="29"/>
    </ns0:row>
    <ns0:row r="1804" ht="28" customHeight="1">
      <ns0:c r="A1804" s="29"/>
      <ns0:c r="B1804" s="30"/>
      <ns0:c r="C1804" s="28"/>
      <ns0:c r="D1804" s="29"/>
      <ns0:c r="E1804" s="31"/>
      <ns0:c r="F1804" s="32"/>
      <ns0:c r="G1804" s="29"/>
      <ns0:c r="H1804" s="29"/>
      <ns0:c r="I1804" s="29"/>
      <ns0:c r="J1804" s="29"/>
      <ns0:c r="K1804" s="29"/>
    </ns0:row>
  </ns0:sheetData>
  <ns0:mergeCells>
    <ns0:mergeCell ref="A2:F2"/>
    <ns0:mergeCell ref="G2:H2"/>
    <ns0:mergeCell ref="B7:C7"/>
    <ns0:mergeCell ref="A6:H6"/>
    <ns0:mergeCell ref="D7:H7"/>
    <ns0:mergeCell ref="A8:H8"/>
  </ns0:mergeCells>
  <ns0:dataValidations count="4">
    <ns0:dataValidation type="list" sqref="B3">
      <ns0:formula1>",IF,IH,IC,IM"</ns0:formula1>
    </ns0:dataValidation>
    <ns0:dataValidation type="list" sqref="E4">
      <ns0:formula1>"相同到期,全部期限,不同到期"</ns0:formula1>
    </ns0:dataValidation>
    <ns0:dataValidation type="list" sqref="B5">
      <ns0:formula1>"4,6,12,24"</ns0:formula1>
    </ns0:dataValidation>
    <ns0:dataValidation type="list" sqref="B7">
      <ns0:formula1>'合约选项'!$E$7:$E$10</ns0:formula1>
    </ns0:dataValidation>
  </ns0:dataValidations>
  <ns0:hyperlinks>
    <ns0:hyperlink ref="G2" location="'期现'!A1" display="返回研究结果"/>
  </ns0:hyperlink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Pr>
    <ns0:tabColor rgb="FF087E8B"/>
  </ns0:sheetPr>
  <ns0:sheetViews>
    <ns0:sheetView showGridLines="0" workbookViewId="0">
      <ns0:pane ySplit="9" topLeftCell="A10" activePane="bottomLeft" state="frozen"/>
    </ns0:sheetView>
  </ns0:sheetViews>
  <ns0:sheetFormatPr defaultRowHeight="15"/>
  <ns0:cols>
    <ns0:col min="1" max="1" width="28" hidden="0" customWidth="1"/>
    <ns0:col min="2" max="2" width="17" hidden="0" customWidth="1"/>
    <ns0:col min="3" max="3" width="14" hidden="0" customWidth="1"/>
    <ns0:col min="4" max="4" width="21" hidden="0" customWidth="1"/>
    <ns0:col min="5" max="5" width="7" hidden="0" customWidth="1"/>
    <ns0:col min="6" max="6" width="30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30" customHeight="1">
      <ns0:c r="A2" s="3" t="str">
        <ns0:v>DELTA1  同品种跨期</ns0:v>
      </ns0:c>
      <ns0:c r="B2" s="2"/>
      <ns0:c r="C2" s="2"/>
      <ns0:c r="D2" s="2"/>
      <ns0:c r="E2" s="2"/>
      <ns0:c r="F2" s="2"/>
    </ns0:row>
    <ns0:row r="3" ht="32" customHeight="1">
      <ns0:c r="A3" s="2" t="str">
        <ns0:v>指标</ns0:v>
      </ns0:c>
      <ns0:c r="B3" s="6" t="str">
        <ns0:v>合约对历史分位</ns0:v>
      </ns0:c>
      <ns0:c r="C3" s="6"/>
      <ns0:c r="D3" s="2" t="str">
        <ns0:v>输入 X</ns0:v>
      </ns0:c>
      <ns0:c r="E3" s="6" t="str">
        <ns0:v>分红调整跨期基差（bp）</ns0:v>
      </ns0:c>
      <ns0:c r="F3" s="6"/>
    </ns0:row>
    <ns0:row r="4" ht="22" customHeight="1">
      <ns0:c r="A4" s="2" t="str">
        <ns0:v>观察时点</ns0:v>
      </ns0:c>
      <ns0:c r="B4" s="5" t="str">
        <ns0:v>日终</ns0:v>
      </ns0:c>
      <ns0:c r="C4" s="5"/>
      <ns0:c r="D4" s="2" t="str">
        <ns0:v>观察范围</ns0:v>
      </ns0:c>
      <ns0:c r="E4" s="5" t="str">
        <ns0:v>默认代表</ns0:v>
      </ns0:c>
      <ns0:c r="F4" s="5"/>
    </ns0:row>
    <ns0:row r="5" ht="22" customHeight="1">
      <ns0:c r="A5" s="2" t="str">
        <ns0:v>未连接。请使用原启动器打开维护中的工作簿。</ns0:v>
      </ns0:c>
      <ns0:c r="B5" s="2"/>
      <ns0:c r="C5" s="2"/>
      <ns0:c r="D5" s="2"/>
      <ns0:c r="E5" s="2"/>
      <ns0:c r="F5" s="2"/>
    </ns0:row>
    <ns0:row r="6" ht="30" customHeight="1">
      <ns0:c r="A6" s="2" t="str">
        <ns0:v>等待当前指标结果</ns0:v>
      </ns0:c>
      <ns0:c r="B6" s="2"/>
      <ns0:c r="C6" s="2"/>
      <ns0:c r="D6" s="2"/>
      <ns0:c r="E6" s="2"/>
      <ns0:c r="F6" s="2"/>
    </ns0:row>
    <ns0:row r="7" ht="22" customHeight="1">
      <ns0:c r="A7" s="4" t="str">
        <ns0:v>展开详情 / 高级筛选</ns0:v>
      </ns0:c>
      <ns0:c r="B7" s="4"/>
      <ns0:c r="C7" s="4" t="str">
        <ns0:v>全部指标 / 更多口径</ns0:v>
      </ns0:c>
      <ns0:c r="D7" s="4"/>
      <ns0:c r="E7" s="4" t="str">
        <ns0:v>对应指数看板</ns0:v>
      </ns0:c>
      <ns0:c r="F7" s="4"/>
    </ns0:row>
    <ns0:row r="8" ht="22" customHeight="1">
      <ns0:c r="A8" s="2"/>
      <ns0:c r="B8" s="2"/>
      <ns0:c r="C8" s="2"/>
      <ns0:c r="D8" s="2"/>
      <ns0:c r="E8" s="2"/>
      <ns0:c r="F8" s="2"/>
    </ns0:row>
    <ns0:row r="9" ht="26" customHeight="1">
      <ns0:c r="A9" s="8" t="str">
        <ns0:v>代表 / 合约</ns0:v>
      </ns0:c>
      <ns0:c r="B9" s="8" t="str">
        <ns0:v>数值</ns0:v>
      </ns0:c>
      <ns0:c r="C9" s="18" t="str">
        <ns0:v>单位</ns0:v>
      </ns0:c>
      <ns0:c r="D9" s="8" t="str">
        <ns0:v>源时（北京）</ns0:v>
      </ns0:c>
      <ns0:c r="E9" s="18" t="str">
        <ns0:v>有效 n</ns0:v>
      </ns0:c>
      <ns0:c r="F9" s="8" t="str">
        <ns0:v>数据状态</ns0:v>
      </ns0:c>
    </ns0:row>
    <ns0:row r="10" ht="32" customHeight="1">
      <ns0:c r="A10" s="10"/>
      <ns0:c r="B10" s="12"/>
      <ns0:c r="C10" s="21"/>
      <ns0:c r="D10" s="14"/>
      <ns0:c r="E10" s="23"/>
      <ns0:c r="F10" s="10"/>
    </ns0:row>
    <ns0:row r="11" ht="32" customHeight="1">
      <ns0:c r="A11" s="9"/>
      <ns0:c r="B11" s="13"/>
      <ns0:c r="C11" s="22"/>
      <ns0:c r="D11" s="15"/>
      <ns0:c r="E11" s="24"/>
      <ns0:c r="F11" s="9"/>
    </ns0:row>
    <ns0:row r="12" ht="32" customHeight="1">
      <ns0:c r="A12" s="10"/>
      <ns0:c r="B12" s="12"/>
      <ns0:c r="C12" s="21"/>
      <ns0:c r="D12" s="14"/>
      <ns0:c r="E12" s="23"/>
      <ns0:c r="F12" s="10"/>
    </ns0:row>
    <ns0:row r="13" ht="32" customHeight="1">
      <ns0:c r="A13" s="9"/>
      <ns0:c r="B13" s="13"/>
      <ns0:c r="C13" s="22"/>
      <ns0:c r="D13" s="15"/>
      <ns0:c r="E13" s="24"/>
      <ns0:c r="F13" s="9"/>
    </ns0:row>
    <ns0:row r="14" ht="32" customHeight="1">
      <ns0:c r="A14" s="10"/>
      <ns0:c r="B14" s="12"/>
      <ns0:c r="C14" s="21"/>
      <ns0:c r="D14" s="14"/>
      <ns0:c r="E14" s="23"/>
      <ns0:c r="F14" s="10"/>
    </ns0:row>
    <ns0:row r="15" ht="32" customHeight="1">
      <ns0:c r="A15" s="9"/>
      <ns0:c r="B15" s="13"/>
      <ns0:c r="C15" s="22"/>
      <ns0:c r="D15" s="15"/>
      <ns0:c r="E15" s="24"/>
      <ns0:c r="F15" s="9"/>
    </ns0:row>
    <ns0:row r="16" ht="32" customHeight="1">
      <ns0:c r="A16" s="10"/>
      <ns0:c r="B16" s="12"/>
      <ns0:c r="C16" s="21"/>
      <ns0:c r="D16" s="14"/>
      <ns0:c r="E16" s="23"/>
      <ns0:c r="F16" s="10"/>
    </ns0:row>
    <ns0:row r="17" ht="32" customHeight="1">
      <ns0:c r="A17" s="9"/>
      <ns0:c r="B17" s="13"/>
      <ns0:c r="C17" s="22"/>
      <ns0:c r="D17" s="15"/>
      <ns0:c r="E17" s="24"/>
      <ns0:c r="F17" s="9"/>
    </ns0:row>
    <ns0:row r="18" ht="32" customHeight="1">
      <ns0:c r="A18" s="10"/>
      <ns0:c r="B18" s="12"/>
      <ns0:c r="C18" s="21"/>
      <ns0:c r="D18" s="14"/>
      <ns0:c r="E18" s="23"/>
      <ns0:c r="F18" s="10"/>
    </ns0:row>
    <ns0:row r="19" ht="32" customHeight="1">
      <ns0:c r="A19" s="9"/>
      <ns0:c r="B19" s="13"/>
      <ns0:c r="C19" s="22"/>
      <ns0:c r="D19" s="15"/>
      <ns0:c r="E19" s="24"/>
      <ns0:c r="F19" s="9"/>
    </ns0:row>
    <ns0:row r="20" ht="32" customHeight="1">
      <ns0:c r="A20" s="10"/>
      <ns0:c r="B20" s="12"/>
      <ns0:c r="C20" s="21"/>
      <ns0:c r="D20" s="14"/>
      <ns0:c r="E20" s="23"/>
      <ns0:c r="F20" s="10"/>
    </ns0:row>
    <ns0:row r="21" ht="32" customHeight="1">
      <ns0:c r="A21" s="9"/>
      <ns0:c r="B21" s="13"/>
      <ns0:c r="C21" s="22"/>
      <ns0:c r="D21" s="15"/>
      <ns0:c r="E21" s="24"/>
      <ns0:c r="F21" s="9"/>
    </ns0:row>
    <ns0:row r="22" ht="32" customHeight="1">
      <ns0:c r="A22" s="10"/>
      <ns0:c r="B22" s="12"/>
      <ns0:c r="C22" s="21"/>
      <ns0:c r="D22" s="14"/>
      <ns0:c r="E22" s="23"/>
      <ns0:c r="F22" s="10"/>
    </ns0:row>
    <ns0:row r="23" ht="32" customHeight="1">
      <ns0:c r="A23" s="9"/>
      <ns0:c r="B23" s="13"/>
      <ns0:c r="C23" s="22"/>
      <ns0:c r="D23" s="15"/>
      <ns0:c r="E23" s="24"/>
      <ns0:c r="F23" s="9"/>
    </ns0:row>
    <ns0:row r="24" ht="32" customHeight="1">
      <ns0:c r="A24" s="10"/>
      <ns0:c r="B24" s="12"/>
      <ns0:c r="C24" s="21"/>
      <ns0:c r="D24" s="14"/>
      <ns0:c r="E24" s="23"/>
      <ns0:c r="F24" s="10"/>
    </ns0:row>
    <ns0:row r="25" ht="32" customHeight="1">
      <ns0:c r="A25" s="9"/>
      <ns0:c r="B25" s="13"/>
      <ns0:c r="C25" s="22"/>
      <ns0:c r="D25" s="15"/>
      <ns0:c r="E25" s="24"/>
      <ns0:c r="F25" s="9"/>
    </ns0:row>
    <ns0:row r="26" ht="32" customHeight="1">
      <ns0:c r="A26" s="10"/>
      <ns0:c r="B26" s="12"/>
      <ns0:c r="C26" s="21"/>
      <ns0:c r="D26" s="14"/>
      <ns0:c r="E26" s="23"/>
      <ns0:c r="F26" s="10"/>
    </ns0:row>
    <ns0:row r="27" ht="32" customHeight="1">
      <ns0:c r="A27" s="9"/>
      <ns0:c r="B27" s="13"/>
      <ns0:c r="C27" s="22"/>
      <ns0:c r="D27" s="15"/>
      <ns0:c r="E27" s="24"/>
      <ns0:c r="F27" s="9"/>
    </ns0:row>
    <ns0:row r="28" ht="32" customHeight="1">
      <ns0:c r="A28" s="10"/>
      <ns0:c r="B28" s="12"/>
      <ns0:c r="C28" s="21"/>
      <ns0:c r="D28" s="14"/>
      <ns0:c r="E28" s="23"/>
      <ns0:c r="F28" s="10"/>
    </ns0:row>
    <ns0:row r="29" ht="32" customHeight="1">
      <ns0:c r="A29" s="9"/>
      <ns0:c r="B29" s="13"/>
      <ns0:c r="C29" s="22"/>
      <ns0:c r="D29" s="15"/>
      <ns0:c r="E29" s="24"/>
      <ns0:c r="F29" s="9"/>
    </ns0:row>
    <ns0:row r="30" ht="32" customHeight="1">
      <ns0:c r="A30" s="10"/>
      <ns0:c r="B30" s="12"/>
      <ns0:c r="C30" s="21"/>
      <ns0:c r="D30" s="14"/>
      <ns0:c r="E30" s="23"/>
      <ns0:c r="F30" s="10"/>
    </ns0:row>
    <ns0:row r="31" ht="32" customHeight="1">
      <ns0:c r="A31" s="9"/>
      <ns0:c r="B31" s="13"/>
      <ns0:c r="C31" s="22"/>
      <ns0:c r="D31" s="15"/>
      <ns0:c r="E31" s="24"/>
      <ns0:c r="F31" s="9"/>
    </ns0:row>
    <ns0:row r="32" ht="32" customHeight="1">
      <ns0:c r="A32" s="10"/>
      <ns0:c r="B32" s="12"/>
      <ns0:c r="C32" s="21"/>
      <ns0:c r="D32" s="14"/>
      <ns0:c r="E32" s="23"/>
      <ns0:c r="F32" s="10"/>
    </ns0:row>
    <ns0:row r="33" ht="32" customHeight="1">
      <ns0:c r="A33" s="9"/>
      <ns0:c r="B33" s="13"/>
      <ns0:c r="C33" s="22"/>
      <ns0:c r="D33" s="15"/>
      <ns0:c r="E33" s="24"/>
      <ns0:c r="F33" s="9"/>
    </ns0:row>
    <ns0:row r="34" ht="22" customHeight="1">
      <ns0:c r="A34" s="2"/>
      <ns0:c r="B34" s="2"/>
      <ns0:c r="C34" s="2"/>
      <ns0:c r="D34" s="2"/>
      <ns0:c r="E34" s="2"/>
      <ns0:c r="F34" s="2"/>
    </ns0:row>
    <ns0:row r="35" ht="22" customHeight="1">
      <ns0:c r="A35" s="25" t="str">
        <ns0:v>黄色格可编辑。默认代表为 T−1 证据选择；源时与历史可见性详见详情。</ns0:v>
      </ns0:c>
      <ns0:c r="B35" s="25"/>
      <ns0:c r="C35" s="25"/>
      <ns0:c r="D35" s="25"/>
      <ns0:c r="E35" s="25"/>
      <ns0:c r="F35" s="25"/>
    </ns0:row>
    <ns0:row r="36" ht="22" customHeight="1">
      <ns0:c r="A36" s="25" t="str">
        <ns0:v>更多口径请在输入 X 选“更多口径”，再到详情页选择具体原始 / 对数口径。</ns0:v>
      </ns0:c>
      <ns0:c r="B36" s="25"/>
      <ns0:c r="C36" s="25"/>
      <ns0:c r="D36" s="25"/>
      <ns0:c r="E36" s="25"/>
      <ns0:c r="F36" s="25"/>
    </ns0:row>
    <ns0:row r="37" ht="22" customHeight="1">
      <ns0:c r="A37" s="2"/>
      <ns0:c r="B37" s="2"/>
      <ns0:c r="C37" s="2"/>
      <ns0:c r="D37" s="2"/>
      <ns0:c r="E37" s="2"/>
      <ns0:c r="F37" s="2"/>
    </ns0:row>
    <ns0:row r="38" ht="22" customHeight="1">
      <ns0:c r="A38" s="2"/>
      <ns0:c r="B38" s="2"/>
      <ns0:c r="C38" s="2"/>
      <ns0:c r="D38" s="2"/>
      <ns0:c r="E38" s="2"/>
      <ns0:c r="F38" s="2"/>
    </ns0:row>
    <ns0:row r="39" ht="22" customHeight="1">
      <ns0:c r="A39" s="2"/>
      <ns0:c r="B39" s="2"/>
      <ns0:c r="C39" s="2"/>
      <ns0:c r="D39" s="2"/>
      <ns0:c r="E39" s="2"/>
      <ns0:c r="F39" s="2"/>
    </ns0:row>
    <ns0:row r="40" ht="22" customHeight="1">
      <ns0:c r="A40" s="2"/>
      <ns0:c r="B40" s="2"/>
      <ns0:c r="C40" s="2"/>
      <ns0:c r="D40" s="2"/>
      <ns0:c r="E40" s="2"/>
      <ns0:c r="F40" s="2"/>
    </ns0:row>
    <ns0:row r="41" ht="22" customHeight="1">
      <ns0:c r="A41" s="2"/>
      <ns0:c r="B41" s="2"/>
      <ns0:c r="C41" s="2"/>
      <ns0:c r="D41" s="2"/>
      <ns0:c r="E41" s="2"/>
      <ns0:c r="F41" s="2"/>
    </ns0:row>
    <ns0:row r="42" ht="22" customHeight="1">
      <ns0:c r="A42" s="2"/>
      <ns0:c r="B42" s="2"/>
      <ns0:c r="C42" s="2"/>
      <ns0:c r="D42" s="2"/>
      <ns0:c r="E42" s="2"/>
      <ns0:c r="F42" s="2"/>
    </ns0:row>
  </ns0:sheetData>
  <ns0:mergeCells>
    <ns0:mergeCell ref="A2:F2"/>
    <ns0:mergeCell ref="B3:C3"/>
    <ns0:mergeCell ref="E3:F3"/>
    <ns0:mergeCell ref="B4:C4"/>
    <ns0:mergeCell ref="E4:F4"/>
    <ns0:mergeCell ref="A5:F5"/>
    <ns0:mergeCell ref="A6:F6"/>
    <ns0:mergeCell ref="A7:B7"/>
    <ns0:mergeCell ref="C7:D7"/>
    <ns0:mergeCell ref="E7:F7"/>
    <ns0:mergeCell ref="A35:F35"/>
    <ns0:mergeCell ref="A36:F36"/>
  </ns0:mergeCells>
  <ns0:dataValidations count="4">
    <ns0:dataValidation type="list" sqref="B4">
      <ns0:formula1>"日终,盘中优先,历史日"</ns0:formula1>
    </ns0:dataValidation>
    <ns0:dataValidation type="list" sqref="E4">
      <ns0:formula1>"默认代表,全部合约,历史合约,指定合约"</ns0:formula1>
    </ns0:dataValidation>
    <ns0:dataValidation type="list" sqref="E3">
      <ns0:formula1>"跨期价差 close（近−远）,分红调整跨期基差（bp）,分红调整期限持有率（年化）,更多口径,固定口径"</ns0:formula1>
    </ns0:dataValidation>
    <ns0:dataValidation type="list" sqref="B3">
      <ns0:formula1>'合约选项'!$C$7:$C$36</ns0:formula1>
    </ns0:dataValidation>
  </ns0:dataValidations>
  <ns0:hyperlinks>
    <ns0:hyperlink ref="A7" location="'同品种跨期详情'!A1" display="展开详情 / 高级筛选"/>
    <ns0:hyperlink ref="C7" location="'指标目录'!A1" display="全部指标 / 更多口径"/>
    <ns0:hyperlink ref="E7" location="'概览'!A1" display="对应指数看板"/>
  </ns0:hyperlink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Pr>
    <ns0:tabColor rgb="FF94A3B8"/>
  </ns0:sheetPr>
  <ns0:sheetViews>
    <ns0:sheetView showGridLines="0" workbookViewId="0">
      <ns0:pane ySplit="14" topLeftCell="A15" activePane="bottomLeft" state="frozen"/>
    </ns0:sheetView>
  </ns0:sheetViews>
  <ns0:sheetFormatPr defaultRowHeight="15"/>
  <ns0:cols>
    <ns0:col min="1" max="1" width="36" hidden="0" customWidth="1"/>
    <ns0:col min="2" max="2" width="22" hidden="0" customWidth="1"/>
    <ns0:col min="3" max="3" width="14" hidden="0" customWidth="1"/>
    <ns0:col min="4" max="4" width="28" hidden="0" customWidth="1"/>
    <ns0:col min="5" max="5" width="23" hidden="0" customWidth="1"/>
    <ns0:col min="6" max="6" width="8" hidden="0" customWidth="1"/>
    <ns0:col min="7" max="7" width="17" hidden="0" customWidth="1"/>
    <ns0:col min="8" max="8" width="24" hidden="0" customWidth="1"/>
    <ns0:col min="9" max="9" width="48" hidden="0" customWidth="1"/>
    <ns0:col min="10" max="10" width="50" hidden="0" customWidth="1"/>
    <ns0:col min="11" max="11" width="5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</ns0:row>
    <ns0:row r="2" ht="22" customHeight="1">
      <ns0:c r="A2" s="3" t="str">
        <ns0:v>同品种跨期 · 详情与高级筛选</ns0:v>
      </ns0:c>
      <ns0:c r="B2" s="2"/>
      <ns0:c r="C2" s="2"/>
      <ns0:c r="D2" s="2"/>
      <ns0:c r="E2" s="2"/>
      <ns0:c r="F2" s="2"/>
      <ns0:c r="G2" s="4" t="str">
        <ns0:v>返回研究结果</ns0:v>
      </ns0:c>
      <ns0:c r="H2" s="4"/>
      <ns0:c r="I2" s="2"/>
      <ns0:c r="J2" s="2"/>
      <ns0:c r="K2" s="2"/>
    </ns0:row>
    <ns0:row r="3" ht="22" customHeight="1">
      <ns0:c r="A3" s="2" t="str">
        <ns0:v>品种</ns0:v>
      </ns0:c>
      <ns0:c r="B3" s="5" t="str"/>
      <ns0:c r="C3" s="2"/>
      <ns0:c r="D3" s="2" t="str">
        <ns0:v>合约 A</ns0:v>
      </ns0:c>
      <ns0:c r="E3" s="5" t="str"/>
      <ns0:c r="F3" s="2"/>
      <ns0:c r="G3" s="2" t="str">
        <ns0:v>合约 B</ns0:v>
      </ns0:c>
      <ns0:c r="H3" s="5" t="str"/>
      <ns0:c r="I3" s="2"/>
      <ns0:c r="J3" s="2"/>
      <ns0:c r="K3" s="2"/>
    </ns0:row>
    <ns0:row r="4" ht="22" customHeight="1">
      <ns0:c r="A4" s="2" t="str">
        <ns0:v>历史日期</ns0:v>
      </ns0:c>
      <ns0:c r="B4" s="26" t="str"/>
      <ns0:c r="C4" s="2"/>
      <ns0:c r="D4" s="2" t="str">
        <ns0:v>期限</ns0:v>
      </ns0:c>
      <ns0:c r="E4" s="5" t="str">
        <ns0:v>全部期限</ns0:v>
      </ns0:c>
      <ns0:c r="F4" s="2"/>
      <ns0:c r="G4" s="2" t="str">
        <ns0:v>起始序号</ns0:v>
      </ns0:c>
      <ns0:c r="H4" s="5" t="n">
        <ns0:v>0</ns0:v>
      </ns0:c>
      <ns0:c r="I4" s="2"/>
      <ns0:c r="J4" s="2"/>
      <ns0:c r="K4" s="2"/>
    </ns0:row>
    <ns0:row r="5" ht="22" customHeight="1">
      <ns0:c r="A5" s="2" t="str">
        <ns0:v>每页实体</ns0:v>
      </ns0:c>
      <ns0:c r="B5" s="5" t="n">
        <ns0:v>12</ns0:v>
      </ns0:c>
      <ns0:c r="C5" s="2"/>
      <ns0:c r="D5" s="2" t="str">
        <ns0:v>参与比例 p</ns0:v>
      </ns0:c>
      <ns0:c r="E5" s="27"/>
      <ns0:c r="F5" s="2"/>
      <ns0:c r="G5" s="2"/>
      <ns0:c r="H5" s="2"/>
      <ns0:c r="I5" s="2"/>
      <ns0:c r="J5" s="2"/>
      <ns0:c r="K5" s="2"/>
    </ns0:row>
    <ns0:row r="6" ht="22" customHeight="1">
      <ns0:c r="A6" s="2" t="str">
        <ns0:v>p 只用于容量演算，空白不计算；合法 0 保留。指定腿、历史日期和分页仅在相应范围生效。</ns0:v>
      </ns0:c>
      <ns0:c r="B6" s="2"/>
      <ns0:c r="C6" s="2"/>
      <ns0:c r="D6" s="2"/>
      <ns0:c r="E6" s="2"/>
      <ns0:c r="F6" s="2"/>
      <ns0:c r="G6" s="2"/>
      <ns0:c r="H6" s="2"/>
      <ns0:c r="I6" s="2"/>
      <ns0:c r="J6" s="2"/>
      <ns0:c r="K6" s="2"/>
    </ns0:row>
    <ns0:row r="7" ht="32" customHeight="1">
      <ns0:c r="A7" s="2" t="str">
        <ns0:v>更多口径</ns0:v>
      </ns0:c>
      <ns0:c r="B7" s="6" t="str">
        <ns0:v>未调整跨期基差（bp）</ns0:v>
      </ns0:c>
      <ns0:c r="C7" s="6"/>
      <ns0:c r="D7" s="9" t="str">
        <ns0:v>close 取日终收盘；盘中优先使用实际最新价，源时单列显示。</ns0:v>
      </ns0:c>
      <ns0:c r="E7" s="9"/>
      <ns0:c r="F7" s="9"/>
      <ns0:c r="G7" s="9"/>
      <ns0:c r="H7" s="9"/>
      <ns0:c r="I7" s="2"/>
      <ns0:c r="J7" s="2"/>
      <ns0:c r="K7" s="2"/>
    </ns0:row>
    <ns0:row r="8" ht="22" customHeight="1">
      <ns0:c r="A8" s="2" t="str">
        <ns0:v>当前选择 / 固定口径 / 完整缺失原因</ns0:v>
      </ns0:c>
      <ns0:c r="B8" s="2"/>
      <ns0:c r="C8" s="2"/>
      <ns0:c r="D8" s="2"/>
      <ns0:c r="E8" s="2"/>
      <ns0:c r="F8" s="2"/>
      <ns0:c r="G8" s="2"/>
      <ns0:c r="H8" s="2"/>
      <ns0:c r="I8" s="2"/>
      <ns0:c r="J8" s="2"/>
      <ns0:c r="K8" s="2"/>
    </ns0:row>
    <ns0:row r="9" ht="48" customHeight="1">
      <ns0:c r="A9" s="10" t="str">
        <ns0:v>双腿构造：A=近月，B=远月。X=10000 × [(F近+D近)−(F远+D远)] / S。</ns0:v>
      </ns0:c>
      <ns0:c r="B9" s="10"/>
      <ns0:c r="C9" s="10"/>
      <ns0:c r="D9" s="10"/>
      <ns0:c r="E9" s="10"/>
      <ns0:c r="F9" s="10"/>
      <ns0:c r="G9" s="10"/>
      <ns0:c r="H9" s="10"/>
      <ns0:c r="I9" s="2"/>
      <ns0:c r="J9" s="2"/>
      <ns0:c r="K9" s="2"/>
    </ns0:row>
    <ns0:row r="10" ht="34" customHeight="1">
      <ns0:c r="A10" s="10" t="str">
        <ns0:v>方向与单位：0—100%；高分位表示当前X处于自身近期较高位置，不直接代表收益方向。</ns0:v>
      </ns0:c>
      <ns0:c r="B10" s="10"/>
      <ns0:c r="C10" s="10"/>
      <ns0:c r="D10" s="10"/>
      <ns0:c r="E10" s="10"/>
      <ns0:c r="F10" s="10"/>
      <ns0:c r="G10" s="10"/>
      <ns0:c r="H10" s="10"/>
      <ns0:c r="I10" s="2"/>
      <ns0:c r="J10" s="2"/>
      <ns0:c r="K10" s="2"/>
    </ns0:row>
    <ns0:row r="11" ht="34" customHeight="1">
      <ns0:c r="A11" s="10" t="str">
        <ns0:v>指标意义：将当前X放入此前20期自身分布，历史相等值计半权。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B11" s="10"/>
      <ns0:c r="C11" s="10"/>
      <ns0:c r="D11" s="10"/>
      <ns0:c r="E11" s="10"/>
      <ns0:c r="F11" s="10"/>
      <ns0:c r="G11" s="10"/>
      <ns0:c r="H11" s="10"/>
      <ns0:c r="I11" s="2"/>
      <ns0:c r="J11" s="2"/>
      <ns0:c r="K11" s="2"/>
    </ns0:row>
    <ns0:row r="12" ht="48" customHeight="1">
      <ns0:c r="A12" s="10" t="str">
        <ns0:v>使用限制：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B12" s="10"/>
      <ns0:c r="C12" s="10"/>
      <ns0:c r="D12" s="10"/>
      <ns0:c r="E12" s="10"/>
      <ns0:c r="F12" s="10"/>
      <ns0:c r="G12" s="10"/>
      <ns0:c r="H12" s="10"/>
      <ns0:c r="I12" s="2"/>
      <ns0:c r="J12" s="2"/>
      <ns0:c r="K12" s="2"/>
    </ns0:row>
    <ns0:row r="13" ht="22" customHeight="1">
      <ns0:c r="A13" s="2"/>
      <ns0:c r="B13" s="2"/>
      <ns0:c r="C13" s="2"/>
      <ns0:c r="D13" s="2"/>
      <ns0:c r="E13" s="2"/>
      <ns0:c r="F13" s="2"/>
      <ns0:c r="G13" s="2"/>
      <ns0:c r="H13" s="2"/>
      <ns0:c r="I13" s="2"/>
      <ns0:c r="J13" s="2"/>
      <ns0:c r="K13" s="2"/>
    </ns0:row>
    <ns0:row r="14" ht="28" customHeight="1">
      <ns0:c r="A14" s="8" t="str">
        <ns0:v>主辅 / 实体 / 指标</ns0:v>
      </ns0:c>
      <ns0:c r="B14" s="8" t="str">
        <ns0:v>值</ns0:v>
      </ns0:c>
      <ns0:c r="C14" s="8" t="str">
        <ns0:v>单位</ns0:v>
      </ns0:c>
      <ns0:c r="D14" s="8" t="str">
        <ns0:v>各腿源时</ns0:v>
      </ns0:c>
      <ns0:c r="E14" s="8" t="str">
        <ns0:v>历史截止</ns0:v>
      </ns0:c>
      <ns0:c r="F14" s="8" t="str">
        <ns0:v>n</ns0:v>
      </ns0:c>
      <ns0:c r="G14" s="8" t="str">
        <ns0:v>实现状态</ns0:v>
      </ns0:c>
      <ns0:c r="H14" s="8" t="str">
        <ns0:v>数据状态</ns0:v>
      </ns0:c>
      <ns0:c r="I14" s="8" t="str">
        <ns0:v>输入 / 公式版本</ns0:v>
      </ns0:c>
      <ns0:c r="J14" s="8" t="str">
        <ns0:v>原因 / 代表依据</ns0:v>
      </ns0:c>
      <ns0:c r="K14" s="8" t="str">
        <ns0:v>双腿构造 / 公式</ns0:v>
      </ns0:c>
    </ns0:row>
    <ns0:row r="15" ht="28" customHeight="1">
      <ns0:c r="A15" s="29"/>
      <ns0:c r="B15" s="30"/>
      <ns0:c r="C15" s="28"/>
      <ns0:c r="D15" s="29"/>
      <ns0:c r="E15" s="31"/>
      <ns0:c r="F15" s="32"/>
      <ns0:c r="G15" s="29"/>
      <ns0:c r="H15" s="29"/>
      <ns0:c r="I15" s="29"/>
      <ns0:c r="J15" s="29"/>
      <ns0:c r="K15" s="29"/>
    </ns0:row>
    <ns0:row r="16" ht="28" customHeight="1">
      <ns0:c r="A16" s="29"/>
      <ns0:c r="B16" s="30"/>
      <ns0:c r="C16" s="28"/>
      <ns0:c r="D16" s="29"/>
      <ns0:c r="E16" s="31"/>
      <ns0:c r="F16" s="32"/>
      <ns0:c r="G16" s="29"/>
      <ns0:c r="H16" s="29"/>
      <ns0:c r="I16" s="29"/>
      <ns0:c r="J16" s="29"/>
      <ns0:c r="K16" s="29"/>
    </ns0:row>
    <ns0:row r="17" ht="28" customHeight="1">
      <ns0:c r="A17" s="29"/>
      <ns0:c r="B17" s="30"/>
      <ns0:c r="C17" s="28"/>
      <ns0:c r="D17" s="29"/>
      <ns0:c r="E17" s="31"/>
      <ns0:c r="F17" s="32"/>
      <ns0:c r="G17" s="29"/>
      <ns0:c r="H17" s="29"/>
      <ns0:c r="I17" s="29"/>
      <ns0:c r="J17" s="29"/>
      <ns0:c r="K17" s="29"/>
    </ns0:row>
    <ns0:row r="18" ht="28" customHeight="1">
      <ns0:c r="A18" s="29"/>
      <ns0:c r="B18" s="30"/>
      <ns0:c r="C18" s="28"/>
      <ns0:c r="D18" s="29"/>
      <ns0:c r="E18" s="31"/>
      <ns0:c r="F18" s="32"/>
      <ns0:c r="G18" s="29"/>
      <ns0:c r="H18" s="29"/>
      <ns0:c r="I18" s="29"/>
      <ns0:c r="J18" s="29"/>
      <ns0:c r="K18" s="29"/>
    </ns0:row>
    <ns0:row r="19" ht="28" customHeight="1">
      <ns0:c r="A19" s="29"/>
      <ns0:c r="B19" s="30"/>
      <ns0:c r="C19" s="28"/>
      <ns0:c r="D19" s="29"/>
      <ns0:c r="E19" s="31"/>
      <ns0:c r="F19" s="32"/>
      <ns0:c r="G19" s="29"/>
      <ns0:c r="H19" s="29"/>
      <ns0:c r="I19" s="29"/>
      <ns0:c r="J19" s="29"/>
      <ns0:c r="K19" s="29"/>
    </ns0:row>
    <ns0:row r="20" ht="28" customHeight="1">
      <ns0:c r="A20" s="29"/>
      <ns0:c r="B20" s="30"/>
      <ns0:c r="C20" s="28"/>
      <ns0:c r="D20" s="29"/>
      <ns0:c r="E20" s="31"/>
      <ns0:c r="F20" s="32"/>
      <ns0:c r="G20" s="29"/>
      <ns0:c r="H20" s="29"/>
      <ns0:c r="I20" s="29"/>
      <ns0:c r="J20" s="29"/>
      <ns0:c r="K20" s="29"/>
    </ns0:row>
    <ns0:row r="21" ht="28" customHeight="1">
      <ns0:c r="A21" s="29"/>
      <ns0:c r="B21" s="30"/>
      <ns0:c r="C21" s="28"/>
      <ns0:c r="D21" s="29"/>
      <ns0:c r="E21" s="31"/>
      <ns0:c r="F21" s="32"/>
      <ns0:c r="G21" s="29"/>
      <ns0:c r="H21" s="29"/>
      <ns0:c r="I21" s="29"/>
      <ns0:c r="J21" s="29"/>
      <ns0:c r="K21" s="29"/>
    </ns0:row>
    <ns0:row r="22" ht="28" customHeight="1">
      <ns0:c r="A22" s="29"/>
      <ns0:c r="B22" s="30"/>
      <ns0:c r="C22" s="28"/>
      <ns0:c r="D22" s="29"/>
      <ns0:c r="E22" s="31"/>
      <ns0:c r="F22" s="32"/>
      <ns0:c r="G22" s="29"/>
      <ns0:c r="H22" s="29"/>
      <ns0:c r="I22" s="29"/>
      <ns0:c r="J22" s="29"/>
      <ns0:c r="K22" s="29"/>
    </ns0:row>
    <ns0:row r="23" ht="28" customHeight="1">
      <ns0:c r="A23" s="29"/>
      <ns0:c r="B23" s="30"/>
      <ns0:c r="C23" s="28"/>
      <ns0:c r="D23" s="29"/>
      <ns0:c r="E23" s="31"/>
      <ns0:c r="F23" s="32"/>
      <ns0:c r="G23" s="29"/>
      <ns0:c r="H23" s="29"/>
      <ns0:c r="I23" s="29"/>
      <ns0:c r="J23" s="29"/>
      <ns0:c r="K23" s="29"/>
    </ns0:row>
    <ns0:row r="24" ht="28" customHeight="1">
      <ns0:c r="A24" s="29"/>
      <ns0:c r="B24" s="30"/>
      <ns0:c r="C24" s="28"/>
      <ns0:c r="D24" s="29"/>
      <ns0:c r="E24" s="31"/>
      <ns0:c r="F24" s="32"/>
      <ns0:c r="G24" s="29"/>
      <ns0:c r="H24" s="29"/>
      <ns0:c r="I24" s="29"/>
      <ns0:c r="J24" s="29"/>
      <ns0:c r="K24" s="29"/>
    </ns0:row>
    <ns0:row r="25" ht="28" customHeight="1">
      <ns0:c r="A25" s="29"/>
      <ns0:c r="B25" s="30"/>
      <ns0:c r="C25" s="28"/>
      <ns0:c r="D25" s="29"/>
      <ns0:c r="E25" s="31"/>
      <ns0:c r="F25" s="32"/>
      <ns0:c r="G25" s="29"/>
      <ns0:c r="H25" s="29"/>
      <ns0:c r="I25" s="29"/>
      <ns0:c r="J25" s="29"/>
      <ns0:c r="K25" s="29"/>
    </ns0:row>
    <ns0:row r="26" ht="28" customHeight="1">
      <ns0:c r="A26" s="29"/>
      <ns0:c r="B26" s="30"/>
      <ns0:c r="C26" s="28"/>
      <ns0:c r="D26" s="29"/>
      <ns0:c r="E26" s="31"/>
      <ns0:c r="F26" s="32"/>
      <ns0:c r="G26" s="29"/>
      <ns0:c r="H26" s="29"/>
      <ns0:c r="I26" s="29"/>
      <ns0:c r="J26" s="29"/>
      <ns0:c r="K26" s="29"/>
    </ns0:row>
    <ns0:row r="27" ht="28" customHeight="1">
      <ns0:c r="A27" s="29"/>
      <ns0:c r="B27" s="30"/>
      <ns0:c r="C27" s="28"/>
      <ns0:c r="D27" s="29"/>
      <ns0:c r="E27" s="31"/>
      <ns0:c r="F27" s="32"/>
      <ns0:c r="G27" s="29"/>
      <ns0:c r="H27" s="29"/>
      <ns0:c r="I27" s="29"/>
      <ns0:c r="J27" s="29"/>
      <ns0:c r="K27" s="29"/>
    </ns0:row>
    <ns0:row r="28" ht="28" customHeight="1">
      <ns0:c r="A28" s="29"/>
      <ns0:c r="B28" s="30"/>
      <ns0:c r="C28" s="28"/>
      <ns0:c r="D28" s="29"/>
      <ns0:c r="E28" s="31"/>
      <ns0:c r="F28" s="32"/>
      <ns0:c r="G28" s="29"/>
      <ns0:c r="H28" s="29"/>
      <ns0:c r="I28" s="29"/>
      <ns0:c r="J28" s="29"/>
      <ns0:c r="K28" s="29"/>
    </ns0:row>
    <ns0:row r="29" ht="28" customHeight="1">
      <ns0:c r="A29" s="29"/>
      <ns0:c r="B29" s="30"/>
      <ns0:c r="C29" s="28"/>
      <ns0:c r="D29" s="29"/>
      <ns0:c r="E29" s="31"/>
      <ns0:c r="F29" s="32"/>
      <ns0:c r="G29" s="29"/>
      <ns0:c r="H29" s="29"/>
      <ns0:c r="I29" s="29"/>
      <ns0:c r="J29" s="29"/>
      <ns0:c r="K29" s="29"/>
    </ns0:row>
    <ns0:row r="30" ht="28" customHeight="1">
      <ns0:c r="A30" s="29"/>
      <ns0:c r="B30" s="30"/>
      <ns0:c r="C30" s="28"/>
      <ns0:c r="D30" s="29"/>
      <ns0:c r="E30" s="31"/>
      <ns0:c r="F30" s="32"/>
      <ns0:c r="G30" s="29"/>
      <ns0:c r="H30" s="29"/>
      <ns0:c r="I30" s="29"/>
      <ns0:c r="J30" s="29"/>
      <ns0:c r="K30" s="29"/>
    </ns0:row>
    <ns0:row r="31" ht="28" customHeight="1">
      <ns0:c r="A31" s="29"/>
      <ns0:c r="B31" s="30"/>
      <ns0:c r="C31" s="28"/>
      <ns0:c r="D31" s="29"/>
      <ns0:c r="E31" s="31"/>
      <ns0:c r="F31" s="32"/>
      <ns0:c r="G31" s="29"/>
      <ns0:c r="H31" s="29"/>
      <ns0:c r="I31" s="29"/>
      <ns0:c r="J31" s="29"/>
      <ns0:c r="K31" s="29"/>
    </ns0:row>
    <ns0:row r="32" ht="28" customHeight="1">
      <ns0:c r="A32" s="29"/>
      <ns0:c r="B32" s="30"/>
      <ns0:c r="C32" s="28"/>
      <ns0:c r="D32" s="29"/>
      <ns0:c r="E32" s="31"/>
      <ns0:c r="F32" s="32"/>
      <ns0:c r="G32" s="29"/>
      <ns0:c r="H32" s="29"/>
      <ns0:c r="I32" s="29"/>
      <ns0:c r="J32" s="29"/>
      <ns0:c r="K32" s="29"/>
    </ns0:row>
    <ns0:row r="33" ht="28" customHeight="1">
      <ns0:c r="A33" s="29"/>
      <ns0:c r="B33" s="30"/>
      <ns0:c r="C33" s="28"/>
      <ns0:c r="D33" s="29"/>
      <ns0:c r="E33" s="31"/>
      <ns0:c r="F33" s="32"/>
      <ns0:c r="G33" s="29"/>
      <ns0:c r="H33" s="29"/>
      <ns0:c r="I33" s="29"/>
      <ns0:c r="J33" s="29"/>
      <ns0:c r="K33" s="29"/>
    </ns0:row>
    <ns0:row r="34" ht="28" customHeight="1">
      <ns0:c r="A34" s="29"/>
      <ns0:c r="B34" s="30"/>
      <ns0:c r="C34" s="28"/>
      <ns0:c r="D34" s="29"/>
      <ns0:c r="E34" s="31"/>
      <ns0:c r="F34" s="32"/>
      <ns0:c r="G34" s="29"/>
      <ns0:c r="H34" s="29"/>
      <ns0:c r="I34" s="29"/>
      <ns0:c r="J34" s="29"/>
      <ns0:c r="K34" s="29"/>
    </ns0:row>
    <ns0:row r="35" ht="28" customHeight="1">
      <ns0:c r="A35" s="29"/>
      <ns0:c r="B35" s="30"/>
      <ns0:c r="C35" s="28"/>
      <ns0:c r="D35" s="29"/>
      <ns0:c r="E35" s="31"/>
      <ns0:c r="F35" s="32"/>
      <ns0:c r="G35" s="29"/>
      <ns0:c r="H35" s="29"/>
      <ns0:c r="I35" s="29"/>
      <ns0:c r="J35" s="29"/>
      <ns0:c r="K35" s="29"/>
    </ns0:row>
    <ns0:row r="36" ht="28" customHeight="1">
      <ns0:c r="A36" s="29"/>
      <ns0:c r="B36" s="30"/>
      <ns0:c r="C36" s="28"/>
      <ns0:c r="D36" s="29"/>
      <ns0:c r="E36" s="31"/>
      <ns0:c r="F36" s="32"/>
      <ns0:c r="G36" s="29"/>
      <ns0:c r="H36" s="29"/>
      <ns0:c r="I36" s="29"/>
      <ns0:c r="J36" s="29"/>
      <ns0:c r="K36" s="29"/>
    </ns0:row>
    <ns0:row r="37" ht="28" customHeight="1">
      <ns0:c r="A37" s="29"/>
      <ns0:c r="B37" s="30"/>
      <ns0:c r="C37" s="28"/>
      <ns0:c r="D37" s="29"/>
      <ns0:c r="E37" s="31"/>
      <ns0:c r="F37" s="32"/>
      <ns0:c r="G37" s="29"/>
      <ns0:c r="H37" s="29"/>
      <ns0:c r="I37" s="29"/>
      <ns0:c r="J37" s="29"/>
      <ns0:c r="K37" s="29"/>
    </ns0:row>
    <ns0:row r="38" ht="28" customHeight="1">
      <ns0:c r="A38" s="29"/>
      <ns0:c r="B38" s="30"/>
      <ns0:c r="C38" s="28"/>
      <ns0:c r="D38" s="29"/>
      <ns0:c r="E38" s="31"/>
      <ns0:c r="F38" s="32"/>
      <ns0:c r="G38" s="29"/>
      <ns0:c r="H38" s="29"/>
      <ns0:c r="I38" s="29"/>
      <ns0:c r="J38" s="29"/>
      <ns0:c r="K38" s="29"/>
    </ns0:row>
    <ns0:row r="39" ht="28" customHeight="1">
      <ns0:c r="A39" s="29"/>
      <ns0:c r="B39" s="30"/>
      <ns0:c r="C39" s="28"/>
      <ns0:c r="D39" s="29"/>
      <ns0:c r="E39" s="31"/>
      <ns0:c r="F39" s="32"/>
      <ns0:c r="G39" s="29"/>
      <ns0:c r="H39" s="29"/>
      <ns0:c r="I39" s="29"/>
      <ns0:c r="J39" s="29"/>
      <ns0:c r="K39" s="29"/>
    </ns0:row>
    <ns0:row r="40" ht="28" customHeight="1">
      <ns0:c r="A40" s="29"/>
      <ns0:c r="B40" s="30"/>
      <ns0:c r="C40" s="28"/>
      <ns0:c r="D40" s="29"/>
      <ns0:c r="E40" s="31"/>
      <ns0:c r="F40" s="32"/>
      <ns0:c r="G40" s="29"/>
      <ns0:c r="H40" s="29"/>
      <ns0:c r="I40" s="29"/>
      <ns0:c r="J40" s="29"/>
      <ns0:c r="K40" s="29"/>
    </ns0:row>
    <ns0:row r="41" ht="28" customHeight="1">
      <ns0:c r="A41" s="29"/>
      <ns0:c r="B41" s="30"/>
      <ns0:c r="C41" s="28"/>
      <ns0:c r="D41" s="29"/>
      <ns0:c r="E41" s="31"/>
      <ns0:c r="F41" s="32"/>
      <ns0:c r="G41" s="29"/>
      <ns0:c r="H41" s="29"/>
      <ns0:c r="I41" s="29"/>
      <ns0:c r="J41" s="29"/>
      <ns0:c r="K41" s="29"/>
    </ns0:row>
    <ns0:row r="42" ht="28" customHeight="1">
      <ns0:c r="A42" s="29"/>
      <ns0:c r="B42" s="30"/>
      <ns0:c r="C42" s="28"/>
      <ns0:c r="D42" s="29"/>
      <ns0:c r="E42" s="31"/>
      <ns0:c r="F42" s="32"/>
      <ns0:c r="G42" s="29"/>
      <ns0:c r="H42" s="29"/>
      <ns0:c r="I42" s="29"/>
      <ns0:c r="J42" s="29"/>
      <ns0:c r="K42" s="29"/>
    </ns0:row>
    <ns0:row r="43" ht="28" customHeight="1">
      <ns0:c r="A43" s="29"/>
      <ns0:c r="B43" s="30"/>
      <ns0:c r="C43" s="28"/>
      <ns0:c r="D43" s="29"/>
      <ns0:c r="E43" s="31"/>
      <ns0:c r="F43" s="32"/>
      <ns0:c r="G43" s="29"/>
      <ns0:c r="H43" s="29"/>
      <ns0:c r="I43" s="29"/>
      <ns0:c r="J43" s="29"/>
      <ns0:c r="K43" s="29"/>
    </ns0:row>
    <ns0:row r="44" ht="28" customHeight="1">
      <ns0:c r="A44" s="29"/>
      <ns0:c r="B44" s="30"/>
      <ns0:c r="C44" s="28"/>
      <ns0:c r="D44" s="29"/>
      <ns0:c r="E44" s="31"/>
      <ns0:c r="F44" s="32"/>
      <ns0:c r="G44" s="29"/>
      <ns0:c r="H44" s="29"/>
      <ns0:c r="I44" s="29"/>
      <ns0:c r="J44" s="29"/>
      <ns0:c r="K44" s="29"/>
    </ns0:row>
    <ns0:row r="45" ht="28" customHeight="1">
      <ns0:c r="A45" s="29"/>
      <ns0:c r="B45" s="30"/>
      <ns0:c r="C45" s="28"/>
      <ns0:c r="D45" s="29"/>
      <ns0:c r="E45" s="31"/>
      <ns0:c r="F45" s="32"/>
      <ns0:c r="G45" s="29"/>
      <ns0:c r="H45" s="29"/>
      <ns0:c r="I45" s="29"/>
      <ns0:c r="J45" s="29"/>
      <ns0:c r="K45" s="29"/>
    </ns0:row>
    <ns0:row r="46" ht="28" customHeight="1">
      <ns0:c r="A46" s="29"/>
      <ns0:c r="B46" s="30"/>
      <ns0:c r="C46" s="28"/>
      <ns0:c r="D46" s="29"/>
      <ns0:c r="E46" s="31"/>
      <ns0:c r="F46" s="32"/>
      <ns0:c r="G46" s="29"/>
      <ns0:c r="H46" s="29"/>
      <ns0:c r="I46" s="29"/>
      <ns0:c r="J46" s="29"/>
      <ns0:c r="K46" s="29"/>
    </ns0:row>
    <ns0:row r="47" ht="28" customHeight="1">
      <ns0:c r="A47" s="29"/>
      <ns0:c r="B47" s="30"/>
      <ns0:c r="C47" s="28"/>
      <ns0:c r="D47" s="29"/>
      <ns0:c r="E47" s="31"/>
      <ns0:c r="F47" s="32"/>
      <ns0:c r="G47" s="29"/>
      <ns0:c r="H47" s="29"/>
      <ns0:c r="I47" s="29"/>
      <ns0:c r="J47" s="29"/>
      <ns0:c r="K47" s="29"/>
    </ns0:row>
    <ns0:row r="48" ht="28" customHeight="1">
      <ns0:c r="A48" s="29"/>
      <ns0:c r="B48" s="30"/>
      <ns0:c r="C48" s="28"/>
      <ns0:c r="D48" s="29"/>
      <ns0:c r="E48" s="31"/>
      <ns0:c r="F48" s="32"/>
      <ns0:c r="G48" s="29"/>
      <ns0:c r="H48" s="29"/>
      <ns0:c r="I48" s="29"/>
      <ns0:c r="J48" s="29"/>
      <ns0:c r="K48" s="29"/>
    </ns0:row>
    <ns0:row r="49" ht="28" customHeight="1">
      <ns0:c r="A49" s="29"/>
      <ns0:c r="B49" s="30"/>
      <ns0:c r="C49" s="28"/>
      <ns0:c r="D49" s="29"/>
      <ns0:c r="E49" s="31"/>
      <ns0:c r="F49" s="32"/>
      <ns0:c r="G49" s="29"/>
      <ns0:c r="H49" s="29"/>
      <ns0:c r="I49" s="29"/>
      <ns0:c r="J49" s="29"/>
      <ns0:c r="K49" s="29"/>
    </ns0:row>
    <ns0:row r="50" ht="28" customHeight="1">
      <ns0:c r="A50" s="29"/>
      <ns0:c r="B50" s="30"/>
      <ns0:c r="C50" s="28"/>
      <ns0:c r="D50" s="29"/>
      <ns0:c r="E50" s="31"/>
      <ns0:c r="F50" s="32"/>
      <ns0:c r="G50" s="29"/>
      <ns0:c r="H50" s="29"/>
      <ns0:c r="I50" s="29"/>
      <ns0:c r="J50" s="29"/>
      <ns0:c r="K50" s="29"/>
    </ns0:row>
    <ns0:row r="51" ht="28" customHeight="1">
      <ns0:c r="A51" s="29"/>
      <ns0:c r="B51" s="30"/>
      <ns0:c r="C51" s="28"/>
      <ns0:c r="D51" s="29"/>
      <ns0:c r="E51" s="31"/>
      <ns0:c r="F51" s="32"/>
      <ns0:c r="G51" s="29"/>
      <ns0:c r="H51" s="29"/>
      <ns0:c r="I51" s="29"/>
      <ns0:c r="J51" s="29"/>
      <ns0:c r="K51" s="29"/>
    </ns0:row>
    <ns0:row r="52" ht="28" customHeight="1">
      <ns0:c r="A52" s="29"/>
      <ns0:c r="B52" s="30"/>
      <ns0:c r="C52" s="28"/>
      <ns0:c r="D52" s="29"/>
      <ns0:c r="E52" s="31"/>
      <ns0:c r="F52" s="32"/>
      <ns0:c r="G52" s="29"/>
      <ns0:c r="H52" s="29"/>
      <ns0:c r="I52" s="29"/>
      <ns0:c r="J52" s="29"/>
      <ns0:c r="K52" s="29"/>
    </ns0:row>
    <ns0:row r="53" ht="28" customHeight="1">
      <ns0:c r="A53" s="29"/>
      <ns0:c r="B53" s="30"/>
      <ns0:c r="C53" s="28"/>
      <ns0:c r="D53" s="29"/>
      <ns0:c r="E53" s="31"/>
      <ns0:c r="F53" s="32"/>
      <ns0:c r="G53" s="29"/>
      <ns0:c r="H53" s="29"/>
      <ns0:c r="I53" s="29"/>
      <ns0:c r="J53" s="29"/>
      <ns0:c r="K53" s="29"/>
    </ns0:row>
    <ns0:row r="54" ht="28" customHeight="1">
      <ns0:c r="A54" s="29"/>
      <ns0:c r="B54" s="30"/>
      <ns0:c r="C54" s="28"/>
      <ns0:c r="D54" s="29"/>
      <ns0:c r="E54" s="31"/>
      <ns0:c r="F54" s="32"/>
      <ns0:c r="G54" s="29"/>
      <ns0:c r="H54" s="29"/>
      <ns0:c r="I54" s="29"/>
      <ns0:c r="J54" s="29"/>
      <ns0:c r="K54" s="29"/>
    </ns0:row>
    <ns0:row r="55" ht="28" customHeight="1">
      <ns0:c r="A55" s="29"/>
      <ns0:c r="B55" s="30"/>
      <ns0:c r="C55" s="28"/>
      <ns0:c r="D55" s="29"/>
      <ns0:c r="E55" s="31"/>
      <ns0:c r="F55" s="32"/>
      <ns0:c r="G55" s="29"/>
      <ns0:c r="H55" s="29"/>
      <ns0:c r="I55" s="29"/>
      <ns0:c r="J55" s="29"/>
      <ns0:c r="K55" s="29"/>
    </ns0:row>
    <ns0:row r="56" ht="28" customHeight="1">
      <ns0:c r="A56" s="29"/>
      <ns0:c r="B56" s="30"/>
      <ns0:c r="C56" s="28"/>
      <ns0:c r="D56" s="29"/>
      <ns0:c r="E56" s="31"/>
      <ns0:c r="F56" s="32"/>
      <ns0:c r="G56" s="29"/>
      <ns0:c r="H56" s="29"/>
      <ns0:c r="I56" s="29"/>
      <ns0:c r="J56" s="29"/>
      <ns0:c r="K56" s="29"/>
    </ns0:row>
    <ns0:row r="57" ht="28" customHeight="1">
      <ns0:c r="A57" s="29"/>
      <ns0:c r="B57" s="30"/>
      <ns0:c r="C57" s="28"/>
      <ns0:c r="D57" s="29"/>
      <ns0:c r="E57" s="31"/>
      <ns0:c r="F57" s="32"/>
      <ns0:c r="G57" s="29"/>
      <ns0:c r="H57" s="29"/>
      <ns0:c r="I57" s="29"/>
      <ns0:c r="J57" s="29"/>
      <ns0:c r="K57" s="29"/>
    </ns0:row>
    <ns0:row r="58" ht="28" customHeight="1">
      <ns0:c r="A58" s="29"/>
      <ns0:c r="B58" s="30"/>
      <ns0:c r="C58" s="28"/>
      <ns0:c r="D58" s="29"/>
      <ns0:c r="E58" s="31"/>
      <ns0:c r="F58" s="32"/>
      <ns0:c r="G58" s="29"/>
      <ns0:c r="H58" s="29"/>
      <ns0:c r="I58" s="29"/>
      <ns0:c r="J58" s="29"/>
      <ns0:c r="K58" s="29"/>
    </ns0:row>
    <ns0:row r="59" ht="28" customHeight="1">
      <ns0:c r="A59" s="29"/>
      <ns0:c r="B59" s="30"/>
      <ns0:c r="C59" s="28"/>
      <ns0:c r="D59" s="29"/>
      <ns0:c r="E59" s="31"/>
      <ns0:c r="F59" s="32"/>
      <ns0:c r="G59" s="29"/>
      <ns0:c r="H59" s="29"/>
      <ns0:c r="I59" s="29"/>
      <ns0:c r="J59" s="29"/>
      <ns0:c r="K59" s="29"/>
    </ns0:row>
    <ns0:row r="60" ht="28" customHeight="1">
      <ns0:c r="A60" s="29"/>
      <ns0:c r="B60" s="30"/>
      <ns0:c r="C60" s="28"/>
      <ns0:c r="D60" s="29"/>
      <ns0:c r="E60" s="31"/>
      <ns0:c r="F60" s="32"/>
      <ns0:c r="G60" s="29"/>
      <ns0:c r="H60" s="29"/>
      <ns0:c r="I60" s="29"/>
      <ns0:c r="J60" s="29"/>
      <ns0:c r="K60" s="29"/>
    </ns0:row>
    <ns0:row r="61" ht="28" customHeight="1">
      <ns0:c r="A61" s="29"/>
      <ns0:c r="B61" s="30"/>
      <ns0:c r="C61" s="28"/>
      <ns0:c r="D61" s="29"/>
      <ns0:c r="E61" s="31"/>
      <ns0:c r="F61" s="32"/>
      <ns0:c r="G61" s="29"/>
      <ns0:c r="H61" s="29"/>
      <ns0:c r="I61" s="29"/>
      <ns0:c r="J61" s="29"/>
      <ns0:c r="K61" s="29"/>
    </ns0:row>
    <ns0:row r="62" ht="28" customHeight="1">
      <ns0:c r="A62" s="29"/>
      <ns0:c r="B62" s="30"/>
      <ns0:c r="C62" s="28"/>
      <ns0:c r="D62" s="29"/>
      <ns0:c r="E62" s="31"/>
      <ns0:c r="F62" s="32"/>
      <ns0:c r="G62" s="29"/>
      <ns0:c r="H62" s="29"/>
      <ns0:c r="I62" s="29"/>
      <ns0:c r="J62" s="29"/>
      <ns0:c r="K62" s="29"/>
    </ns0:row>
    <ns0:row r="63" ht="28" customHeight="1">
      <ns0:c r="A63" s="29"/>
      <ns0:c r="B63" s="30"/>
      <ns0:c r="C63" s="28"/>
      <ns0:c r="D63" s="29"/>
      <ns0:c r="E63" s="31"/>
      <ns0:c r="F63" s="32"/>
      <ns0:c r="G63" s="29"/>
      <ns0:c r="H63" s="29"/>
      <ns0:c r="I63" s="29"/>
      <ns0:c r="J63" s="29"/>
      <ns0:c r="K63" s="29"/>
    </ns0:row>
    <ns0:row r="64" ht="28" customHeight="1">
      <ns0:c r="A64" s="29"/>
      <ns0:c r="B64" s="30"/>
      <ns0:c r="C64" s="28"/>
      <ns0:c r="D64" s="29"/>
      <ns0:c r="E64" s="31"/>
      <ns0:c r="F64" s="32"/>
      <ns0:c r="G64" s="29"/>
      <ns0:c r="H64" s="29"/>
      <ns0:c r="I64" s="29"/>
      <ns0:c r="J64" s="29"/>
      <ns0:c r="K64" s="29"/>
    </ns0:row>
    <ns0:row r="65" ht="28" customHeight="1">
      <ns0:c r="A65" s="29"/>
      <ns0:c r="B65" s="30"/>
      <ns0:c r="C65" s="28"/>
      <ns0:c r="D65" s="29"/>
      <ns0:c r="E65" s="31"/>
      <ns0:c r="F65" s="32"/>
      <ns0:c r="G65" s="29"/>
      <ns0:c r="H65" s="29"/>
      <ns0:c r="I65" s="29"/>
      <ns0:c r="J65" s="29"/>
      <ns0:c r="K65" s="29"/>
    </ns0:row>
    <ns0:row r="66" ht="28" customHeight="1">
      <ns0:c r="A66" s="29"/>
      <ns0:c r="B66" s="30"/>
      <ns0:c r="C66" s="28"/>
      <ns0:c r="D66" s="29"/>
      <ns0:c r="E66" s="31"/>
      <ns0:c r="F66" s="32"/>
      <ns0:c r="G66" s="29"/>
      <ns0:c r="H66" s="29"/>
      <ns0:c r="I66" s="29"/>
      <ns0:c r="J66" s="29"/>
      <ns0:c r="K66" s="29"/>
    </ns0:row>
    <ns0:row r="67" ht="28" customHeight="1">
      <ns0:c r="A67" s="29"/>
      <ns0:c r="B67" s="30"/>
      <ns0:c r="C67" s="28"/>
      <ns0:c r="D67" s="29"/>
      <ns0:c r="E67" s="31"/>
      <ns0:c r="F67" s="32"/>
      <ns0:c r="G67" s="29"/>
      <ns0:c r="H67" s="29"/>
      <ns0:c r="I67" s="29"/>
      <ns0:c r="J67" s="29"/>
      <ns0:c r="K67" s="29"/>
    </ns0:row>
    <ns0:row r="68" ht="28" customHeight="1">
      <ns0:c r="A68" s="29"/>
      <ns0:c r="B68" s="30"/>
      <ns0:c r="C68" s="28"/>
      <ns0:c r="D68" s="29"/>
      <ns0:c r="E68" s="31"/>
      <ns0:c r="F68" s="32"/>
      <ns0:c r="G68" s="29"/>
      <ns0:c r="H68" s="29"/>
      <ns0:c r="I68" s="29"/>
      <ns0:c r="J68" s="29"/>
      <ns0:c r="K68" s="29"/>
    </ns0:row>
    <ns0:row r="69" ht="28" customHeight="1">
      <ns0:c r="A69" s="29"/>
      <ns0:c r="B69" s="30"/>
      <ns0:c r="C69" s="28"/>
      <ns0:c r="D69" s="29"/>
      <ns0:c r="E69" s="31"/>
      <ns0:c r="F69" s="32"/>
      <ns0:c r="G69" s="29"/>
      <ns0:c r="H69" s="29"/>
      <ns0:c r="I69" s="29"/>
      <ns0:c r="J69" s="29"/>
      <ns0:c r="K69" s="29"/>
    </ns0:row>
    <ns0:row r="70" ht="28" customHeight="1">
      <ns0:c r="A70" s="29"/>
      <ns0:c r="B70" s="30"/>
      <ns0:c r="C70" s="28"/>
      <ns0:c r="D70" s="29"/>
      <ns0:c r="E70" s="31"/>
      <ns0:c r="F70" s="32"/>
      <ns0:c r="G70" s="29"/>
      <ns0:c r="H70" s="29"/>
      <ns0:c r="I70" s="29"/>
      <ns0:c r="J70" s="29"/>
      <ns0:c r="K70" s="29"/>
    </ns0:row>
    <ns0:row r="71" ht="28" customHeight="1">
      <ns0:c r="A71" s="29"/>
      <ns0:c r="B71" s="30"/>
      <ns0:c r="C71" s="28"/>
      <ns0:c r="D71" s="29"/>
      <ns0:c r="E71" s="31"/>
      <ns0:c r="F71" s="32"/>
      <ns0:c r="G71" s="29"/>
      <ns0:c r="H71" s="29"/>
      <ns0:c r="I71" s="29"/>
      <ns0:c r="J71" s="29"/>
      <ns0:c r="K71" s="29"/>
    </ns0:row>
    <ns0:row r="72" ht="28" customHeight="1">
      <ns0:c r="A72" s="29"/>
      <ns0:c r="B72" s="30"/>
      <ns0:c r="C72" s="28"/>
      <ns0:c r="D72" s="29"/>
      <ns0:c r="E72" s="31"/>
      <ns0:c r="F72" s="32"/>
      <ns0:c r="G72" s="29"/>
      <ns0:c r="H72" s="29"/>
      <ns0:c r="I72" s="29"/>
      <ns0:c r="J72" s="29"/>
      <ns0:c r="K72" s="29"/>
    </ns0:row>
    <ns0:row r="73" ht="28" customHeight="1">
      <ns0:c r="A73" s="29"/>
      <ns0:c r="B73" s="30"/>
      <ns0:c r="C73" s="28"/>
      <ns0:c r="D73" s="29"/>
      <ns0:c r="E73" s="31"/>
      <ns0:c r="F73" s="32"/>
      <ns0:c r="G73" s="29"/>
      <ns0:c r="H73" s="29"/>
      <ns0:c r="I73" s="29"/>
      <ns0:c r="J73" s="29"/>
      <ns0:c r="K73" s="29"/>
    </ns0:row>
    <ns0:row r="74" ht="28" customHeight="1">
      <ns0:c r="A74" s="29"/>
      <ns0:c r="B74" s="30"/>
      <ns0:c r="C74" s="28"/>
      <ns0:c r="D74" s="29"/>
      <ns0:c r="E74" s="31"/>
      <ns0:c r="F74" s="32"/>
      <ns0:c r="G74" s="29"/>
      <ns0:c r="H74" s="29"/>
      <ns0:c r="I74" s="29"/>
      <ns0:c r="J74" s="29"/>
      <ns0:c r="K74" s="29"/>
    </ns0:row>
    <ns0:row r="75" ht="28" customHeight="1">
      <ns0:c r="A75" s="29"/>
      <ns0:c r="B75" s="30"/>
      <ns0:c r="C75" s="28"/>
      <ns0:c r="D75" s="29"/>
      <ns0:c r="E75" s="31"/>
      <ns0:c r="F75" s="32"/>
      <ns0:c r="G75" s="29"/>
      <ns0:c r="H75" s="29"/>
      <ns0:c r="I75" s="29"/>
      <ns0:c r="J75" s="29"/>
      <ns0:c r="K75" s="29"/>
    </ns0:row>
    <ns0:row r="76" ht="28" customHeight="1">
      <ns0:c r="A76" s="29"/>
      <ns0:c r="B76" s="30"/>
      <ns0:c r="C76" s="28"/>
      <ns0:c r="D76" s="29"/>
      <ns0:c r="E76" s="31"/>
      <ns0:c r="F76" s="32"/>
      <ns0:c r="G76" s="29"/>
      <ns0:c r="H76" s="29"/>
      <ns0:c r="I76" s="29"/>
      <ns0:c r="J76" s="29"/>
      <ns0:c r="K76" s="29"/>
    </ns0:row>
    <ns0:row r="77" ht="28" customHeight="1">
      <ns0:c r="A77" s="29"/>
      <ns0:c r="B77" s="30"/>
      <ns0:c r="C77" s="28"/>
      <ns0:c r="D77" s="29"/>
      <ns0:c r="E77" s="31"/>
      <ns0:c r="F77" s="32"/>
      <ns0:c r="G77" s="29"/>
      <ns0:c r="H77" s="29"/>
      <ns0:c r="I77" s="29"/>
      <ns0:c r="J77" s="29"/>
      <ns0:c r="K77" s="29"/>
    </ns0:row>
    <ns0:row r="78" ht="28" customHeight="1">
      <ns0:c r="A78" s="29"/>
      <ns0:c r="B78" s="30"/>
      <ns0:c r="C78" s="28"/>
      <ns0:c r="D78" s="29"/>
      <ns0:c r="E78" s="31"/>
      <ns0:c r="F78" s="32"/>
      <ns0:c r="G78" s="29"/>
      <ns0:c r="H78" s="29"/>
      <ns0:c r="I78" s="29"/>
      <ns0:c r="J78" s="29"/>
      <ns0:c r="K78" s="29"/>
    </ns0:row>
    <ns0:row r="79" ht="28" customHeight="1">
      <ns0:c r="A79" s="29"/>
      <ns0:c r="B79" s="30"/>
      <ns0:c r="C79" s="28"/>
      <ns0:c r="D79" s="29"/>
      <ns0:c r="E79" s="31"/>
      <ns0:c r="F79" s="32"/>
      <ns0:c r="G79" s="29"/>
      <ns0:c r="H79" s="29"/>
      <ns0:c r="I79" s="29"/>
      <ns0:c r="J79" s="29"/>
      <ns0:c r="K79" s="29"/>
    </ns0:row>
    <ns0:row r="80" ht="28" customHeight="1">
      <ns0:c r="A80" s="29"/>
      <ns0:c r="B80" s="30"/>
      <ns0:c r="C80" s="28"/>
      <ns0:c r="D80" s="29"/>
      <ns0:c r="E80" s="31"/>
      <ns0:c r="F80" s="32"/>
      <ns0:c r="G80" s="29"/>
      <ns0:c r="H80" s="29"/>
      <ns0:c r="I80" s="29"/>
      <ns0:c r="J80" s="29"/>
      <ns0:c r="K80" s="29"/>
    </ns0:row>
    <ns0:row r="81" ht="28" customHeight="1">
      <ns0:c r="A81" s="29"/>
      <ns0:c r="B81" s="30"/>
      <ns0:c r="C81" s="28"/>
      <ns0:c r="D81" s="29"/>
      <ns0:c r="E81" s="31"/>
      <ns0:c r="F81" s="32"/>
      <ns0:c r="G81" s="29"/>
      <ns0:c r="H81" s="29"/>
      <ns0:c r="I81" s="29"/>
      <ns0:c r="J81" s="29"/>
      <ns0:c r="K81" s="29"/>
    </ns0:row>
    <ns0:row r="82" ht="28" customHeight="1">
      <ns0:c r="A82" s="29"/>
      <ns0:c r="B82" s="30"/>
      <ns0:c r="C82" s="28"/>
      <ns0:c r="D82" s="29"/>
      <ns0:c r="E82" s="31"/>
      <ns0:c r="F82" s="32"/>
      <ns0:c r="G82" s="29"/>
      <ns0:c r="H82" s="29"/>
      <ns0:c r="I82" s="29"/>
      <ns0:c r="J82" s="29"/>
      <ns0:c r="K82" s="29"/>
    </ns0:row>
    <ns0:row r="83" ht="28" customHeight="1">
      <ns0:c r="A83" s="29"/>
      <ns0:c r="B83" s="30"/>
      <ns0:c r="C83" s="28"/>
      <ns0:c r="D83" s="29"/>
      <ns0:c r="E83" s="31"/>
      <ns0:c r="F83" s="32"/>
      <ns0:c r="G83" s="29"/>
      <ns0:c r="H83" s="29"/>
      <ns0:c r="I83" s="29"/>
      <ns0:c r="J83" s="29"/>
      <ns0:c r="K83" s="29"/>
    </ns0:row>
    <ns0:row r="84" ht="28" customHeight="1">
      <ns0:c r="A84" s="29"/>
      <ns0:c r="B84" s="30"/>
      <ns0:c r="C84" s="28"/>
      <ns0:c r="D84" s="29"/>
      <ns0:c r="E84" s="31"/>
      <ns0:c r="F84" s="32"/>
      <ns0:c r="G84" s="29"/>
      <ns0:c r="H84" s="29"/>
      <ns0:c r="I84" s="29"/>
      <ns0:c r="J84" s="29"/>
      <ns0:c r="K84" s="29"/>
    </ns0:row>
    <ns0:row r="85" ht="28" customHeight="1">
      <ns0:c r="A85" s="29"/>
      <ns0:c r="B85" s="30"/>
      <ns0:c r="C85" s="28"/>
      <ns0:c r="D85" s="29"/>
      <ns0:c r="E85" s="31"/>
      <ns0:c r="F85" s="32"/>
      <ns0:c r="G85" s="29"/>
      <ns0:c r="H85" s="29"/>
      <ns0:c r="I85" s="29"/>
      <ns0:c r="J85" s="29"/>
      <ns0:c r="K85" s="29"/>
    </ns0:row>
    <ns0:row r="86" ht="28" customHeight="1">
      <ns0:c r="A86" s="29"/>
      <ns0:c r="B86" s="30"/>
      <ns0:c r="C86" s="28"/>
      <ns0:c r="D86" s="29"/>
      <ns0:c r="E86" s="31"/>
      <ns0:c r="F86" s="32"/>
      <ns0:c r="G86" s="29"/>
      <ns0:c r="H86" s="29"/>
      <ns0:c r="I86" s="29"/>
      <ns0:c r="J86" s="29"/>
      <ns0:c r="K86" s="29"/>
    </ns0:row>
    <ns0:row r="87" ht="28" customHeight="1">
      <ns0:c r="A87" s="29"/>
      <ns0:c r="B87" s="30"/>
      <ns0:c r="C87" s="28"/>
      <ns0:c r="D87" s="29"/>
      <ns0:c r="E87" s="31"/>
      <ns0:c r="F87" s="32"/>
      <ns0:c r="G87" s="29"/>
      <ns0:c r="H87" s="29"/>
      <ns0:c r="I87" s="29"/>
      <ns0:c r="J87" s="29"/>
      <ns0:c r="K87" s="29"/>
    </ns0:row>
    <ns0:row r="88" ht="28" customHeight="1">
      <ns0:c r="A88" s="29"/>
      <ns0:c r="B88" s="30"/>
      <ns0:c r="C88" s="28"/>
      <ns0:c r="D88" s="29"/>
      <ns0:c r="E88" s="31"/>
      <ns0:c r="F88" s="32"/>
      <ns0:c r="G88" s="29"/>
      <ns0:c r="H88" s="29"/>
      <ns0:c r="I88" s="29"/>
      <ns0:c r="J88" s="29"/>
      <ns0:c r="K88" s="29"/>
    </ns0:row>
    <ns0:row r="89" ht="28" customHeight="1">
      <ns0:c r="A89" s="29"/>
      <ns0:c r="B89" s="30"/>
      <ns0:c r="C89" s="28"/>
      <ns0:c r="D89" s="29"/>
      <ns0:c r="E89" s="31"/>
      <ns0:c r="F89" s="32"/>
      <ns0:c r="G89" s="29"/>
      <ns0:c r="H89" s="29"/>
      <ns0:c r="I89" s="29"/>
      <ns0:c r="J89" s="29"/>
      <ns0:c r="K89" s="29"/>
    </ns0:row>
    <ns0:row r="90" ht="28" customHeight="1">
      <ns0:c r="A90" s="29"/>
      <ns0:c r="B90" s="30"/>
      <ns0:c r="C90" s="28"/>
      <ns0:c r="D90" s="29"/>
      <ns0:c r="E90" s="31"/>
      <ns0:c r="F90" s="32"/>
      <ns0:c r="G90" s="29"/>
      <ns0:c r="H90" s="29"/>
      <ns0:c r="I90" s="29"/>
      <ns0:c r="J90" s="29"/>
      <ns0:c r="K90" s="29"/>
    </ns0:row>
    <ns0:row r="91" ht="28" customHeight="1">
      <ns0:c r="A91" s="29"/>
      <ns0:c r="B91" s="30"/>
      <ns0:c r="C91" s="28"/>
      <ns0:c r="D91" s="29"/>
      <ns0:c r="E91" s="31"/>
      <ns0:c r="F91" s="32"/>
      <ns0:c r="G91" s="29"/>
      <ns0:c r="H91" s="29"/>
      <ns0:c r="I91" s="29"/>
      <ns0:c r="J91" s="29"/>
      <ns0:c r="K91" s="29"/>
    </ns0:row>
    <ns0:row r="92" ht="28" customHeight="1">
      <ns0:c r="A92" s="29"/>
      <ns0:c r="B92" s="30"/>
      <ns0:c r="C92" s="28"/>
      <ns0:c r="D92" s="29"/>
      <ns0:c r="E92" s="31"/>
      <ns0:c r="F92" s="32"/>
      <ns0:c r="G92" s="29"/>
      <ns0:c r="H92" s="29"/>
      <ns0:c r="I92" s="29"/>
      <ns0:c r="J92" s="29"/>
      <ns0:c r="K92" s="29"/>
    </ns0:row>
    <ns0:row r="93" ht="28" customHeight="1">
      <ns0:c r="A93" s="29"/>
      <ns0:c r="B93" s="30"/>
      <ns0:c r="C93" s="28"/>
      <ns0:c r="D93" s="29"/>
      <ns0:c r="E93" s="31"/>
      <ns0:c r="F93" s="32"/>
      <ns0:c r="G93" s="29"/>
      <ns0:c r="H93" s="29"/>
      <ns0:c r="I93" s="29"/>
      <ns0:c r="J93" s="29"/>
      <ns0:c r="K93" s="29"/>
    </ns0:row>
    <ns0:row r="94" ht="28" customHeight="1">
      <ns0:c r="A94" s="29"/>
      <ns0:c r="B94" s="30"/>
      <ns0:c r="C94" s="28"/>
      <ns0:c r="D94" s="29"/>
      <ns0:c r="E94" s="31"/>
      <ns0:c r="F94" s="32"/>
      <ns0:c r="G94" s="29"/>
      <ns0:c r="H94" s="29"/>
      <ns0:c r="I94" s="29"/>
      <ns0:c r="J94" s="29"/>
      <ns0:c r="K94" s="29"/>
    </ns0:row>
    <ns0:row r="95" ht="28" customHeight="1">
      <ns0:c r="A95" s="29"/>
      <ns0:c r="B95" s="30"/>
      <ns0:c r="C95" s="28"/>
      <ns0:c r="D95" s="29"/>
      <ns0:c r="E95" s="31"/>
      <ns0:c r="F95" s="32"/>
      <ns0:c r="G95" s="29"/>
      <ns0:c r="H95" s="29"/>
      <ns0:c r="I95" s="29"/>
      <ns0:c r="J95" s="29"/>
      <ns0:c r="K95" s="29"/>
    </ns0:row>
    <ns0:row r="96" ht="28" customHeight="1">
      <ns0:c r="A96" s="29"/>
      <ns0:c r="B96" s="30"/>
      <ns0:c r="C96" s="28"/>
      <ns0:c r="D96" s="29"/>
      <ns0:c r="E96" s="31"/>
      <ns0:c r="F96" s="32"/>
      <ns0:c r="G96" s="29"/>
      <ns0:c r="H96" s="29"/>
      <ns0:c r="I96" s="29"/>
      <ns0:c r="J96" s="29"/>
      <ns0:c r="K96" s="29"/>
    </ns0:row>
    <ns0:row r="97" ht="28" customHeight="1">
      <ns0:c r="A97" s="29"/>
      <ns0:c r="B97" s="30"/>
      <ns0:c r="C97" s="28"/>
      <ns0:c r="D97" s="29"/>
      <ns0:c r="E97" s="31"/>
      <ns0:c r="F97" s="32"/>
      <ns0:c r="G97" s="29"/>
      <ns0:c r="H97" s="29"/>
      <ns0:c r="I97" s="29"/>
      <ns0:c r="J97" s="29"/>
      <ns0:c r="K97" s="29"/>
    </ns0:row>
    <ns0:row r="98" ht="28" customHeight="1">
      <ns0:c r="A98" s="29"/>
      <ns0:c r="B98" s="30"/>
      <ns0:c r="C98" s="28"/>
      <ns0:c r="D98" s="29"/>
      <ns0:c r="E98" s="31"/>
      <ns0:c r="F98" s="32"/>
      <ns0:c r="G98" s="29"/>
      <ns0:c r="H98" s="29"/>
      <ns0:c r="I98" s="29"/>
      <ns0:c r="J98" s="29"/>
      <ns0:c r="K98" s="29"/>
    </ns0:row>
    <ns0:row r="99" ht="28" customHeight="1">
      <ns0:c r="A99" s="29"/>
      <ns0:c r="B99" s="30"/>
      <ns0:c r="C99" s="28"/>
      <ns0:c r="D99" s="29"/>
      <ns0:c r="E99" s="31"/>
      <ns0:c r="F99" s="32"/>
      <ns0:c r="G99" s="29"/>
      <ns0:c r="H99" s="29"/>
      <ns0:c r="I99" s="29"/>
      <ns0:c r="J99" s="29"/>
      <ns0:c r="K99" s="29"/>
    </ns0:row>
    <ns0:row r="100" ht="28" customHeight="1">
      <ns0:c r="A100" s="29"/>
      <ns0:c r="B100" s="30"/>
      <ns0:c r="C100" s="28"/>
      <ns0:c r="D100" s="29"/>
      <ns0:c r="E100" s="31"/>
      <ns0:c r="F100" s="32"/>
      <ns0:c r="G100" s="29"/>
      <ns0:c r="H100" s="29"/>
      <ns0:c r="I100" s="29"/>
      <ns0:c r="J100" s="29"/>
      <ns0:c r="K100" s="29"/>
    </ns0:row>
    <ns0:row r="101" ht="28" customHeight="1">
      <ns0:c r="A101" s="29"/>
      <ns0:c r="B101" s="30"/>
      <ns0:c r="C101" s="28"/>
      <ns0:c r="D101" s="29"/>
      <ns0:c r="E101" s="31"/>
      <ns0:c r="F101" s="32"/>
      <ns0:c r="G101" s="29"/>
      <ns0:c r="H101" s="29"/>
      <ns0:c r="I101" s="29"/>
      <ns0:c r="J101" s="29"/>
      <ns0:c r="K101" s="29"/>
    </ns0:row>
    <ns0:row r="102" ht="28" customHeight="1">
      <ns0:c r="A102" s="29"/>
      <ns0:c r="B102" s="30"/>
      <ns0:c r="C102" s="28"/>
      <ns0:c r="D102" s="29"/>
      <ns0:c r="E102" s="31"/>
      <ns0:c r="F102" s="32"/>
      <ns0:c r="G102" s="29"/>
      <ns0:c r="H102" s="29"/>
      <ns0:c r="I102" s="29"/>
      <ns0:c r="J102" s="29"/>
      <ns0:c r="K102" s="29"/>
    </ns0:row>
    <ns0:row r="103" ht="28" customHeight="1">
      <ns0:c r="A103" s="29"/>
      <ns0:c r="B103" s="30"/>
      <ns0:c r="C103" s="28"/>
      <ns0:c r="D103" s="29"/>
      <ns0:c r="E103" s="31"/>
      <ns0:c r="F103" s="32"/>
      <ns0:c r="G103" s="29"/>
      <ns0:c r="H103" s="29"/>
      <ns0:c r="I103" s="29"/>
      <ns0:c r="J103" s="29"/>
      <ns0:c r="K103" s="29"/>
    </ns0:row>
    <ns0:row r="104" ht="28" customHeight="1">
      <ns0:c r="A104" s="29"/>
      <ns0:c r="B104" s="30"/>
      <ns0:c r="C104" s="28"/>
      <ns0:c r="D104" s="29"/>
      <ns0:c r="E104" s="31"/>
      <ns0:c r="F104" s="32"/>
      <ns0:c r="G104" s="29"/>
      <ns0:c r="H104" s="29"/>
      <ns0:c r="I104" s="29"/>
      <ns0:c r="J104" s="29"/>
      <ns0:c r="K104" s="29"/>
    </ns0:row>
    <ns0:row r="105" ht="28" customHeight="1">
      <ns0:c r="A105" s="29"/>
      <ns0:c r="B105" s="30"/>
      <ns0:c r="C105" s="28"/>
      <ns0:c r="D105" s="29"/>
      <ns0:c r="E105" s="31"/>
      <ns0:c r="F105" s="32"/>
      <ns0:c r="G105" s="29"/>
      <ns0:c r="H105" s="29"/>
      <ns0:c r="I105" s="29"/>
      <ns0:c r="J105" s="29"/>
      <ns0:c r="K105" s="29"/>
    </ns0:row>
    <ns0:row r="106" ht="28" customHeight="1">
      <ns0:c r="A106" s="29"/>
      <ns0:c r="B106" s="30"/>
      <ns0:c r="C106" s="28"/>
      <ns0:c r="D106" s="29"/>
      <ns0:c r="E106" s="31"/>
      <ns0:c r="F106" s="32"/>
      <ns0:c r="G106" s="29"/>
      <ns0:c r="H106" s="29"/>
      <ns0:c r="I106" s="29"/>
      <ns0:c r="J106" s="29"/>
      <ns0:c r="K106" s="29"/>
    </ns0:row>
    <ns0:row r="107" ht="28" customHeight="1">
      <ns0:c r="A107" s="29"/>
      <ns0:c r="B107" s="30"/>
      <ns0:c r="C107" s="28"/>
      <ns0:c r="D107" s="29"/>
      <ns0:c r="E107" s="31"/>
      <ns0:c r="F107" s="32"/>
      <ns0:c r="G107" s="29"/>
      <ns0:c r="H107" s="29"/>
      <ns0:c r="I107" s="29"/>
      <ns0:c r="J107" s="29"/>
      <ns0:c r="K107" s="29"/>
    </ns0:row>
    <ns0:row r="108" ht="28" customHeight="1">
      <ns0:c r="A108" s="29"/>
      <ns0:c r="B108" s="30"/>
      <ns0:c r="C108" s="28"/>
      <ns0:c r="D108" s="29"/>
      <ns0:c r="E108" s="31"/>
      <ns0:c r="F108" s="32"/>
      <ns0:c r="G108" s="29"/>
      <ns0:c r="H108" s="29"/>
      <ns0:c r="I108" s="29"/>
      <ns0:c r="J108" s="29"/>
      <ns0:c r="K108" s="29"/>
    </ns0:row>
    <ns0:row r="109" ht="28" customHeight="1">
      <ns0:c r="A109" s="29"/>
      <ns0:c r="B109" s="30"/>
      <ns0:c r="C109" s="28"/>
      <ns0:c r="D109" s="29"/>
      <ns0:c r="E109" s="31"/>
      <ns0:c r="F109" s="32"/>
      <ns0:c r="G109" s="29"/>
      <ns0:c r="H109" s="29"/>
      <ns0:c r="I109" s="29"/>
      <ns0:c r="J109" s="29"/>
      <ns0:c r="K109" s="29"/>
    </ns0:row>
    <ns0:row r="110" ht="28" customHeight="1">
      <ns0:c r="A110" s="29"/>
      <ns0:c r="B110" s="30"/>
      <ns0:c r="C110" s="28"/>
      <ns0:c r="D110" s="29"/>
      <ns0:c r="E110" s="31"/>
      <ns0:c r="F110" s="32"/>
      <ns0:c r="G110" s="29"/>
      <ns0:c r="H110" s="29"/>
      <ns0:c r="I110" s="29"/>
      <ns0:c r="J110" s="29"/>
      <ns0:c r="K110" s="29"/>
    </ns0:row>
    <ns0:row r="111" ht="28" customHeight="1">
      <ns0:c r="A111" s="29"/>
      <ns0:c r="B111" s="30"/>
      <ns0:c r="C111" s="28"/>
      <ns0:c r="D111" s="29"/>
      <ns0:c r="E111" s="31"/>
      <ns0:c r="F111" s="32"/>
      <ns0:c r="G111" s="29"/>
      <ns0:c r="H111" s="29"/>
      <ns0:c r="I111" s="29"/>
      <ns0:c r="J111" s="29"/>
      <ns0:c r="K111" s="29"/>
    </ns0:row>
    <ns0:row r="112" ht="28" customHeight="1">
      <ns0:c r="A112" s="29"/>
      <ns0:c r="B112" s="30"/>
      <ns0:c r="C112" s="28"/>
      <ns0:c r="D112" s="29"/>
      <ns0:c r="E112" s="31"/>
      <ns0:c r="F112" s="32"/>
      <ns0:c r="G112" s="29"/>
      <ns0:c r="H112" s="29"/>
      <ns0:c r="I112" s="29"/>
      <ns0:c r="J112" s="29"/>
      <ns0:c r="K112" s="29"/>
    </ns0:row>
    <ns0:row r="113" ht="28" customHeight="1">
      <ns0:c r="A113" s="29"/>
      <ns0:c r="B113" s="30"/>
      <ns0:c r="C113" s="28"/>
      <ns0:c r="D113" s="29"/>
      <ns0:c r="E113" s="31"/>
      <ns0:c r="F113" s="32"/>
      <ns0:c r="G113" s="29"/>
      <ns0:c r="H113" s="29"/>
      <ns0:c r="I113" s="29"/>
      <ns0:c r="J113" s="29"/>
      <ns0:c r="K113" s="29"/>
    </ns0:row>
    <ns0:row r="114" ht="28" customHeight="1">
      <ns0:c r="A114" s="29"/>
      <ns0:c r="B114" s="30"/>
      <ns0:c r="C114" s="28"/>
      <ns0:c r="D114" s="29"/>
      <ns0:c r="E114" s="31"/>
      <ns0:c r="F114" s="32"/>
      <ns0:c r="G114" s="29"/>
      <ns0:c r="H114" s="29"/>
      <ns0:c r="I114" s="29"/>
      <ns0:c r="J114" s="29"/>
      <ns0:c r="K114" s="29"/>
    </ns0:row>
    <ns0:row r="115" ht="28" customHeight="1">
      <ns0:c r="A115" s="29"/>
      <ns0:c r="B115" s="30"/>
      <ns0:c r="C115" s="28"/>
      <ns0:c r="D115" s="29"/>
      <ns0:c r="E115" s="31"/>
      <ns0:c r="F115" s="32"/>
      <ns0:c r="G115" s="29"/>
      <ns0:c r="H115" s="29"/>
      <ns0:c r="I115" s="29"/>
      <ns0:c r="J115" s="29"/>
      <ns0:c r="K115" s="29"/>
    </ns0:row>
    <ns0:row r="116" ht="28" customHeight="1">
      <ns0:c r="A116" s="29"/>
      <ns0:c r="B116" s="30"/>
      <ns0:c r="C116" s="28"/>
      <ns0:c r="D116" s="29"/>
      <ns0:c r="E116" s="31"/>
      <ns0:c r="F116" s="32"/>
      <ns0:c r="G116" s="29"/>
      <ns0:c r="H116" s="29"/>
      <ns0:c r="I116" s="29"/>
      <ns0:c r="J116" s="29"/>
      <ns0:c r="K116" s="29"/>
    </ns0:row>
    <ns0:row r="117" ht="28" customHeight="1">
      <ns0:c r="A117" s="29"/>
      <ns0:c r="B117" s="30"/>
      <ns0:c r="C117" s="28"/>
      <ns0:c r="D117" s="29"/>
      <ns0:c r="E117" s="31"/>
      <ns0:c r="F117" s="32"/>
      <ns0:c r="G117" s="29"/>
      <ns0:c r="H117" s="29"/>
      <ns0:c r="I117" s="29"/>
      <ns0:c r="J117" s="29"/>
      <ns0:c r="K117" s="29"/>
    </ns0:row>
    <ns0:row r="118" ht="28" customHeight="1">
      <ns0:c r="A118" s="29"/>
      <ns0:c r="B118" s="30"/>
      <ns0:c r="C118" s="28"/>
      <ns0:c r="D118" s="29"/>
      <ns0:c r="E118" s="31"/>
      <ns0:c r="F118" s="32"/>
      <ns0:c r="G118" s="29"/>
      <ns0:c r="H118" s="29"/>
      <ns0:c r="I118" s="29"/>
      <ns0:c r="J118" s="29"/>
      <ns0:c r="K118" s="29"/>
    </ns0:row>
    <ns0:row r="119" ht="28" customHeight="1">
      <ns0:c r="A119" s="29"/>
      <ns0:c r="B119" s="30"/>
      <ns0:c r="C119" s="28"/>
      <ns0:c r="D119" s="29"/>
      <ns0:c r="E119" s="31"/>
      <ns0:c r="F119" s="32"/>
      <ns0:c r="G119" s="29"/>
      <ns0:c r="H119" s="29"/>
      <ns0:c r="I119" s="29"/>
      <ns0:c r="J119" s="29"/>
      <ns0:c r="K119" s="29"/>
    </ns0:row>
    <ns0:row r="120" ht="28" customHeight="1">
      <ns0:c r="A120" s="29"/>
      <ns0:c r="B120" s="30"/>
      <ns0:c r="C120" s="28"/>
      <ns0:c r="D120" s="29"/>
      <ns0:c r="E120" s="31"/>
      <ns0:c r="F120" s="32"/>
      <ns0:c r="G120" s="29"/>
      <ns0:c r="H120" s="29"/>
      <ns0:c r="I120" s="29"/>
      <ns0:c r="J120" s="29"/>
      <ns0:c r="K120" s="29"/>
    </ns0:row>
    <ns0:row r="121" ht="28" customHeight="1">
      <ns0:c r="A121" s="29"/>
      <ns0:c r="B121" s="30"/>
      <ns0:c r="C121" s="28"/>
      <ns0:c r="D121" s="29"/>
      <ns0:c r="E121" s="31"/>
      <ns0:c r="F121" s="32"/>
      <ns0:c r="G121" s="29"/>
      <ns0:c r="H121" s="29"/>
      <ns0:c r="I121" s="29"/>
      <ns0:c r="J121" s="29"/>
      <ns0:c r="K121" s="29"/>
    </ns0:row>
    <ns0:row r="122" ht="28" customHeight="1">
      <ns0:c r="A122" s="29"/>
      <ns0:c r="B122" s="30"/>
      <ns0:c r="C122" s="28"/>
      <ns0:c r="D122" s="29"/>
      <ns0:c r="E122" s="31"/>
      <ns0:c r="F122" s="32"/>
      <ns0:c r="G122" s="29"/>
      <ns0:c r="H122" s="29"/>
      <ns0:c r="I122" s="29"/>
      <ns0:c r="J122" s="29"/>
      <ns0:c r="K122" s="29"/>
    </ns0:row>
    <ns0:row r="123" ht="28" customHeight="1">
      <ns0:c r="A123" s="29"/>
      <ns0:c r="B123" s="30"/>
      <ns0:c r="C123" s="28"/>
      <ns0:c r="D123" s="29"/>
      <ns0:c r="E123" s="31"/>
      <ns0:c r="F123" s="32"/>
      <ns0:c r="G123" s="29"/>
      <ns0:c r="H123" s="29"/>
      <ns0:c r="I123" s="29"/>
      <ns0:c r="J123" s="29"/>
      <ns0:c r="K123" s="29"/>
    </ns0:row>
    <ns0:row r="124" ht="28" customHeight="1">
      <ns0:c r="A124" s="29"/>
      <ns0:c r="B124" s="30"/>
      <ns0:c r="C124" s="28"/>
      <ns0:c r="D124" s="29"/>
      <ns0:c r="E124" s="31"/>
      <ns0:c r="F124" s="32"/>
      <ns0:c r="G124" s="29"/>
      <ns0:c r="H124" s="29"/>
      <ns0:c r="I124" s="29"/>
      <ns0:c r="J124" s="29"/>
      <ns0:c r="K124" s="29"/>
    </ns0:row>
    <ns0:row r="125" ht="28" customHeight="1">
      <ns0:c r="A125" s="29"/>
      <ns0:c r="B125" s="30"/>
      <ns0:c r="C125" s="28"/>
      <ns0:c r="D125" s="29"/>
      <ns0:c r="E125" s="31"/>
      <ns0:c r="F125" s="32"/>
      <ns0:c r="G125" s="29"/>
      <ns0:c r="H125" s="29"/>
      <ns0:c r="I125" s="29"/>
      <ns0:c r="J125" s="29"/>
      <ns0:c r="K125" s="29"/>
    </ns0:row>
    <ns0:row r="126" ht="28" customHeight="1">
      <ns0:c r="A126" s="29"/>
      <ns0:c r="B126" s="30"/>
      <ns0:c r="C126" s="28"/>
      <ns0:c r="D126" s="29"/>
      <ns0:c r="E126" s="31"/>
      <ns0:c r="F126" s="32"/>
      <ns0:c r="G126" s="29"/>
      <ns0:c r="H126" s="29"/>
      <ns0:c r="I126" s="29"/>
      <ns0:c r="J126" s="29"/>
      <ns0:c r="K126" s="29"/>
    </ns0:row>
    <ns0:row r="127" ht="28" customHeight="1">
      <ns0:c r="A127" s="29"/>
      <ns0:c r="B127" s="30"/>
      <ns0:c r="C127" s="28"/>
      <ns0:c r="D127" s="29"/>
      <ns0:c r="E127" s="31"/>
      <ns0:c r="F127" s="32"/>
      <ns0:c r="G127" s="29"/>
      <ns0:c r="H127" s="29"/>
      <ns0:c r="I127" s="29"/>
      <ns0:c r="J127" s="29"/>
      <ns0:c r="K127" s="29"/>
    </ns0:row>
    <ns0:row r="128" ht="28" customHeight="1">
      <ns0:c r="A128" s="29"/>
      <ns0:c r="B128" s="30"/>
      <ns0:c r="C128" s="28"/>
      <ns0:c r="D128" s="29"/>
      <ns0:c r="E128" s="31"/>
      <ns0:c r="F128" s="32"/>
      <ns0:c r="G128" s="29"/>
      <ns0:c r="H128" s="29"/>
      <ns0:c r="I128" s="29"/>
      <ns0:c r="J128" s="29"/>
      <ns0:c r="K128" s="29"/>
    </ns0:row>
    <ns0:row r="129" ht="28" customHeight="1">
      <ns0:c r="A129" s="29"/>
      <ns0:c r="B129" s="30"/>
      <ns0:c r="C129" s="28"/>
      <ns0:c r="D129" s="29"/>
      <ns0:c r="E129" s="31"/>
      <ns0:c r="F129" s="32"/>
      <ns0:c r="G129" s="29"/>
      <ns0:c r="H129" s="29"/>
      <ns0:c r="I129" s="29"/>
      <ns0:c r="J129" s="29"/>
      <ns0:c r="K129" s="29"/>
    </ns0:row>
    <ns0:row r="130" ht="28" customHeight="1">
      <ns0:c r="A130" s="29"/>
      <ns0:c r="B130" s="30"/>
      <ns0:c r="C130" s="28"/>
      <ns0:c r="D130" s="29"/>
      <ns0:c r="E130" s="31"/>
      <ns0:c r="F130" s="32"/>
      <ns0:c r="G130" s="29"/>
      <ns0:c r="H130" s="29"/>
      <ns0:c r="I130" s="29"/>
      <ns0:c r="J130" s="29"/>
      <ns0:c r="K130" s="29"/>
    </ns0:row>
    <ns0:row r="131" ht="28" customHeight="1">
      <ns0:c r="A131" s="29"/>
      <ns0:c r="B131" s="30"/>
      <ns0:c r="C131" s="28"/>
      <ns0:c r="D131" s="29"/>
      <ns0:c r="E131" s="31"/>
      <ns0:c r="F131" s="32"/>
      <ns0:c r="G131" s="29"/>
      <ns0:c r="H131" s="29"/>
      <ns0:c r="I131" s="29"/>
      <ns0:c r="J131" s="29"/>
      <ns0:c r="K131" s="29"/>
    </ns0:row>
    <ns0:row r="132" ht="28" customHeight="1">
      <ns0:c r="A132" s="29"/>
      <ns0:c r="B132" s="30"/>
      <ns0:c r="C132" s="28"/>
      <ns0:c r="D132" s="29"/>
      <ns0:c r="E132" s="31"/>
      <ns0:c r="F132" s="32"/>
      <ns0:c r="G132" s="29"/>
      <ns0:c r="H132" s="29"/>
      <ns0:c r="I132" s="29"/>
      <ns0:c r="J132" s="29"/>
      <ns0:c r="K132" s="29"/>
    </ns0:row>
    <ns0:row r="133" ht="28" customHeight="1">
      <ns0:c r="A133" s="29"/>
      <ns0:c r="B133" s="30"/>
      <ns0:c r="C133" s="28"/>
      <ns0:c r="D133" s="29"/>
      <ns0:c r="E133" s="31"/>
      <ns0:c r="F133" s="32"/>
      <ns0:c r="G133" s="29"/>
      <ns0:c r="H133" s="29"/>
      <ns0:c r="I133" s="29"/>
      <ns0:c r="J133" s="29"/>
      <ns0:c r="K133" s="29"/>
    </ns0:row>
    <ns0:row r="134" ht="28" customHeight="1">
      <ns0:c r="A134" s="29"/>
      <ns0:c r="B134" s="30"/>
      <ns0:c r="C134" s="28"/>
      <ns0:c r="D134" s="29"/>
      <ns0:c r="E134" s="31"/>
      <ns0:c r="F134" s="32"/>
      <ns0:c r="G134" s="29"/>
      <ns0:c r="H134" s="29"/>
      <ns0:c r="I134" s="29"/>
      <ns0:c r="J134" s="29"/>
      <ns0:c r="K134" s="29"/>
    </ns0:row>
    <ns0:row r="135" ht="28" customHeight="1">
      <ns0:c r="A135" s="29"/>
      <ns0:c r="B135" s="30"/>
      <ns0:c r="C135" s="28"/>
      <ns0:c r="D135" s="29"/>
      <ns0:c r="E135" s="31"/>
      <ns0:c r="F135" s="32"/>
      <ns0:c r="G135" s="29"/>
      <ns0:c r="H135" s="29"/>
      <ns0:c r="I135" s="29"/>
      <ns0:c r="J135" s="29"/>
      <ns0:c r="K135" s="29"/>
    </ns0:row>
    <ns0:row r="136" ht="28" customHeight="1">
      <ns0:c r="A136" s="29"/>
      <ns0:c r="B136" s="30"/>
      <ns0:c r="C136" s="28"/>
      <ns0:c r="D136" s="29"/>
      <ns0:c r="E136" s="31"/>
      <ns0:c r="F136" s="32"/>
      <ns0:c r="G136" s="29"/>
      <ns0:c r="H136" s="29"/>
      <ns0:c r="I136" s="29"/>
      <ns0:c r="J136" s="29"/>
      <ns0:c r="K136" s="29"/>
    </ns0:row>
    <ns0:row r="137" ht="28" customHeight="1">
      <ns0:c r="A137" s="29"/>
      <ns0:c r="B137" s="30"/>
      <ns0:c r="C137" s="28"/>
      <ns0:c r="D137" s="29"/>
      <ns0:c r="E137" s="31"/>
      <ns0:c r="F137" s="32"/>
      <ns0:c r="G137" s="29"/>
      <ns0:c r="H137" s="29"/>
      <ns0:c r="I137" s="29"/>
      <ns0:c r="J137" s="29"/>
      <ns0:c r="K137" s="29"/>
    </ns0:row>
    <ns0:row r="138" ht="28" customHeight="1">
      <ns0:c r="A138" s="29"/>
      <ns0:c r="B138" s="30"/>
      <ns0:c r="C138" s="28"/>
      <ns0:c r="D138" s="29"/>
      <ns0:c r="E138" s="31"/>
      <ns0:c r="F138" s="32"/>
      <ns0:c r="G138" s="29"/>
      <ns0:c r="H138" s="29"/>
      <ns0:c r="I138" s="29"/>
      <ns0:c r="J138" s="29"/>
      <ns0:c r="K138" s="29"/>
    </ns0:row>
    <ns0:row r="139" ht="28" customHeight="1">
      <ns0:c r="A139" s="29"/>
      <ns0:c r="B139" s="30"/>
      <ns0:c r="C139" s="28"/>
      <ns0:c r="D139" s="29"/>
      <ns0:c r="E139" s="31"/>
      <ns0:c r="F139" s="32"/>
      <ns0:c r="G139" s="29"/>
      <ns0:c r="H139" s="29"/>
      <ns0:c r="I139" s="29"/>
      <ns0:c r="J139" s="29"/>
      <ns0:c r="K139" s="29"/>
    </ns0:row>
    <ns0:row r="140" ht="28" customHeight="1">
      <ns0:c r="A140" s="29"/>
      <ns0:c r="B140" s="30"/>
      <ns0:c r="C140" s="28"/>
      <ns0:c r="D140" s="29"/>
      <ns0:c r="E140" s="31"/>
      <ns0:c r="F140" s="32"/>
      <ns0:c r="G140" s="29"/>
      <ns0:c r="H140" s="29"/>
      <ns0:c r="I140" s="29"/>
      <ns0:c r="J140" s="29"/>
      <ns0:c r="K140" s="29"/>
    </ns0:row>
    <ns0:row r="141" ht="28" customHeight="1">
      <ns0:c r="A141" s="29"/>
      <ns0:c r="B141" s="30"/>
      <ns0:c r="C141" s="28"/>
      <ns0:c r="D141" s="29"/>
      <ns0:c r="E141" s="31"/>
      <ns0:c r="F141" s="32"/>
      <ns0:c r="G141" s="29"/>
      <ns0:c r="H141" s="29"/>
      <ns0:c r="I141" s="29"/>
      <ns0:c r="J141" s="29"/>
      <ns0:c r="K141" s="29"/>
    </ns0:row>
    <ns0:row r="142" ht="28" customHeight="1">
      <ns0:c r="A142" s="29"/>
      <ns0:c r="B142" s="30"/>
      <ns0:c r="C142" s="28"/>
      <ns0:c r="D142" s="29"/>
      <ns0:c r="E142" s="31"/>
      <ns0:c r="F142" s="32"/>
      <ns0:c r="G142" s="29"/>
      <ns0:c r="H142" s="29"/>
      <ns0:c r="I142" s="29"/>
      <ns0:c r="J142" s="29"/>
      <ns0:c r="K142" s="29"/>
    </ns0:row>
    <ns0:row r="143" ht="28" customHeight="1">
      <ns0:c r="A143" s="29"/>
      <ns0:c r="B143" s="30"/>
      <ns0:c r="C143" s="28"/>
      <ns0:c r="D143" s="29"/>
      <ns0:c r="E143" s="31"/>
      <ns0:c r="F143" s="32"/>
      <ns0:c r="G143" s="29"/>
      <ns0:c r="H143" s="29"/>
      <ns0:c r="I143" s="29"/>
      <ns0:c r="J143" s="29"/>
      <ns0:c r="K143" s="29"/>
    </ns0:row>
    <ns0:row r="144" ht="28" customHeight="1">
      <ns0:c r="A144" s="29"/>
      <ns0:c r="B144" s="30"/>
      <ns0:c r="C144" s="28"/>
      <ns0:c r="D144" s="29"/>
      <ns0:c r="E144" s="31"/>
      <ns0:c r="F144" s="32"/>
      <ns0:c r="G144" s="29"/>
      <ns0:c r="H144" s="29"/>
      <ns0:c r="I144" s="29"/>
      <ns0:c r="J144" s="29"/>
      <ns0:c r="K144" s="29"/>
    </ns0:row>
    <ns0:row r="145" ht="28" customHeight="1">
      <ns0:c r="A145" s="29"/>
      <ns0:c r="B145" s="30"/>
      <ns0:c r="C145" s="28"/>
      <ns0:c r="D145" s="29"/>
      <ns0:c r="E145" s="31"/>
      <ns0:c r="F145" s="32"/>
      <ns0:c r="G145" s="29"/>
      <ns0:c r="H145" s="29"/>
      <ns0:c r="I145" s="29"/>
      <ns0:c r="J145" s="29"/>
      <ns0:c r="K145" s="29"/>
    </ns0:row>
    <ns0:row r="146" ht="28" customHeight="1">
      <ns0:c r="A146" s="29"/>
      <ns0:c r="B146" s="30"/>
      <ns0:c r="C146" s="28"/>
      <ns0:c r="D146" s="29"/>
      <ns0:c r="E146" s="31"/>
      <ns0:c r="F146" s="32"/>
      <ns0:c r="G146" s="29"/>
      <ns0:c r="H146" s="29"/>
      <ns0:c r="I146" s="29"/>
      <ns0:c r="J146" s="29"/>
      <ns0:c r="K146" s="29"/>
    </ns0:row>
    <ns0:row r="147" ht="28" customHeight="1">
      <ns0:c r="A147" s="29"/>
      <ns0:c r="B147" s="30"/>
      <ns0:c r="C147" s="28"/>
      <ns0:c r="D147" s="29"/>
      <ns0:c r="E147" s="31"/>
      <ns0:c r="F147" s="32"/>
      <ns0:c r="G147" s="29"/>
      <ns0:c r="H147" s="29"/>
      <ns0:c r="I147" s="29"/>
      <ns0:c r="J147" s="29"/>
      <ns0:c r="K147" s="29"/>
    </ns0:row>
    <ns0:row r="148" ht="28" customHeight="1">
      <ns0:c r="A148" s="29"/>
      <ns0:c r="B148" s="30"/>
      <ns0:c r="C148" s="28"/>
      <ns0:c r="D148" s="29"/>
      <ns0:c r="E148" s="31"/>
      <ns0:c r="F148" s="32"/>
      <ns0:c r="G148" s="29"/>
      <ns0:c r="H148" s="29"/>
      <ns0:c r="I148" s="29"/>
      <ns0:c r="J148" s="29"/>
      <ns0:c r="K148" s="29"/>
    </ns0:row>
    <ns0:row r="149" ht="28" customHeight="1">
      <ns0:c r="A149" s="29"/>
      <ns0:c r="B149" s="30"/>
      <ns0:c r="C149" s="28"/>
      <ns0:c r="D149" s="29"/>
      <ns0:c r="E149" s="31"/>
      <ns0:c r="F149" s="32"/>
      <ns0:c r="G149" s="29"/>
      <ns0:c r="H149" s="29"/>
      <ns0:c r="I149" s="29"/>
      <ns0:c r="J149" s="29"/>
      <ns0:c r="K149" s="29"/>
    </ns0:row>
    <ns0:row r="150" ht="28" customHeight="1">
      <ns0:c r="A150" s="29"/>
      <ns0:c r="B150" s="30"/>
      <ns0:c r="C150" s="28"/>
      <ns0:c r="D150" s="29"/>
      <ns0:c r="E150" s="31"/>
      <ns0:c r="F150" s="32"/>
      <ns0:c r="G150" s="29"/>
      <ns0:c r="H150" s="29"/>
      <ns0:c r="I150" s="29"/>
      <ns0:c r="J150" s="29"/>
      <ns0:c r="K150" s="29"/>
    </ns0:row>
    <ns0:row r="151" ht="28" customHeight="1">
      <ns0:c r="A151" s="29"/>
      <ns0:c r="B151" s="30"/>
      <ns0:c r="C151" s="28"/>
      <ns0:c r="D151" s="29"/>
      <ns0:c r="E151" s="31"/>
      <ns0:c r="F151" s="32"/>
      <ns0:c r="G151" s="29"/>
      <ns0:c r="H151" s="29"/>
      <ns0:c r="I151" s="29"/>
      <ns0:c r="J151" s="29"/>
      <ns0:c r="K151" s="29"/>
    </ns0:row>
    <ns0:row r="152" ht="28" customHeight="1">
      <ns0:c r="A152" s="29"/>
      <ns0:c r="B152" s="30"/>
      <ns0:c r="C152" s="28"/>
      <ns0:c r="D152" s="29"/>
      <ns0:c r="E152" s="31"/>
      <ns0:c r="F152" s="32"/>
      <ns0:c r="G152" s="29"/>
      <ns0:c r="H152" s="29"/>
      <ns0:c r="I152" s="29"/>
      <ns0:c r="J152" s="29"/>
      <ns0:c r="K152" s="29"/>
    </ns0:row>
    <ns0:row r="153" ht="28" customHeight="1">
      <ns0:c r="A153" s="29"/>
      <ns0:c r="B153" s="30"/>
      <ns0:c r="C153" s="28"/>
      <ns0:c r="D153" s="29"/>
      <ns0:c r="E153" s="31"/>
      <ns0:c r="F153" s="32"/>
      <ns0:c r="G153" s="29"/>
      <ns0:c r="H153" s="29"/>
      <ns0:c r="I153" s="29"/>
      <ns0:c r="J153" s="29"/>
      <ns0:c r="K153" s="29"/>
    </ns0:row>
    <ns0:row r="154" ht="28" customHeight="1">
      <ns0:c r="A154" s="29"/>
      <ns0:c r="B154" s="30"/>
      <ns0:c r="C154" s="28"/>
      <ns0:c r="D154" s="29"/>
      <ns0:c r="E154" s="31"/>
      <ns0:c r="F154" s="32"/>
      <ns0:c r="G154" s="29"/>
      <ns0:c r="H154" s="29"/>
      <ns0:c r="I154" s="29"/>
      <ns0:c r="J154" s="29"/>
      <ns0:c r="K154" s="29"/>
    </ns0:row>
    <ns0:row r="155" ht="28" customHeight="1">
      <ns0:c r="A155" s="29"/>
      <ns0:c r="B155" s="30"/>
      <ns0:c r="C155" s="28"/>
      <ns0:c r="D155" s="29"/>
      <ns0:c r="E155" s="31"/>
      <ns0:c r="F155" s="32"/>
      <ns0:c r="G155" s="29"/>
      <ns0:c r="H155" s="29"/>
      <ns0:c r="I155" s="29"/>
      <ns0:c r="J155" s="29"/>
      <ns0:c r="K155" s="29"/>
    </ns0:row>
    <ns0:row r="156" ht="28" customHeight="1">
      <ns0:c r="A156" s="29"/>
      <ns0:c r="B156" s="30"/>
      <ns0:c r="C156" s="28"/>
      <ns0:c r="D156" s="29"/>
      <ns0:c r="E156" s="31"/>
      <ns0:c r="F156" s="32"/>
      <ns0:c r="G156" s="29"/>
      <ns0:c r="H156" s="29"/>
      <ns0:c r="I156" s="29"/>
      <ns0:c r="J156" s="29"/>
      <ns0:c r="K156" s="29"/>
    </ns0:row>
    <ns0:row r="157" ht="28" customHeight="1">
      <ns0:c r="A157" s="29"/>
      <ns0:c r="B157" s="30"/>
      <ns0:c r="C157" s="28"/>
      <ns0:c r="D157" s="29"/>
      <ns0:c r="E157" s="31"/>
      <ns0:c r="F157" s="32"/>
      <ns0:c r="G157" s="29"/>
      <ns0:c r="H157" s="29"/>
      <ns0:c r="I157" s="29"/>
      <ns0:c r="J157" s="29"/>
      <ns0:c r="K157" s="29"/>
    </ns0:row>
    <ns0:row r="158" ht="28" customHeight="1">
      <ns0:c r="A158" s="29"/>
      <ns0:c r="B158" s="30"/>
      <ns0:c r="C158" s="28"/>
      <ns0:c r="D158" s="29"/>
      <ns0:c r="E158" s="31"/>
      <ns0:c r="F158" s="32"/>
      <ns0:c r="G158" s="29"/>
      <ns0:c r="H158" s="29"/>
      <ns0:c r="I158" s="29"/>
      <ns0:c r="J158" s="29"/>
      <ns0:c r="K158" s="29"/>
    </ns0:row>
    <ns0:row r="159" ht="28" customHeight="1">
      <ns0:c r="A159" s="29"/>
      <ns0:c r="B159" s="30"/>
      <ns0:c r="C159" s="28"/>
      <ns0:c r="D159" s="29"/>
      <ns0:c r="E159" s="31"/>
      <ns0:c r="F159" s="32"/>
      <ns0:c r="G159" s="29"/>
      <ns0:c r="H159" s="29"/>
      <ns0:c r="I159" s="29"/>
      <ns0:c r="J159" s="29"/>
      <ns0:c r="K159" s="29"/>
    </ns0:row>
    <ns0:row r="160" ht="28" customHeight="1">
      <ns0:c r="A160" s="29"/>
      <ns0:c r="B160" s="30"/>
      <ns0:c r="C160" s="28"/>
      <ns0:c r="D160" s="29"/>
      <ns0:c r="E160" s="31"/>
      <ns0:c r="F160" s="32"/>
      <ns0:c r="G160" s="29"/>
      <ns0:c r="H160" s="29"/>
      <ns0:c r="I160" s="29"/>
      <ns0:c r="J160" s="29"/>
      <ns0:c r="K160" s="29"/>
    </ns0:row>
    <ns0:row r="161" ht="28" customHeight="1">
      <ns0:c r="A161" s="29"/>
      <ns0:c r="B161" s="30"/>
      <ns0:c r="C161" s="28"/>
      <ns0:c r="D161" s="29"/>
      <ns0:c r="E161" s="31"/>
      <ns0:c r="F161" s="32"/>
      <ns0:c r="G161" s="29"/>
      <ns0:c r="H161" s="29"/>
      <ns0:c r="I161" s="29"/>
      <ns0:c r="J161" s="29"/>
      <ns0:c r="K161" s="29"/>
    </ns0:row>
    <ns0:row r="162" ht="28" customHeight="1">
      <ns0:c r="A162" s="29"/>
      <ns0:c r="B162" s="30"/>
      <ns0:c r="C162" s="28"/>
      <ns0:c r="D162" s="29"/>
      <ns0:c r="E162" s="31"/>
      <ns0:c r="F162" s="32"/>
      <ns0:c r="G162" s="29"/>
      <ns0:c r="H162" s="29"/>
      <ns0:c r="I162" s="29"/>
      <ns0:c r="J162" s="29"/>
      <ns0:c r="K162" s="29"/>
    </ns0:row>
    <ns0:row r="163" ht="28" customHeight="1">
      <ns0:c r="A163" s="29"/>
      <ns0:c r="B163" s="30"/>
      <ns0:c r="C163" s="28"/>
      <ns0:c r="D163" s="29"/>
      <ns0:c r="E163" s="31"/>
      <ns0:c r="F163" s="32"/>
      <ns0:c r="G163" s="29"/>
      <ns0:c r="H163" s="29"/>
      <ns0:c r="I163" s="29"/>
      <ns0:c r="J163" s="29"/>
      <ns0:c r="K163" s="29"/>
    </ns0:row>
    <ns0:row r="164" ht="28" customHeight="1">
      <ns0:c r="A164" s="29"/>
      <ns0:c r="B164" s="30"/>
      <ns0:c r="C164" s="28"/>
      <ns0:c r="D164" s="29"/>
      <ns0:c r="E164" s="31"/>
      <ns0:c r="F164" s="32"/>
      <ns0:c r="G164" s="29"/>
      <ns0:c r="H164" s="29"/>
      <ns0:c r="I164" s="29"/>
      <ns0:c r="J164" s="29"/>
      <ns0:c r="K164" s="29"/>
    </ns0:row>
    <ns0:row r="165" ht="28" customHeight="1">
      <ns0:c r="A165" s="29"/>
      <ns0:c r="B165" s="30"/>
      <ns0:c r="C165" s="28"/>
      <ns0:c r="D165" s="29"/>
      <ns0:c r="E165" s="31"/>
      <ns0:c r="F165" s="32"/>
      <ns0:c r="G165" s="29"/>
      <ns0:c r="H165" s="29"/>
      <ns0:c r="I165" s="29"/>
      <ns0:c r="J165" s="29"/>
      <ns0:c r="K165" s="29"/>
    </ns0:row>
    <ns0:row r="166" ht="28" customHeight="1">
      <ns0:c r="A166" s="29"/>
      <ns0:c r="B166" s="30"/>
      <ns0:c r="C166" s="28"/>
      <ns0:c r="D166" s="29"/>
      <ns0:c r="E166" s="31"/>
      <ns0:c r="F166" s="32"/>
      <ns0:c r="G166" s="29"/>
      <ns0:c r="H166" s="29"/>
      <ns0:c r="I166" s="29"/>
      <ns0:c r="J166" s="29"/>
      <ns0:c r="K166" s="29"/>
    </ns0:row>
    <ns0:row r="167" ht="28" customHeight="1">
      <ns0:c r="A167" s="29"/>
      <ns0:c r="B167" s="30"/>
      <ns0:c r="C167" s="28"/>
      <ns0:c r="D167" s="29"/>
      <ns0:c r="E167" s="31"/>
      <ns0:c r="F167" s="32"/>
      <ns0:c r="G167" s="29"/>
      <ns0:c r="H167" s="29"/>
      <ns0:c r="I167" s="29"/>
      <ns0:c r="J167" s="29"/>
      <ns0:c r="K167" s="29"/>
    </ns0:row>
    <ns0:row r="168" ht="28" customHeight="1">
      <ns0:c r="A168" s="29"/>
      <ns0:c r="B168" s="30"/>
      <ns0:c r="C168" s="28"/>
      <ns0:c r="D168" s="29"/>
      <ns0:c r="E168" s="31"/>
      <ns0:c r="F168" s="32"/>
      <ns0:c r="G168" s="29"/>
      <ns0:c r="H168" s="29"/>
      <ns0:c r="I168" s="29"/>
      <ns0:c r="J168" s="29"/>
      <ns0:c r="K168" s="29"/>
    </ns0:row>
    <ns0:row r="169" ht="28" customHeight="1">
      <ns0:c r="A169" s="29"/>
      <ns0:c r="B169" s="30"/>
      <ns0:c r="C169" s="28"/>
      <ns0:c r="D169" s="29"/>
      <ns0:c r="E169" s="31"/>
      <ns0:c r="F169" s="32"/>
      <ns0:c r="G169" s="29"/>
      <ns0:c r="H169" s="29"/>
      <ns0:c r="I169" s="29"/>
      <ns0:c r="J169" s="29"/>
      <ns0:c r="K169" s="29"/>
    </ns0:row>
    <ns0:row r="170" ht="28" customHeight="1">
      <ns0:c r="A170" s="29"/>
      <ns0:c r="B170" s="30"/>
      <ns0:c r="C170" s="28"/>
      <ns0:c r="D170" s="29"/>
      <ns0:c r="E170" s="31"/>
      <ns0:c r="F170" s="32"/>
      <ns0:c r="G170" s="29"/>
      <ns0:c r="H170" s="29"/>
      <ns0:c r="I170" s="29"/>
      <ns0:c r="J170" s="29"/>
      <ns0:c r="K170" s="29"/>
    </ns0:row>
    <ns0:row r="171" ht="28" customHeight="1">
      <ns0:c r="A171" s="29"/>
      <ns0:c r="B171" s="30"/>
      <ns0:c r="C171" s="28"/>
      <ns0:c r="D171" s="29"/>
      <ns0:c r="E171" s="31"/>
      <ns0:c r="F171" s="32"/>
      <ns0:c r="G171" s="29"/>
      <ns0:c r="H171" s="29"/>
      <ns0:c r="I171" s="29"/>
      <ns0:c r="J171" s="29"/>
      <ns0:c r="K171" s="29"/>
    </ns0:row>
    <ns0:row r="172" ht="28" customHeight="1">
      <ns0:c r="A172" s="29"/>
      <ns0:c r="B172" s="30"/>
      <ns0:c r="C172" s="28"/>
      <ns0:c r="D172" s="29"/>
      <ns0:c r="E172" s="31"/>
      <ns0:c r="F172" s="32"/>
      <ns0:c r="G172" s="29"/>
      <ns0:c r="H172" s="29"/>
      <ns0:c r="I172" s="29"/>
      <ns0:c r="J172" s="29"/>
      <ns0:c r="K172" s="29"/>
    </ns0:row>
    <ns0:row r="173" ht="28" customHeight="1">
      <ns0:c r="A173" s="29"/>
      <ns0:c r="B173" s="30"/>
      <ns0:c r="C173" s="28"/>
      <ns0:c r="D173" s="29"/>
      <ns0:c r="E173" s="31"/>
      <ns0:c r="F173" s="32"/>
      <ns0:c r="G173" s="29"/>
      <ns0:c r="H173" s="29"/>
      <ns0:c r="I173" s="29"/>
      <ns0:c r="J173" s="29"/>
      <ns0:c r="K173" s="29"/>
    </ns0:row>
    <ns0:row r="174" ht="28" customHeight="1">
      <ns0:c r="A174" s="29"/>
      <ns0:c r="B174" s="30"/>
      <ns0:c r="C174" s="28"/>
      <ns0:c r="D174" s="29"/>
      <ns0:c r="E174" s="31"/>
      <ns0:c r="F174" s="32"/>
      <ns0:c r="G174" s="29"/>
      <ns0:c r="H174" s="29"/>
      <ns0:c r="I174" s="29"/>
      <ns0:c r="J174" s="29"/>
      <ns0:c r="K174" s="29"/>
    </ns0:row>
    <ns0:row r="175" ht="28" customHeight="1">
      <ns0:c r="A175" s="29"/>
      <ns0:c r="B175" s="30"/>
      <ns0:c r="C175" s="28"/>
      <ns0:c r="D175" s="29"/>
      <ns0:c r="E175" s="31"/>
      <ns0:c r="F175" s="32"/>
      <ns0:c r="G175" s="29"/>
      <ns0:c r="H175" s="29"/>
      <ns0:c r="I175" s="29"/>
      <ns0:c r="J175" s="29"/>
      <ns0:c r="K175" s="29"/>
    </ns0:row>
    <ns0:row r="176" ht="28" customHeight="1">
      <ns0:c r="A176" s="29"/>
      <ns0:c r="B176" s="30"/>
      <ns0:c r="C176" s="28"/>
      <ns0:c r="D176" s="29"/>
      <ns0:c r="E176" s="31"/>
      <ns0:c r="F176" s="32"/>
      <ns0:c r="G176" s="29"/>
      <ns0:c r="H176" s="29"/>
      <ns0:c r="I176" s="29"/>
      <ns0:c r="J176" s="29"/>
      <ns0:c r="K176" s="29"/>
    </ns0:row>
    <ns0:row r="177" ht="28" customHeight="1">
      <ns0:c r="A177" s="29"/>
      <ns0:c r="B177" s="30"/>
      <ns0:c r="C177" s="28"/>
      <ns0:c r="D177" s="29"/>
      <ns0:c r="E177" s="31"/>
      <ns0:c r="F177" s="32"/>
      <ns0:c r="G177" s="29"/>
      <ns0:c r="H177" s="29"/>
      <ns0:c r="I177" s="29"/>
      <ns0:c r="J177" s="29"/>
      <ns0:c r="K177" s="29"/>
    </ns0:row>
    <ns0:row r="178" ht="28" customHeight="1">
      <ns0:c r="A178" s="29"/>
      <ns0:c r="B178" s="30"/>
      <ns0:c r="C178" s="28"/>
      <ns0:c r="D178" s="29"/>
      <ns0:c r="E178" s="31"/>
      <ns0:c r="F178" s="32"/>
      <ns0:c r="G178" s="29"/>
      <ns0:c r="H178" s="29"/>
      <ns0:c r="I178" s="29"/>
      <ns0:c r="J178" s="29"/>
      <ns0:c r="K178" s="29"/>
    </ns0:row>
    <ns0:row r="179" ht="28" customHeight="1">
      <ns0:c r="A179" s="29"/>
      <ns0:c r="B179" s="30"/>
      <ns0:c r="C179" s="28"/>
      <ns0:c r="D179" s="29"/>
      <ns0:c r="E179" s="31"/>
      <ns0:c r="F179" s="32"/>
      <ns0:c r="G179" s="29"/>
      <ns0:c r="H179" s="29"/>
      <ns0:c r="I179" s="29"/>
      <ns0:c r="J179" s="29"/>
      <ns0:c r="K179" s="29"/>
    </ns0:row>
    <ns0:row r="180" ht="28" customHeight="1">
      <ns0:c r="A180" s="29"/>
      <ns0:c r="B180" s="30"/>
      <ns0:c r="C180" s="28"/>
      <ns0:c r="D180" s="29"/>
      <ns0:c r="E180" s="31"/>
      <ns0:c r="F180" s="32"/>
      <ns0:c r="G180" s="29"/>
      <ns0:c r="H180" s="29"/>
      <ns0:c r="I180" s="29"/>
      <ns0:c r="J180" s="29"/>
      <ns0:c r="K180" s="29"/>
    </ns0:row>
    <ns0:row r="181" ht="28" customHeight="1">
      <ns0:c r="A181" s="29"/>
      <ns0:c r="B181" s="30"/>
      <ns0:c r="C181" s="28"/>
      <ns0:c r="D181" s="29"/>
      <ns0:c r="E181" s="31"/>
      <ns0:c r="F181" s="32"/>
      <ns0:c r="G181" s="29"/>
      <ns0:c r="H181" s="29"/>
      <ns0:c r="I181" s="29"/>
      <ns0:c r="J181" s="29"/>
      <ns0:c r="K181" s="29"/>
    </ns0:row>
    <ns0:row r="182" ht="28" customHeight="1">
      <ns0:c r="A182" s="29"/>
      <ns0:c r="B182" s="30"/>
      <ns0:c r="C182" s="28"/>
      <ns0:c r="D182" s="29"/>
      <ns0:c r="E182" s="31"/>
      <ns0:c r="F182" s="32"/>
      <ns0:c r="G182" s="29"/>
      <ns0:c r="H182" s="29"/>
      <ns0:c r="I182" s="29"/>
      <ns0:c r="J182" s="29"/>
      <ns0:c r="K182" s="29"/>
    </ns0:row>
    <ns0:row r="183" ht="28" customHeight="1">
      <ns0:c r="A183" s="29"/>
      <ns0:c r="B183" s="30"/>
      <ns0:c r="C183" s="28"/>
      <ns0:c r="D183" s="29"/>
      <ns0:c r="E183" s="31"/>
      <ns0:c r="F183" s="32"/>
      <ns0:c r="G183" s="29"/>
      <ns0:c r="H183" s="29"/>
      <ns0:c r="I183" s="29"/>
      <ns0:c r="J183" s="29"/>
      <ns0:c r="K183" s="29"/>
    </ns0:row>
    <ns0:row r="184" ht="28" customHeight="1">
      <ns0:c r="A184" s="29"/>
      <ns0:c r="B184" s="30"/>
      <ns0:c r="C184" s="28"/>
      <ns0:c r="D184" s="29"/>
      <ns0:c r="E184" s="31"/>
      <ns0:c r="F184" s="32"/>
      <ns0:c r="G184" s="29"/>
      <ns0:c r="H184" s="29"/>
      <ns0:c r="I184" s="29"/>
      <ns0:c r="J184" s="29"/>
      <ns0:c r="K184" s="29"/>
    </ns0:row>
    <ns0:row r="185" ht="28" customHeight="1">
      <ns0:c r="A185" s="29"/>
      <ns0:c r="B185" s="30"/>
      <ns0:c r="C185" s="28"/>
      <ns0:c r="D185" s="29"/>
      <ns0:c r="E185" s="31"/>
      <ns0:c r="F185" s="32"/>
      <ns0:c r="G185" s="29"/>
      <ns0:c r="H185" s="29"/>
      <ns0:c r="I185" s="29"/>
      <ns0:c r="J185" s="29"/>
      <ns0:c r="K185" s="29"/>
    </ns0:row>
    <ns0:row r="186" ht="28" customHeight="1">
      <ns0:c r="A186" s="29"/>
      <ns0:c r="B186" s="30"/>
      <ns0:c r="C186" s="28"/>
      <ns0:c r="D186" s="29"/>
      <ns0:c r="E186" s="31"/>
      <ns0:c r="F186" s="32"/>
      <ns0:c r="G186" s="29"/>
      <ns0:c r="H186" s="29"/>
      <ns0:c r="I186" s="29"/>
      <ns0:c r="J186" s="29"/>
      <ns0:c r="K186" s="29"/>
    </ns0:row>
    <ns0:row r="187" ht="28" customHeight="1">
      <ns0:c r="A187" s="29"/>
      <ns0:c r="B187" s="30"/>
      <ns0:c r="C187" s="28"/>
      <ns0:c r="D187" s="29"/>
      <ns0:c r="E187" s="31"/>
      <ns0:c r="F187" s="32"/>
      <ns0:c r="G187" s="29"/>
      <ns0:c r="H187" s="29"/>
      <ns0:c r="I187" s="29"/>
      <ns0:c r="J187" s="29"/>
      <ns0:c r="K187" s="29"/>
    </ns0:row>
    <ns0:row r="188" ht="28" customHeight="1">
      <ns0:c r="A188" s="29"/>
      <ns0:c r="B188" s="30"/>
      <ns0:c r="C188" s="28"/>
      <ns0:c r="D188" s="29"/>
      <ns0:c r="E188" s="31"/>
      <ns0:c r="F188" s="32"/>
      <ns0:c r="G188" s="29"/>
      <ns0:c r="H188" s="29"/>
      <ns0:c r="I188" s="29"/>
      <ns0:c r="J188" s="29"/>
      <ns0:c r="K188" s="29"/>
    </ns0:row>
    <ns0:row r="189" ht="28" customHeight="1">
      <ns0:c r="A189" s="29"/>
      <ns0:c r="B189" s="30"/>
      <ns0:c r="C189" s="28"/>
      <ns0:c r="D189" s="29"/>
      <ns0:c r="E189" s="31"/>
      <ns0:c r="F189" s="32"/>
      <ns0:c r="G189" s="29"/>
      <ns0:c r="H189" s="29"/>
      <ns0:c r="I189" s="29"/>
      <ns0:c r="J189" s="29"/>
      <ns0:c r="K189" s="29"/>
    </ns0:row>
    <ns0:row r="190" ht="28" customHeight="1">
      <ns0:c r="A190" s="29"/>
      <ns0:c r="B190" s="30"/>
      <ns0:c r="C190" s="28"/>
      <ns0:c r="D190" s="29"/>
      <ns0:c r="E190" s="31"/>
      <ns0:c r="F190" s="32"/>
      <ns0:c r="G190" s="29"/>
      <ns0:c r="H190" s="29"/>
      <ns0:c r="I190" s="29"/>
      <ns0:c r="J190" s="29"/>
      <ns0:c r="K190" s="29"/>
    </ns0:row>
    <ns0:row r="191" ht="28" customHeight="1">
      <ns0:c r="A191" s="29"/>
      <ns0:c r="B191" s="30"/>
      <ns0:c r="C191" s="28"/>
      <ns0:c r="D191" s="29"/>
      <ns0:c r="E191" s="31"/>
      <ns0:c r="F191" s="32"/>
      <ns0:c r="G191" s="29"/>
      <ns0:c r="H191" s="29"/>
      <ns0:c r="I191" s="29"/>
      <ns0:c r="J191" s="29"/>
      <ns0:c r="K191" s="29"/>
    </ns0:row>
    <ns0:row r="192" ht="28" customHeight="1">
      <ns0:c r="A192" s="29"/>
      <ns0:c r="B192" s="30"/>
      <ns0:c r="C192" s="28"/>
      <ns0:c r="D192" s="29"/>
      <ns0:c r="E192" s="31"/>
      <ns0:c r="F192" s="32"/>
      <ns0:c r="G192" s="29"/>
      <ns0:c r="H192" s="29"/>
      <ns0:c r="I192" s="29"/>
      <ns0:c r="J192" s="29"/>
      <ns0:c r="K192" s="29"/>
    </ns0:row>
    <ns0:row r="193" ht="28" customHeight="1">
      <ns0:c r="A193" s="29"/>
      <ns0:c r="B193" s="30"/>
      <ns0:c r="C193" s="28"/>
      <ns0:c r="D193" s="29"/>
      <ns0:c r="E193" s="31"/>
      <ns0:c r="F193" s="32"/>
      <ns0:c r="G193" s="29"/>
      <ns0:c r="H193" s="29"/>
      <ns0:c r="I193" s="29"/>
      <ns0:c r="J193" s="29"/>
      <ns0:c r="K193" s="29"/>
    </ns0:row>
    <ns0:row r="194" ht="28" customHeight="1">
      <ns0:c r="A194" s="29"/>
      <ns0:c r="B194" s="30"/>
      <ns0:c r="C194" s="28"/>
      <ns0:c r="D194" s="29"/>
      <ns0:c r="E194" s="31"/>
      <ns0:c r="F194" s="32"/>
      <ns0:c r="G194" s="29"/>
      <ns0:c r="H194" s="29"/>
      <ns0:c r="I194" s="29"/>
      <ns0:c r="J194" s="29"/>
      <ns0:c r="K194" s="29"/>
    </ns0:row>
    <ns0:row r="195" ht="28" customHeight="1">
      <ns0:c r="A195" s="29"/>
      <ns0:c r="B195" s="30"/>
      <ns0:c r="C195" s="28"/>
      <ns0:c r="D195" s="29"/>
      <ns0:c r="E195" s="31"/>
      <ns0:c r="F195" s="32"/>
      <ns0:c r="G195" s="29"/>
      <ns0:c r="H195" s="29"/>
      <ns0:c r="I195" s="29"/>
      <ns0:c r="J195" s="29"/>
      <ns0:c r="K195" s="29"/>
    </ns0:row>
    <ns0:row r="196" ht="28" customHeight="1">
      <ns0:c r="A196" s="29"/>
      <ns0:c r="B196" s="30"/>
      <ns0:c r="C196" s="28"/>
      <ns0:c r="D196" s="29"/>
      <ns0:c r="E196" s="31"/>
      <ns0:c r="F196" s="32"/>
      <ns0:c r="G196" s="29"/>
      <ns0:c r="H196" s="29"/>
      <ns0:c r="I196" s="29"/>
      <ns0:c r="J196" s="29"/>
      <ns0:c r="K196" s="29"/>
    </ns0:row>
    <ns0:row r="197" ht="28" customHeight="1">
      <ns0:c r="A197" s="29"/>
      <ns0:c r="B197" s="30"/>
      <ns0:c r="C197" s="28"/>
      <ns0:c r="D197" s="29"/>
      <ns0:c r="E197" s="31"/>
      <ns0:c r="F197" s="32"/>
      <ns0:c r="G197" s="29"/>
      <ns0:c r="H197" s="29"/>
      <ns0:c r="I197" s="29"/>
      <ns0:c r="J197" s="29"/>
      <ns0:c r="K197" s="29"/>
    </ns0:row>
    <ns0:row r="198" ht="28" customHeight="1">
      <ns0:c r="A198" s="29"/>
      <ns0:c r="B198" s="30"/>
      <ns0:c r="C198" s="28"/>
      <ns0:c r="D198" s="29"/>
      <ns0:c r="E198" s="31"/>
      <ns0:c r="F198" s="32"/>
      <ns0:c r="G198" s="29"/>
      <ns0:c r="H198" s="29"/>
      <ns0:c r="I198" s="29"/>
      <ns0:c r="J198" s="29"/>
      <ns0:c r="K198" s="29"/>
    </ns0:row>
    <ns0:row r="199" ht="28" customHeight="1">
      <ns0:c r="A199" s="29"/>
      <ns0:c r="B199" s="30"/>
      <ns0:c r="C199" s="28"/>
      <ns0:c r="D199" s="29"/>
      <ns0:c r="E199" s="31"/>
      <ns0:c r="F199" s="32"/>
      <ns0:c r="G199" s="29"/>
      <ns0:c r="H199" s="29"/>
      <ns0:c r="I199" s="29"/>
      <ns0:c r="J199" s="29"/>
      <ns0:c r="K199" s="29"/>
    </ns0:row>
    <ns0:row r="200" ht="28" customHeight="1">
      <ns0:c r="A200" s="29"/>
      <ns0:c r="B200" s="30"/>
      <ns0:c r="C200" s="28"/>
      <ns0:c r="D200" s="29"/>
      <ns0:c r="E200" s="31"/>
      <ns0:c r="F200" s="32"/>
      <ns0:c r="G200" s="29"/>
      <ns0:c r="H200" s="29"/>
      <ns0:c r="I200" s="29"/>
      <ns0:c r="J200" s="29"/>
      <ns0:c r="K200" s="29"/>
    </ns0:row>
    <ns0:row r="201" ht="28" customHeight="1">
      <ns0:c r="A201" s="29"/>
      <ns0:c r="B201" s="30"/>
      <ns0:c r="C201" s="28"/>
      <ns0:c r="D201" s="29"/>
      <ns0:c r="E201" s="31"/>
      <ns0:c r="F201" s="32"/>
      <ns0:c r="G201" s="29"/>
      <ns0:c r="H201" s="29"/>
      <ns0:c r="I201" s="29"/>
      <ns0:c r="J201" s="29"/>
      <ns0:c r="K201" s="29"/>
    </ns0:row>
    <ns0:row r="202" ht="28" customHeight="1">
      <ns0:c r="A202" s="29"/>
      <ns0:c r="B202" s="30"/>
      <ns0:c r="C202" s="28"/>
      <ns0:c r="D202" s="29"/>
      <ns0:c r="E202" s="31"/>
      <ns0:c r="F202" s="32"/>
      <ns0:c r="G202" s="29"/>
      <ns0:c r="H202" s="29"/>
      <ns0:c r="I202" s="29"/>
      <ns0:c r="J202" s="29"/>
      <ns0:c r="K202" s="29"/>
    </ns0:row>
    <ns0:row r="203" ht="28" customHeight="1">
      <ns0:c r="A203" s="29"/>
      <ns0:c r="B203" s="30"/>
      <ns0:c r="C203" s="28"/>
      <ns0:c r="D203" s="29"/>
      <ns0:c r="E203" s="31"/>
      <ns0:c r="F203" s="32"/>
      <ns0:c r="G203" s="29"/>
      <ns0:c r="H203" s="29"/>
      <ns0:c r="I203" s="29"/>
      <ns0:c r="J203" s="29"/>
      <ns0:c r="K203" s="29"/>
    </ns0:row>
    <ns0:row r="204" ht="28" customHeight="1">
      <ns0:c r="A204" s="29"/>
      <ns0:c r="B204" s="30"/>
      <ns0:c r="C204" s="28"/>
      <ns0:c r="D204" s="29"/>
      <ns0:c r="E204" s="31"/>
      <ns0:c r="F204" s="32"/>
      <ns0:c r="G204" s="29"/>
      <ns0:c r="H204" s="29"/>
      <ns0:c r="I204" s="29"/>
      <ns0:c r="J204" s="29"/>
      <ns0:c r="K204" s="29"/>
    </ns0:row>
    <ns0:row r="205" ht="28" customHeight="1">
      <ns0:c r="A205" s="29"/>
      <ns0:c r="B205" s="30"/>
      <ns0:c r="C205" s="28"/>
      <ns0:c r="D205" s="29"/>
      <ns0:c r="E205" s="31"/>
      <ns0:c r="F205" s="32"/>
      <ns0:c r="G205" s="29"/>
      <ns0:c r="H205" s="29"/>
      <ns0:c r="I205" s="29"/>
      <ns0:c r="J205" s="29"/>
      <ns0:c r="K205" s="29"/>
    </ns0:row>
    <ns0:row r="206" ht="28" customHeight="1">
      <ns0:c r="A206" s="29"/>
      <ns0:c r="B206" s="30"/>
      <ns0:c r="C206" s="28"/>
      <ns0:c r="D206" s="29"/>
      <ns0:c r="E206" s="31"/>
      <ns0:c r="F206" s="32"/>
      <ns0:c r="G206" s="29"/>
      <ns0:c r="H206" s="29"/>
      <ns0:c r="I206" s="29"/>
      <ns0:c r="J206" s="29"/>
      <ns0:c r="K206" s="29"/>
    </ns0:row>
    <ns0:row r="207" ht="28" customHeight="1">
      <ns0:c r="A207" s="29"/>
      <ns0:c r="B207" s="30"/>
      <ns0:c r="C207" s="28"/>
      <ns0:c r="D207" s="29"/>
      <ns0:c r="E207" s="31"/>
      <ns0:c r="F207" s="32"/>
      <ns0:c r="G207" s="29"/>
      <ns0:c r="H207" s="29"/>
      <ns0:c r="I207" s="29"/>
      <ns0:c r="J207" s="29"/>
      <ns0:c r="K207" s="29"/>
    </ns0:row>
    <ns0:row r="208" ht="28" customHeight="1">
      <ns0:c r="A208" s="29"/>
      <ns0:c r="B208" s="30"/>
      <ns0:c r="C208" s="28"/>
      <ns0:c r="D208" s="29"/>
      <ns0:c r="E208" s="31"/>
      <ns0:c r="F208" s="32"/>
      <ns0:c r="G208" s="29"/>
      <ns0:c r="H208" s="29"/>
      <ns0:c r="I208" s="29"/>
      <ns0:c r="J208" s="29"/>
      <ns0:c r="K208" s="29"/>
    </ns0:row>
    <ns0:row r="209" ht="28" customHeight="1">
      <ns0:c r="A209" s="29"/>
      <ns0:c r="B209" s="30"/>
      <ns0:c r="C209" s="28"/>
      <ns0:c r="D209" s="29"/>
      <ns0:c r="E209" s="31"/>
      <ns0:c r="F209" s="32"/>
      <ns0:c r="G209" s="29"/>
      <ns0:c r="H209" s="29"/>
      <ns0:c r="I209" s="29"/>
      <ns0:c r="J209" s="29"/>
      <ns0:c r="K209" s="29"/>
    </ns0:row>
    <ns0:row r="210" ht="28" customHeight="1">
      <ns0:c r="A210" s="29"/>
      <ns0:c r="B210" s="30"/>
      <ns0:c r="C210" s="28"/>
      <ns0:c r="D210" s="29"/>
      <ns0:c r="E210" s="31"/>
      <ns0:c r="F210" s="32"/>
      <ns0:c r="G210" s="29"/>
      <ns0:c r="H210" s="29"/>
      <ns0:c r="I210" s="29"/>
      <ns0:c r="J210" s="29"/>
      <ns0:c r="K210" s="29"/>
    </ns0:row>
    <ns0:row r="211" ht="28" customHeight="1">
      <ns0:c r="A211" s="29"/>
      <ns0:c r="B211" s="30"/>
      <ns0:c r="C211" s="28"/>
      <ns0:c r="D211" s="29"/>
      <ns0:c r="E211" s="31"/>
      <ns0:c r="F211" s="32"/>
      <ns0:c r="G211" s="29"/>
      <ns0:c r="H211" s="29"/>
      <ns0:c r="I211" s="29"/>
      <ns0:c r="J211" s="29"/>
      <ns0:c r="K211" s="29"/>
    </ns0:row>
    <ns0:row r="212" ht="28" customHeight="1">
      <ns0:c r="A212" s="29"/>
      <ns0:c r="B212" s="30"/>
      <ns0:c r="C212" s="28"/>
      <ns0:c r="D212" s="29"/>
      <ns0:c r="E212" s="31"/>
      <ns0:c r="F212" s="32"/>
      <ns0:c r="G212" s="29"/>
      <ns0:c r="H212" s="29"/>
      <ns0:c r="I212" s="29"/>
      <ns0:c r="J212" s="29"/>
      <ns0:c r="K212" s="29"/>
    </ns0:row>
    <ns0:row r="213" ht="28" customHeight="1">
      <ns0:c r="A213" s="29"/>
      <ns0:c r="B213" s="30"/>
      <ns0:c r="C213" s="28"/>
      <ns0:c r="D213" s="29"/>
      <ns0:c r="E213" s="31"/>
      <ns0:c r="F213" s="32"/>
      <ns0:c r="G213" s="29"/>
      <ns0:c r="H213" s="29"/>
      <ns0:c r="I213" s="29"/>
      <ns0:c r="J213" s="29"/>
      <ns0:c r="K213" s="29"/>
    </ns0:row>
    <ns0:row r="214" ht="28" customHeight="1">
      <ns0:c r="A214" s="29"/>
      <ns0:c r="B214" s="30"/>
      <ns0:c r="C214" s="28"/>
      <ns0:c r="D214" s="29"/>
      <ns0:c r="E214" s="31"/>
      <ns0:c r="F214" s="32"/>
      <ns0:c r="G214" s="29"/>
      <ns0:c r="H214" s="29"/>
      <ns0:c r="I214" s="29"/>
      <ns0:c r="J214" s="29"/>
      <ns0:c r="K214" s="29"/>
    </ns0:row>
    <ns0:row r="215" ht="28" customHeight="1">
      <ns0:c r="A215" s="29"/>
      <ns0:c r="B215" s="30"/>
      <ns0:c r="C215" s="28"/>
      <ns0:c r="D215" s="29"/>
      <ns0:c r="E215" s="31"/>
      <ns0:c r="F215" s="32"/>
      <ns0:c r="G215" s="29"/>
      <ns0:c r="H215" s="29"/>
      <ns0:c r="I215" s="29"/>
      <ns0:c r="J215" s="29"/>
      <ns0:c r="K215" s="29"/>
    </ns0:row>
    <ns0:row r="216" ht="28" customHeight="1">
      <ns0:c r="A216" s="29"/>
      <ns0:c r="B216" s="30"/>
      <ns0:c r="C216" s="28"/>
      <ns0:c r="D216" s="29"/>
      <ns0:c r="E216" s="31"/>
      <ns0:c r="F216" s="32"/>
      <ns0:c r="G216" s="29"/>
      <ns0:c r="H216" s="29"/>
      <ns0:c r="I216" s="29"/>
      <ns0:c r="J216" s="29"/>
      <ns0:c r="K216" s="29"/>
    </ns0:row>
    <ns0:row r="217" ht="28" customHeight="1">
      <ns0:c r="A217" s="29"/>
      <ns0:c r="B217" s="30"/>
      <ns0:c r="C217" s="28"/>
      <ns0:c r="D217" s="29"/>
      <ns0:c r="E217" s="31"/>
      <ns0:c r="F217" s="32"/>
      <ns0:c r="G217" s="29"/>
      <ns0:c r="H217" s="29"/>
      <ns0:c r="I217" s="29"/>
      <ns0:c r="J217" s="29"/>
      <ns0:c r="K217" s="29"/>
    </ns0:row>
    <ns0:row r="218" ht="28" customHeight="1">
      <ns0:c r="A218" s="29"/>
      <ns0:c r="B218" s="30"/>
      <ns0:c r="C218" s="28"/>
      <ns0:c r="D218" s="29"/>
      <ns0:c r="E218" s="31"/>
      <ns0:c r="F218" s="32"/>
      <ns0:c r="G218" s="29"/>
      <ns0:c r="H218" s="29"/>
      <ns0:c r="I218" s="29"/>
      <ns0:c r="J218" s="29"/>
      <ns0:c r="K218" s="29"/>
    </ns0:row>
    <ns0:row r="219" ht="28" customHeight="1">
      <ns0:c r="A219" s="29"/>
      <ns0:c r="B219" s="30"/>
      <ns0:c r="C219" s="28"/>
      <ns0:c r="D219" s="29"/>
      <ns0:c r="E219" s="31"/>
      <ns0:c r="F219" s="32"/>
      <ns0:c r="G219" s="29"/>
      <ns0:c r="H219" s="29"/>
      <ns0:c r="I219" s="29"/>
      <ns0:c r="J219" s="29"/>
      <ns0:c r="K219" s="29"/>
    </ns0:row>
    <ns0:row r="220" ht="28" customHeight="1">
      <ns0:c r="A220" s="29"/>
      <ns0:c r="B220" s="30"/>
      <ns0:c r="C220" s="28"/>
      <ns0:c r="D220" s="29"/>
      <ns0:c r="E220" s="31"/>
      <ns0:c r="F220" s="32"/>
      <ns0:c r="G220" s="29"/>
      <ns0:c r="H220" s="29"/>
      <ns0:c r="I220" s="29"/>
      <ns0:c r="J220" s="29"/>
      <ns0:c r="K220" s="29"/>
    </ns0:row>
    <ns0:row r="221" ht="28" customHeight="1">
      <ns0:c r="A221" s="29"/>
      <ns0:c r="B221" s="30"/>
      <ns0:c r="C221" s="28"/>
      <ns0:c r="D221" s="29"/>
      <ns0:c r="E221" s="31"/>
      <ns0:c r="F221" s="32"/>
      <ns0:c r="G221" s="29"/>
      <ns0:c r="H221" s="29"/>
      <ns0:c r="I221" s="29"/>
      <ns0:c r="J221" s="29"/>
      <ns0:c r="K221" s="29"/>
    </ns0:row>
    <ns0:row r="222" ht="28" customHeight="1">
      <ns0:c r="A222" s="29"/>
      <ns0:c r="B222" s="30"/>
      <ns0:c r="C222" s="28"/>
      <ns0:c r="D222" s="29"/>
      <ns0:c r="E222" s="31"/>
      <ns0:c r="F222" s="32"/>
      <ns0:c r="G222" s="29"/>
      <ns0:c r="H222" s="29"/>
      <ns0:c r="I222" s="29"/>
      <ns0:c r="J222" s="29"/>
      <ns0:c r="K222" s="29"/>
    </ns0:row>
    <ns0:row r="223" ht="28" customHeight="1">
      <ns0:c r="A223" s="29"/>
      <ns0:c r="B223" s="30"/>
      <ns0:c r="C223" s="28"/>
      <ns0:c r="D223" s="29"/>
      <ns0:c r="E223" s="31"/>
      <ns0:c r="F223" s="32"/>
      <ns0:c r="G223" s="29"/>
      <ns0:c r="H223" s="29"/>
      <ns0:c r="I223" s="29"/>
      <ns0:c r="J223" s="29"/>
      <ns0:c r="K223" s="29"/>
    </ns0:row>
    <ns0:row r="224" ht="28" customHeight="1">
      <ns0:c r="A224" s="29"/>
      <ns0:c r="B224" s="30"/>
      <ns0:c r="C224" s="28"/>
      <ns0:c r="D224" s="29"/>
      <ns0:c r="E224" s="31"/>
      <ns0:c r="F224" s="32"/>
      <ns0:c r="G224" s="29"/>
      <ns0:c r="H224" s="29"/>
      <ns0:c r="I224" s="29"/>
      <ns0:c r="J224" s="29"/>
      <ns0:c r="K224" s="29"/>
    </ns0:row>
    <ns0:row r="225" ht="28" customHeight="1">
      <ns0:c r="A225" s="29"/>
      <ns0:c r="B225" s="30"/>
      <ns0:c r="C225" s="28"/>
      <ns0:c r="D225" s="29"/>
      <ns0:c r="E225" s="31"/>
      <ns0:c r="F225" s="32"/>
      <ns0:c r="G225" s="29"/>
      <ns0:c r="H225" s="29"/>
      <ns0:c r="I225" s="29"/>
      <ns0:c r="J225" s="29"/>
      <ns0:c r="K225" s="29"/>
    </ns0:row>
    <ns0:row r="226" ht="28" customHeight="1">
      <ns0:c r="A226" s="29"/>
      <ns0:c r="B226" s="30"/>
      <ns0:c r="C226" s="28"/>
      <ns0:c r="D226" s="29"/>
      <ns0:c r="E226" s="31"/>
      <ns0:c r="F226" s="32"/>
      <ns0:c r="G226" s="29"/>
      <ns0:c r="H226" s="29"/>
      <ns0:c r="I226" s="29"/>
      <ns0:c r="J226" s="29"/>
      <ns0:c r="K226" s="29"/>
    </ns0:row>
    <ns0:row r="227" ht="28" customHeight="1">
      <ns0:c r="A227" s="29"/>
      <ns0:c r="B227" s="30"/>
      <ns0:c r="C227" s="28"/>
      <ns0:c r="D227" s="29"/>
      <ns0:c r="E227" s="31"/>
      <ns0:c r="F227" s="32"/>
      <ns0:c r="G227" s="29"/>
      <ns0:c r="H227" s="29"/>
      <ns0:c r="I227" s="29"/>
      <ns0:c r="J227" s="29"/>
      <ns0:c r="K227" s="29"/>
    </ns0:row>
    <ns0:row r="228" ht="28" customHeight="1">
      <ns0:c r="A228" s="29"/>
      <ns0:c r="B228" s="30"/>
      <ns0:c r="C228" s="28"/>
      <ns0:c r="D228" s="29"/>
      <ns0:c r="E228" s="31"/>
      <ns0:c r="F228" s="32"/>
      <ns0:c r="G228" s="29"/>
      <ns0:c r="H228" s="29"/>
      <ns0:c r="I228" s="29"/>
      <ns0:c r="J228" s="29"/>
      <ns0:c r="K228" s="29"/>
    </ns0:row>
    <ns0:row r="229" ht="28" customHeight="1">
      <ns0:c r="A229" s="29"/>
      <ns0:c r="B229" s="30"/>
      <ns0:c r="C229" s="28"/>
      <ns0:c r="D229" s="29"/>
      <ns0:c r="E229" s="31"/>
      <ns0:c r="F229" s="32"/>
      <ns0:c r="G229" s="29"/>
      <ns0:c r="H229" s="29"/>
      <ns0:c r="I229" s="29"/>
      <ns0:c r="J229" s="29"/>
      <ns0:c r="K229" s="29"/>
    </ns0:row>
    <ns0:row r="230" ht="28" customHeight="1">
      <ns0:c r="A230" s="29"/>
      <ns0:c r="B230" s="30"/>
      <ns0:c r="C230" s="28"/>
      <ns0:c r="D230" s="29"/>
      <ns0:c r="E230" s="31"/>
      <ns0:c r="F230" s="32"/>
      <ns0:c r="G230" s="29"/>
      <ns0:c r="H230" s="29"/>
      <ns0:c r="I230" s="29"/>
      <ns0:c r="J230" s="29"/>
      <ns0:c r="K230" s="29"/>
    </ns0:row>
    <ns0:row r="231" ht="28" customHeight="1">
      <ns0:c r="A231" s="29"/>
      <ns0:c r="B231" s="30"/>
      <ns0:c r="C231" s="28"/>
      <ns0:c r="D231" s="29"/>
      <ns0:c r="E231" s="31"/>
      <ns0:c r="F231" s="32"/>
      <ns0:c r="G231" s="29"/>
      <ns0:c r="H231" s="29"/>
      <ns0:c r="I231" s="29"/>
      <ns0:c r="J231" s="29"/>
      <ns0:c r="K231" s="29"/>
    </ns0:row>
    <ns0:row r="232" ht="28" customHeight="1">
      <ns0:c r="A232" s="29"/>
      <ns0:c r="B232" s="30"/>
      <ns0:c r="C232" s="28"/>
      <ns0:c r="D232" s="29"/>
      <ns0:c r="E232" s="31"/>
      <ns0:c r="F232" s="32"/>
      <ns0:c r="G232" s="29"/>
      <ns0:c r="H232" s="29"/>
      <ns0:c r="I232" s="29"/>
      <ns0:c r="J232" s="29"/>
      <ns0:c r="K232" s="29"/>
    </ns0:row>
    <ns0:row r="233" ht="28" customHeight="1">
      <ns0:c r="A233" s="29"/>
      <ns0:c r="B233" s="30"/>
      <ns0:c r="C233" s="28"/>
      <ns0:c r="D233" s="29"/>
      <ns0:c r="E233" s="31"/>
      <ns0:c r="F233" s="32"/>
      <ns0:c r="G233" s="29"/>
      <ns0:c r="H233" s="29"/>
      <ns0:c r="I233" s="29"/>
      <ns0:c r="J233" s="29"/>
      <ns0:c r="K233" s="29"/>
    </ns0:row>
    <ns0:row r="234" ht="28" customHeight="1">
      <ns0:c r="A234" s="29"/>
      <ns0:c r="B234" s="30"/>
      <ns0:c r="C234" s="28"/>
      <ns0:c r="D234" s="29"/>
      <ns0:c r="E234" s="31"/>
      <ns0:c r="F234" s="32"/>
      <ns0:c r="G234" s="29"/>
      <ns0:c r="H234" s="29"/>
      <ns0:c r="I234" s="29"/>
      <ns0:c r="J234" s="29"/>
      <ns0:c r="K234" s="29"/>
    </ns0:row>
    <ns0:row r="235" ht="28" customHeight="1">
      <ns0:c r="A235" s="29"/>
      <ns0:c r="B235" s="30"/>
      <ns0:c r="C235" s="28"/>
      <ns0:c r="D235" s="29"/>
      <ns0:c r="E235" s="31"/>
      <ns0:c r="F235" s="32"/>
      <ns0:c r="G235" s="29"/>
      <ns0:c r="H235" s="29"/>
      <ns0:c r="I235" s="29"/>
      <ns0:c r="J235" s="29"/>
      <ns0:c r="K235" s="29"/>
    </ns0:row>
    <ns0:row r="236" ht="28" customHeight="1">
      <ns0:c r="A236" s="29"/>
      <ns0:c r="B236" s="30"/>
      <ns0:c r="C236" s="28"/>
      <ns0:c r="D236" s="29"/>
      <ns0:c r="E236" s="31"/>
      <ns0:c r="F236" s="32"/>
      <ns0:c r="G236" s="29"/>
      <ns0:c r="H236" s="29"/>
      <ns0:c r="I236" s="29"/>
      <ns0:c r="J236" s="29"/>
      <ns0:c r="K236" s="29"/>
    </ns0:row>
    <ns0:row r="237" ht="28" customHeight="1">
      <ns0:c r="A237" s="29"/>
      <ns0:c r="B237" s="30"/>
      <ns0:c r="C237" s="28"/>
      <ns0:c r="D237" s="29"/>
      <ns0:c r="E237" s="31"/>
      <ns0:c r="F237" s="32"/>
      <ns0:c r="G237" s="29"/>
      <ns0:c r="H237" s="29"/>
      <ns0:c r="I237" s="29"/>
      <ns0:c r="J237" s="29"/>
      <ns0:c r="K237" s="29"/>
    </ns0:row>
    <ns0:row r="238" ht="28" customHeight="1">
      <ns0:c r="A238" s="29"/>
      <ns0:c r="B238" s="30"/>
      <ns0:c r="C238" s="28"/>
      <ns0:c r="D238" s="29"/>
      <ns0:c r="E238" s="31"/>
      <ns0:c r="F238" s="32"/>
      <ns0:c r="G238" s="29"/>
      <ns0:c r="H238" s="29"/>
      <ns0:c r="I238" s="29"/>
      <ns0:c r="J238" s="29"/>
      <ns0:c r="K238" s="29"/>
    </ns0:row>
    <ns0:row r="239" ht="28" customHeight="1">
      <ns0:c r="A239" s="29"/>
      <ns0:c r="B239" s="30"/>
      <ns0:c r="C239" s="28"/>
      <ns0:c r="D239" s="29"/>
      <ns0:c r="E239" s="31"/>
      <ns0:c r="F239" s="32"/>
      <ns0:c r="G239" s="29"/>
      <ns0:c r="H239" s="29"/>
      <ns0:c r="I239" s="29"/>
      <ns0:c r="J239" s="29"/>
      <ns0:c r="K239" s="29"/>
    </ns0:row>
    <ns0:row r="240" ht="28" customHeight="1">
      <ns0:c r="A240" s="29"/>
      <ns0:c r="B240" s="30"/>
      <ns0:c r="C240" s="28"/>
      <ns0:c r="D240" s="29"/>
      <ns0:c r="E240" s="31"/>
      <ns0:c r="F240" s="32"/>
      <ns0:c r="G240" s="29"/>
      <ns0:c r="H240" s="29"/>
      <ns0:c r="I240" s="29"/>
      <ns0:c r="J240" s="29"/>
      <ns0:c r="K240" s="29"/>
    </ns0:row>
    <ns0:row r="241" ht="28" customHeight="1">
      <ns0:c r="A241" s="29"/>
      <ns0:c r="B241" s="30"/>
      <ns0:c r="C241" s="28"/>
      <ns0:c r="D241" s="29"/>
      <ns0:c r="E241" s="31"/>
      <ns0:c r="F241" s="32"/>
      <ns0:c r="G241" s="29"/>
      <ns0:c r="H241" s="29"/>
      <ns0:c r="I241" s="29"/>
      <ns0:c r="J241" s="29"/>
      <ns0:c r="K241" s="29"/>
    </ns0:row>
    <ns0:row r="242" ht="28" customHeight="1">
      <ns0:c r="A242" s="29"/>
      <ns0:c r="B242" s="30"/>
      <ns0:c r="C242" s="28"/>
      <ns0:c r="D242" s="29"/>
      <ns0:c r="E242" s="31"/>
      <ns0:c r="F242" s="32"/>
      <ns0:c r="G242" s="29"/>
      <ns0:c r="H242" s="29"/>
      <ns0:c r="I242" s="29"/>
      <ns0:c r="J242" s="29"/>
      <ns0:c r="K242" s="29"/>
    </ns0:row>
    <ns0:row r="243" ht="28" customHeight="1">
      <ns0:c r="A243" s="29"/>
      <ns0:c r="B243" s="30"/>
      <ns0:c r="C243" s="28"/>
      <ns0:c r="D243" s="29"/>
      <ns0:c r="E243" s="31"/>
      <ns0:c r="F243" s="32"/>
      <ns0:c r="G243" s="29"/>
      <ns0:c r="H243" s="29"/>
      <ns0:c r="I243" s="29"/>
      <ns0:c r="J243" s="29"/>
      <ns0:c r="K243" s="29"/>
    </ns0:row>
    <ns0:row r="244" ht="28" customHeight="1">
      <ns0:c r="A244" s="29"/>
      <ns0:c r="B244" s="30"/>
      <ns0:c r="C244" s="28"/>
      <ns0:c r="D244" s="29"/>
      <ns0:c r="E244" s="31"/>
      <ns0:c r="F244" s="32"/>
      <ns0:c r="G244" s="29"/>
      <ns0:c r="H244" s="29"/>
      <ns0:c r="I244" s="29"/>
      <ns0:c r="J244" s="29"/>
      <ns0:c r="K244" s="29"/>
    </ns0:row>
    <ns0:row r="245" ht="28" customHeight="1">
      <ns0:c r="A245" s="29"/>
      <ns0:c r="B245" s="30"/>
      <ns0:c r="C245" s="28"/>
      <ns0:c r="D245" s="29"/>
      <ns0:c r="E245" s="31"/>
      <ns0:c r="F245" s="32"/>
      <ns0:c r="G245" s="29"/>
      <ns0:c r="H245" s="29"/>
      <ns0:c r="I245" s="29"/>
      <ns0:c r="J245" s="29"/>
      <ns0:c r="K245" s="29"/>
    </ns0:row>
    <ns0:row r="246" ht="28" customHeight="1">
      <ns0:c r="A246" s="29"/>
      <ns0:c r="B246" s="30"/>
      <ns0:c r="C246" s="28"/>
      <ns0:c r="D246" s="29"/>
      <ns0:c r="E246" s="31"/>
      <ns0:c r="F246" s="32"/>
      <ns0:c r="G246" s="29"/>
      <ns0:c r="H246" s="29"/>
      <ns0:c r="I246" s="29"/>
      <ns0:c r="J246" s="29"/>
      <ns0:c r="K246" s="29"/>
    </ns0:row>
    <ns0:row r="247" ht="28" customHeight="1">
      <ns0:c r="A247" s="29"/>
      <ns0:c r="B247" s="30"/>
      <ns0:c r="C247" s="28"/>
      <ns0:c r="D247" s="29"/>
      <ns0:c r="E247" s="31"/>
      <ns0:c r="F247" s="32"/>
      <ns0:c r="G247" s="29"/>
      <ns0:c r="H247" s="29"/>
      <ns0:c r="I247" s="29"/>
      <ns0:c r="J247" s="29"/>
      <ns0:c r="K247" s="29"/>
    </ns0:row>
    <ns0:row r="248" ht="28" customHeight="1">
      <ns0:c r="A248" s="29"/>
      <ns0:c r="B248" s="30"/>
      <ns0:c r="C248" s="28"/>
      <ns0:c r="D248" s="29"/>
      <ns0:c r="E248" s="31"/>
      <ns0:c r="F248" s="32"/>
      <ns0:c r="G248" s="29"/>
      <ns0:c r="H248" s="29"/>
      <ns0:c r="I248" s="29"/>
      <ns0:c r="J248" s="29"/>
      <ns0:c r="K248" s="29"/>
    </ns0:row>
    <ns0:row r="249" ht="28" customHeight="1">
      <ns0:c r="A249" s="29"/>
      <ns0:c r="B249" s="30"/>
      <ns0:c r="C249" s="28"/>
      <ns0:c r="D249" s="29"/>
      <ns0:c r="E249" s="31"/>
      <ns0:c r="F249" s="32"/>
      <ns0:c r="G249" s="29"/>
      <ns0:c r="H249" s="29"/>
      <ns0:c r="I249" s="29"/>
      <ns0:c r="J249" s="29"/>
      <ns0:c r="K249" s="29"/>
    </ns0:row>
    <ns0:row r="250" ht="28" customHeight="1">
      <ns0:c r="A250" s="29"/>
      <ns0:c r="B250" s="30"/>
      <ns0:c r="C250" s="28"/>
      <ns0:c r="D250" s="29"/>
      <ns0:c r="E250" s="31"/>
      <ns0:c r="F250" s="32"/>
      <ns0:c r="G250" s="29"/>
      <ns0:c r="H250" s="29"/>
      <ns0:c r="I250" s="29"/>
      <ns0:c r="J250" s="29"/>
      <ns0:c r="K250" s="29"/>
    </ns0:row>
    <ns0:row r="251" ht="28" customHeight="1">
      <ns0:c r="A251" s="29"/>
      <ns0:c r="B251" s="30"/>
      <ns0:c r="C251" s="28"/>
      <ns0:c r="D251" s="29"/>
      <ns0:c r="E251" s="31"/>
      <ns0:c r="F251" s="32"/>
      <ns0:c r="G251" s="29"/>
      <ns0:c r="H251" s="29"/>
      <ns0:c r="I251" s="29"/>
      <ns0:c r="J251" s="29"/>
      <ns0:c r="K251" s="29"/>
    </ns0:row>
    <ns0:row r="252" ht="28" customHeight="1">
      <ns0:c r="A252" s="29"/>
      <ns0:c r="B252" s="30"/>
      <ns0:c r="C252" s="28"/>
      <ns0:c r="D252" s="29"/>
      <ns0:c r="E252" s="31"/>
      <ns0:c r="F252" s="32"/>
      <ns0:c r="G252" s="29"/>
      <ns0:c r="H252" s="29"/>
      <ns0:c r="I252" s="29"/>
      <ns0:c r="J252" s="29"/>
      <ns0:c r="K252" s="29"/>
    </ns0:row>
    <ns0:row r="253" ht="28" customHeight="1">
      <ns0:c r="A253" s="29"/>
      <ns0:c r="B253" s="30"/>
      <ns0:c r="C253" s="28"/>
      <ns0:c r="D253" s="29"/>
      <ns0:c r="E253" s="31"/>
      <ns0:c r="F253" s="32"/>
      <ns0:c r="G253" s="29"/>
      <ns0:c r="H253" s="29"/>
      <ns0:c r="I253" s="29"/>
      <ns0:c r="J253" s="29"/>
      <ns0:c r="K253" s="29"/>
    </ns0:row>
    <ns0:row r="254" ht="28" customHeight="1">
      <ns0:c r="A254" s="29"/>
      <ns0:c r="B254" s="30"/>
      <ns0:c r="C254" s="28"/>
      <ns0:c r="D254" s="29"/>
      <ns0:c r="E254" s="31"/>
      <ns0:c r="F254" s="32"/>
      <ns0:c r="G254" s="29"/>
      <ns0:c r="H254" s="29"/>
      <ns0:c r="I254" s="29"/>
      <ns0:c r="J254" s="29"/>
      <ns0:c r="K254" s="29"/>
    </ns0:row>
    <ns0:row r="255" ht="28" customHeight="1">
      <ns0:c r="A255" s="29"/>
      <ns0:c r="B255" s="30"/>
      <ns0:c r="C255" s="28"/>
      <ns0:c r="D255" s="29"/>
      <ns0:c r="E255" s="31"/>
      <ns0:c r="F255" s="32"/>
      <ns0:c r="G255" s="29"/>
      <ns0:c r="H255" s="29"/>
      <ns0:c r="I255" s="29"/>
      <ns0:c r="J255" s="29"/>
      <ns0:c r="K255" s="29"/>
    </ns0:row>
    <ns0:row r="256" ht="28" customHeight="1">
      <ns0:c r="A256" s="29"/>
      <ns0:c r="B256" s="30"/>
      <ns0:c r="C256" s="28"/>
      <ns0:c r="D256" s="29"/>
      <ns0:c r="E256" s="31"/>
      <ns0:c r="F256" s="32"/>
      <ns0:c r="G256" s="29"/>
      <ns0:c r="H256" s="29"/>
      <ns0:c r="I256" s="29"/>
      <ns0:c r="J256" s="29"/>
      <ns0:c r="K256" s="29"/>
    </ns0:row>
    <ns0:row r="257" ht="28" customHeight="1">
      <ns0:c r="A257" s="29"/>
      <ns0:c r="B257" s="30"/>
      <ns0:c r="C257" s="28"/>
      <ns0:c r="D257" s="29"/>
      <ns0:c r="E257" s="31"/>
      <ns0:c r="F257" s="32"/>
      <ns0:c r="G257" s="29"/>
      <ns0:c r="H257" s="29"/>
      <ns0:c r="I257" s="29"/>
      <ns0:c r="J257" s="29"/>
      <ns0:c r="K257" s="29"/>
    </ns0:row>
    <ns0:row r="258" ht="28" customHeight="1">
      <ns0:c r="A258" s="29"/>
      <ns0:c r="B258" s="30"/>
      <ns0:c r="C258" s="28"/>
      <ns0:c r="D258" s="29"/>
      <ns0:c r="E258" s="31"/>
      <ns0:c r="F258" s="32"/>
      <ns0:c r="G258" s="29"/>
      <ns0:c r="H258" s="29"/>
      <ns0:c r="I258" s="29"/>
      <ns0:c r="J258" s="29"/>
      <ns0:c r="K258" s="29"/>
    </ns0:row>
    <ns0:row r="259" ht="28" customHeight="1">
      <ns0:c r="A259" s="29"/>
      <ns0:c r="B259" s="30"/>
      <ns0:c r="C259" s="28"/>
      <ns0:c r="D259" s="29"/>
      <ns0:c r="E259" s="31"/>
      <ns0:c r="F259" s="32"/>
      <ns0:c r="G259" s="29"/>
      <ns0:c r="H259" s="29"/>
      <ns0:c r="I259" s="29"/>
      <ns0:c r="J259" s="29"/>
      <ns0:c r="K259" s="29"/>
    </ns0:row>
    <ns0:row r="260" ht="28" customHeight="1">
      <ns0:c r="A260" s="29"/>
      <ns0:c r="B260" s="30"/>
      <ns0:c r="C260" s="28"/>
      <ns0:c r="D260" s="29"/>
      <ns0:c r="E260" s="31"/>
      <ns0:c r="F260" s="32"/>
      <ns0:c r="G260" s="29"/>
      <ns0:c r="H260" s="29"/>
      <ns0:c r="I260" s="29"/>
      <ns0:c r="J260" s="29"/>
      <ns0:c r="K260" s="29"/>
    </ns0:row>
    <ns0:row r="261" ht="28" customHeight="1">
      <ns0:c r="A261" s="29"/>
      <ns0:c r="B261" s="30"/>
      <ns0:c r="C261" s="28"/>
      <ns0:c r="D261" s="29"/>
      <ns0:c r="E261" s="31"/>
      <ns0:c r="F261" s="32"/>
      <ns0:c r="G261" s="29"/>
      <ns0:c r="H261" s="29"/>
      <ns0:c r="I261" s="29"/>
      <ns0:c r="J261" s="29"/>
      <ns0:c r="K261" s="29"/>
    </ns0:row>
    <ns0:row r="262" ht="28" customHeight="1">
      <ns0:c r="A262" s="29"/>
      <ns0:c r="B262" s="30"/>
      <ns0:c r="C262" s="28"/>
      <ns0:c r="D262" s="29"/>
      <ns0:c r="E262" s="31"/>
      <ns0:c r="F262" s="32"/>
      <ns0:c r="G262" s="29"/>
      <ns0:c r="H262" s="29"/>
      <ns0:c r="I262" s="29"/>
      <ns0:c r="J262" s="29"/>
      <ns0:c r="K262" s="29"/>
    </ns0:row>
    <ns0:row r="263" ht="28" customHeight="1">
      <ns0:c r="A263" s="29"/>
      <ns0:c r="B263" s="30"/>
      <ns0:c r="C263" s="28"/>
      <ns0:c r="D263" s="29"/>
      <ns0:c r="E263" s="31"/>
      <ns0:c r="F263" s="32"/>
      <ns0:c r="G263" s="29"/>
      <ns0:c r="H263" s="29"/>
      <ns0:c r="I263" s="29"/>
      <ns0:c r="J263" s="29"/>
      <ns0:c r="K263" s="29"/>
    </ns0:row>
    <ns0:row r="264" ht="28" customHeight="1">
      <ns0:c r="A264" s="29"/>
      <ns0:c r="B264" s="30"/>
      <ns0:c r="C264" s="28"/>
      <ns0:c r="D264" s="29"/>
      <ns0:c r="E264" s="31"/>
      <ns0:c r="F264" s="32"/>
      <ns0:c r="G264" s="29"/>
      <ns0:c r="H264" s="29"/>
      <ns0:c r="I264" s="29"/>
      <ns0:c r="J264" s="29"/>
      <ns0:c r="K264" s="29"/>
    </ns0:row>
    <ns0:row r="265" ht="28" customHeight="1">
      <ns0:c r="A265" s="29"/>
      <ns0:c r="B265" s="30"/>
      <ns0:c r="C265" s="28"/>
      <ns0:c r="D265" s="29"/>
      <ns0:c r="E265" s="31"/>
      <ns0:c r="F265" s="32"/>
      <ns0:c r="G265" s="29"/>
      <ns0:c r="H265" s="29"/>
      <ns0:c r="I265" s="29"/>
      <ns0:c r="J265" s="29"/>
      <ns0:c r="K265" s="29"/>
    </ns0:row>
    <ns0:row r="266" ht="28" customHeight="1">
      <ns0:c r="A266" s="29"/>
      <ns0:c r="B266" s="30"/>
      <ns0:c r="C266" s="28"/>
      <ns0:c r="D266" s="29"/>
      <ns0:c r="E266" s="31"/>
      <ns0:c r="F266" s="32"/>
      <ns0:c r="G266" s="29"/>
      <ns0:c r="H266" s="29"/>
      <ns0:c r="I266" s="29"/>
      <ns0:c r="J266" s="29"/>
      <ns0:c r="K266" s="29"/>
    </ns0:row>
    <ns0:row r="267" ht="28" customHeight="1">
      <ns0:c r="A267" s="29"/>
      <ns0:c r="B267" s="30"/>
      <ns0:c r="C267" s="28"/>
      <ns0:c r="D267" s="29"/>
      <ns0:c r="E267" s="31"/>
      <ns0:c r="F267" s="32"/>
      <ns0:c r="G267" s="29"/>
      <ns0:c r="H267" s="29"/>
      <ns0:c r="I267" s="29"/>
      <ns0:c r="J267" s="29"/>
      <ns0:c r="K267" s="29"/>
    </ns0:row>
    <ns0:row r="268" ht="28" customHeight="1">
      <ns0:c r="A268" s="29"/>
      <ns0:c r="B268" s="30"/>
      <ns0:c r="C268" s="28"/>
      <ns0:c r="D268" s="29"/>
      <ns0:c r="E268" s="31"/>
      <ns0:c r="F268" s="32"/>
      <ns0:c r="G268" s="29"/>
      <ns0:c r="H268" s="29"/>
      <ns0:c r="I268" s="29"/>
      <ns0:c r="J268" s="29"/>
      <ns0:c r="K268" s="29"/>
    </ns0:row>
    <ns0:row r="269" ht="28" customHeight="1">
      <ns0:c r="A269" s="29"/>
      <ns0:c r="B269" s="30"/>
      <ns0:c r="C269" s="28"/>
      <ns0:c r="D269" s="29"/>
      <ns0:c r="E269" s="31"/>
      <ns0:c r="F269" s="32"/>
      <ns0:c r="G269" s="29"/>
      <ns0:c r="H269" s="29"/>
      <ns0:c r="I269" s="29"/>
      <ns0:c r="J269" s="29"/>
      <ns0:c r="K269" s="29"/>
    </ns0:row>
    <ns0:row r="270" ht="28" customHeight="1">
      <ns0:c r="A270" s="29"/>
      <ns0:c r="B270" s="30"/>
      <ns0:c r="C270" s="28"/>
      <ns0:c r="D270" s="29"/>
      <ns0:c r="E270" s="31"/>
      <ns0:c r="F270" s="32"/>
      <ns0:c r="G270" s="29"/>
      <ns0:c r="H270" s="29"/>
      <ns0:c r="I270" s="29"/>
      <ns0:c r="J270" s="29"/>
      <ns0:c r="K270" s="29"/>
    </ns0:row>
    <ns0:row r="271" ht="28" customHeight="1">
      <ns0:c r="A271" s="29"/>
      <ns0:c r="B271" s="30"/>
      <ns0:c r="C271" s="28"/>
      <ns0:c r="D271" s="29"/>
      <ns0:c r="E271" s="31"/>
      <ns0:c r="F271" s="32"/>
      <ns0:c r="G271" s="29"/>
      <ns0:c r="H271" s="29"/>
      <ns0:c r="I271" s="29"/>
      <ns0:c r="J271" s="29"/>
      <ns0:c r="K271" s="29"/>
    </ns0:row>
    <ns0:row r="272" ht="28" customHeight="1">
      <ns0:c r="A272" s="29"/>
      <ns0:c r="B272" s="30"/>
      <ns0:c r="C272" s="28"/>
      <ns0:c r="D272" s="29"/>
      <ns0:c r="E272" s="31"/>
      <ns0:c r="F272" s="32"/>
      <ns0:c r="G272" s="29"/>
      <ns0:c r="H272" s="29"/>
      <ns0:c r="I272" s="29"/>
      <ns0:c r="J272" s="29"/>
      <ns0:c r="K272" s="29"/>
    </ns0:row>
    <ns0:row r="273" ht="28" customHeight="1">
      <ns0:c r="A273" s="29"/>
      <ns0:c r="B273" s="30"/>
      <ns0:c r="C273" s="28"/>
      <ns0:c r="D273" s="29"/>
      <ns0:c r="E273" s="31"/>
      <ns0:c r="F273" s="32"/>
      <ns0:c r="G273" s="29"/>
      <ns0:c r="H273" s="29"/>
      <ns0:c r="I273" s="29"/>
      <ns0:c r="J273" s="29"/>
      <ns0:c r="K273" s="29"/>
    </ns0:row>
    <ns0:row r="274" ht="28" customHeight="1">
      <ns0:c r="A274" s="29"/>
      <ns0:c r="B274" s="30"/>
      <ns0:c r="C274" s="28"/>
      <ns0:c r="D274" s="29"/>
      <ns0:c r="E274" s="31"/>
      <ns0:c r="F274" s="32"/>
      <ns0:c r="G274" s="29"/>
      <ns0:c r="H274" s="29"/>
      <ns0:c r="I274" s="29"/>
      <ns0:c r="J274" s="29"/>
      <ns0:c r="K274" s="29"/>
    </ns0:row>
    <ns0:row r="275" ht="28" customHeight="1">
      <ns0:c r="A275" s="29"/>
      <ns0:c r="B275" s="30"/>
      <ns0:c r="C275" s="28"/>
      <ns0:c r="D275" s="29"/>
      <ns0:c r="E275" s="31"/>
      <ns0:c r="F275" s="32"/>
      <ns0:c r="G275" s="29"/>
      <ns0:c r="H275" s="29"/>
      <ns0:c r="I275" s="29"/>
      <ns0:c r="J275" s="29"/>
      <ns0:c r="K275" s="29"/>
    </ns0:row>
    <ns0:row r="276" ht="28" customHeight="1">
      <ns0:c r="A276" s="29"/>
      <ns0:c r="B276" s="30"/>
      <ns0:c r="C276" s="28"/>
      <ns0:c r="D276" s="29"/>
      <ns0:c r="E276" s="31"/>
      <ns0:c r="F276" s="32"/>
      <ns0:c r="G276" s="29"/>
      <ns0:c r="H276" s="29"/>
      <ns0:c r="I276" s="29"/>
      <ns0:c r="J276" s="29"/>
      <ns0:c r="K276" s="29"/>
    </ns0:row>
    <ns0:row r="277" ht="28" customHeight="1">
      <ns0:c r="A277" s="29"/>
      <ns0:c r="B277" s="30"/>
      <ns0:c r="C277" s="28"/>
      <ns0:c r="D277" s="29"/>
      <ns0:c r="E277" s="31"/>
      <ns0:c r="F277" s="32"/>
      <ns0:c r="G277" s="29"/>
      <ns0:c r="H277" s="29"/>
      <ns0:c r="I277" s="29"/>
      <ns0:c r="J277" s="29"/>
      <ns0:c r="K277" s="29"/>
    </ns0:row>
    <ns0:row r="278" ht="28" customHeight="1">
      <ns0:c r="A278" s="29"/>
      <ns0:c r="B278" s="30"/>
      <ns0:c r="C278" s="28"/>
      <ns0:c r="D278" s="29"/>
      <ns0:c r="E278" s="31"/>
      <ns0:c r="F278" s="32"/>
      <ns0:c r="G278" s="29"/>
      <ns0:c r="H278" s="29"/>
      <ns0:c r="I278" s="29"/>
      <ns0:c r="J278" s="29"/>
      <ns0:c r="K278" s="29"/>
    </ns0:row>
    <ns0:row r="279" ht="28" customHeight="1">
      <ns0:c r="A279" s="29"/>
      <ns0:c r="B279" s="30"/>
      <ns0:c r="C279" s="28"/>
      <ns0:c r="D279" s="29"/>
      <ns0:c r="E279" s="31"/>
      <ns0:c r="F279" s="32"/>
      <ns0:c r="G279" s="29"/>
      <ns0:c r="H279" s="29"/>
      <ns0:c r="I279" s="29"/>
      <ns0:c r="J279" s="29"/>
      <ns0:c r="K279" s="29"/>
    </ns0:row>
    <ns0:row r="280" ht="28" customHeight="1">
      <ns0:c r="A280" s="29"/>
      <ns0:c r="B280" s="30"/>
      <ns0:c r="C280" s="28"/>
      <ns0:c r="D280" s="29"/>
      <ns0:c r="E280" s="31"/>
      <ns0:c r="F280" s="32"/>
      <ns0:c r="G280" s="29"/>
      <ns0:c r="H280" s="29"/>
      <ns0:c r="I280" s="29"/>
      <ns0:c r="J280" s="29"/>
      <ns0:c r="K280" s="29"/>
    </ns0:row>
    <ns0:row r="281" ht="28" customHeight="1">
      <ns0:c r="A281" s="29"/>
      <ns0:c r="B281" s="30"/>
      <ns0:c r="C281" s="28"/>
      <ns0:c r="D281" s="29"/>
      <ns0:c r="E281" s="31"/>
      <ns0:c r="F281" s="32"/>
      <ns0:c r="G281" s="29"/>
      <ns0:c r="H281" s="29"/>
      <ns0:c r="I281" s="29"/>
      <ns0:c r="J281" s="29"/>
      <ns0:c r="K281" s="29"/>
    </ns0:row>
    <ns0:row r="282" ht="28" customHeight="1">
      <ns0:c r="A282" s="29"/>
      <ns0:c r="B282" s="30"/>
      <ns0:c r="C282" s="28"/>
      <ns0:c r="D282" s="29"/>
      <ns0:c r="E282" s="31"/>
      <ns0:c r="F282" s="32"/>
      <ns0:c r="G282" s="29"/>
      <ns0:c r="H282" s="29"/>
      <ns0:c r="I282" s="29"/>
      <ns0:c r="J282" s="29"/>
      <ns0:c r="K282" s="29"/>
    </ns0:row>
    <ns0:row r="283" ht="28" customHeight="1">
      <ns0:c r="A283" s="29"/>
      <ns0:c r="B283" s="30"/>
      <ns0:c r="C283" s="28"/>
      <ns0:c r="D283" s="29"/>
      <ns0:c r="E283" s="31"/>
      <ns0:c r="F283" s="32"/>
      <ns0:c r="G283" s="29"/>
      <ns0:c r="H283" s="29"/>
      <ns0:c r="I283" s="29"/>
      <ns0:c r="J283" s="29"/>
      <ns0:c r="K283" s="29"/>
    </ns0:row>
    <ns0:row r="284" ht="28" customHeight="1">
      <ns0:c r="A284" s="29"/>
      <ns0:c r="B284" s="30"/>
      <ns0:c r="C284" s="28"/>
      <ns0:c r="D284" s="29"/>
      <ns0:c r="E284" s="31"/>
      <ns0:c r="F284" s="32"/>
      <ns0:c r="G284" s="29"/>
      <ns0:c r="H284" s="29"/>
      <ns0:c r="I284" s="29"/>
      <ns0:c r="J284" s="29"/>
      <ns0:c r="K284" s="29"/>
    </ns0:row>
    <ns0:row r="285" ht="28" customHeight="1">
      <ns0:c r="A285" s="29"/>
      <ns0:c r="B285" s="30"/>
      <ns0:c r="C285" s="28"/>
      <ns0:c r="D285" s="29"/>
      <ns0:c r="E285" s="31"/>
      <ns0:c r="F285" s="32"/>
      <ns0:c r="G285" s="29"/>
      <ns0:c r="H285" s="29"/>
      <ns0:c r="I285" s="29"/>
      <ns0:c r="J285" s="29"/>
      <ns0:c r="K285" s="29"/>
    </ns0:row>
    <ns0:row r="286" ht="28" customHeight="1">
      <ns0:c r="A286" s="29"/>
      <ns0:c r="B286" s="30"/>
      <ns0:c r="C286" s="28"/>
      <ns0:c r="D286" s="29"/>
      <ns0:c r="E286" s="31"/>
      <ns0:c r="F286" s="32"/>
      <ns0:c r="G286" s="29"/>
      <ns0:c r="H286" s="29"/>
      <ns0:c r="I286" s="29"/>
      <ns0:c r="J286" s="29"/>
      <ns0:c r="K286" s="29"/>
    </ns0:row>
    <ns0:row r="287" ht="28" customHeight="1">
      <ns0:c r="A287" s="29"/>
      <ns0:c r="B287" s="30"/>
      <ns0:c r="C287" s="28"/>
      <ns0:c r="D287" s="29"/>
      <ns0:c r="E287" s="31"/>
      <ns0:c r="F287" s="32"/>
      <ns0:c r="G287" s="29"/>
      <ns0:c r="H287" s="29"/>
      <ns0:c r="I287" s="29"/>
      <ns0:c r="J287" s="29"/>
      <ns0:c r="K287" s="29"/>
    </ns0:row>
    <ns0:row r="288" ht="28" customHeight="1">
      <ns0:c r="A288" s="29"/>
      <ns0:c r="B288" s="30"/>
      <ns0:c r="C288" s="28"/>
      <ns0:c r="D288" s="29"/>
      <ns0:c r="E288" s="31"/>
      <ns0:c r="F288" s="32"/>
      <ns0:c r="G288" s="29"/>
      <ns0:c r="H288" s="29"/>
      <ns0:c r="I288" s="29"/>
      <ns0:c r="J288" s="29"/>
      <ns0:c r="K288" s="29"/>
    </ns0:row>
    <ns0:row r="289" ht="28" customHeight="1">
      <ns0:c r="A289" s="29"/>
      <ns0:c r="B289" s="30"/>
      <ns0:c r="C289" s="28"/>
      <ns0:c r="D289" s="29"/>
      <ns0:c r="E289" s="31"/>
      <ns0:c r="F289" s="32"/>
      <ns0:c r="G289" s="29"/>
      <ns0:c r="H289" s="29"/>
      <ns0:c r="I289" s="29"/>
      <ns0:c r="J289" s="29"/>
      <ns0:c r="K289" s="29"/>
    </ns0:row>
    <ns0:row r="290" ht="28" customHeight="1">
      <ns0:c r="A290" s="29"/>
      <ns0:c r="B290" s="30"/>
      <ns0:c r="C290" s="28"/>
      <ns0:c r="D290" s="29"/>
      <ns0:c r="E290" s="31"/>
      <ns0:c r="F290" s="32"/>
      <ns0:c r="G290" s="29"/>
      <ns0:c r="H290" s="29"/>
      <ns0:c r="I290" s="29"/>
      <ns0:c r="J290" s="29"/>
      <ns0:c r="K290" s="29"/>
    </ns0:row>
    <ns0:row r="291" ht="28" customHeight="1">
      <ns0:c r="A291" s="29"/>
      <ns0:c r="B291" s="30"/>
      <ns0:c r="C291" s="28"/>
      <ns0:c r="D291" s="29"/>
      <ns0:c r="E291" s="31"/>
      <ns0:c r="F291" s="32"/>
      <ns0:c r="G291" s="29"/>
      <ns0:c r="H291" s="29"/>
      <ns0:c r="I291" s="29"/>
      <ns0:c r="J291" s="29"/>
      <ns0:c r="K291" s="29"/>
    </ns0:row>
    <ns0:row r="292" ht="28" customHeight="1">
      <ns0:c r="A292" s="29"/>
      <ns0:c r="B292" s="30"/>
      <ns0:c r="C292" s="28"/>
      <ns0:c r="D292" s="29"/>
      <ns0:c r="E292" s="31"/>
      <ns0:c r="F292" s="32"/>
      <ns0:c r="G292" s="29"/>
      <ns0:c r="H292" s="29"/>
      <ns0:c r="I292" s="29"/>
      <ns0:c r="J292" s="29"/>
      <ns0:c r="K292" s="29"/>
    </ns0:row>
    <ns0:row r="293" ht="28" customHeight="1">
      <ns0:c r="A293" s="29"/>
      <ns0:c r="B293" s="30"/>
      <ns0:c r="C293" s="28"/>
      <ns0:c r="D293" s="29"/>
      <ns0:c r="E293" s="31"/>
      <ns0:c r="F293" s="32"/>
      <ns0:c r="G293" s="29"/>
      <ns0:c r="H293" s="29"/>
      <ns0:c r="I293" s="29"/>
      <ns0:c r="J293" s="29"/>
      <ns0:c r="K293" s="29"/>
    </ns0:row>
    <ns0:row r="294" ht="28" customHeight="1">
      <ns0:c r="A294" s="29"/>
      <ns0:c r="B294" s="30"/>
      <ns0:c r="C294" s="28"/>
      <ns0:c r="D294" s="29"/>
      <ns0:c r="E294" s="31"/>
      <ns0:c r="F294" s="32"/>
      <ns0:c r="G294" s="29"/>
      <ns0:c r="H294" s="29"/>
      <ns0:c r="I294" s="29"/>
      <ns0:c r="J294" s="29"/>
      <ns0:c r="K294" s="29"/>
    </ns0:row>
    <ns0:row r="295" ht="28" customHeight="1">
      <ns0:c r="A295" s="29"/>
      <ns0:c r="B295" s="30"/>
      <ns0:c r="C295" s="28"/>
      <ns0:c r="D295" s="29"/>
      <ns0:c r="E295" s="31"/>
      <ns0:c r="F295" s="32"/>
      <ns0:c r="G295" s="29"/>
      <ns0:c r="H295" s="29"/>
      <ns0:c r="I295" s="29"/>
      <ns0:c r="J295" s="29"/>
      <ns0:c r="K295" s="29"/>
    </ns0:row>
    <ns0:row r="296" ht="28" customHeight="1">
      <ns0:c r="A296" s="29"/>
      <ns0:c r="B296" s="30"/>
      <ns0:c r="C296" s="28"/>
      <ns0:c r="D296" s="29"/>
      <ns0:c r="E296" s="31"/>
      <ns0:c r="F296" s="32"/>
      <ns0:c r="G296" s="29"/>
      <ns0:c r="H296" s="29"/>
      <ns0:c r="I296" s="29"/>
      <ns0:c r="J296" s="29"/>
      <ns0:c r="K296" s="29"/>
    </ns0:row>
    <ns0:row r="297" ht="28" customHeight="1">
      <ns0:c r="A297" s="29"/>
      <ns0:c r="B297" s="30"/>
      <ns0:c r="C297" s="28"/>
      <ns0:c r="D297" s="29"/>
      <ns0:c r="E297" s="31"/>
      <ns0:c r="F297" s="32"/>
      <ns0:c r="G297" s="29"/>
      <ns0:c r="H297" s="29"/>
      <ns0:c r="I297" s="29"/>
      <ns0:c r="J297" s="29"/>
      <ns0:c r="K297" s="29"/>
    </ns0:row>
    <ns0:row r="298" ht="28" customHeight="1">
      <ns0:c r="A298" s="29"/>
      <ns0:c r="B298" s="30"/>
      <ns0:c r="C298" s="28"/>
      <ns0:c r="D298" s="29"/>
      <ns0:c r="E298" s="31"/>
      <ns0:c r="F298" s="32"/>
      <ns0:c r="G298" s="29"/>
      <ns0:c r="H298" s="29"/>
      <ns0:c r="I298" s="29"/>
      <ns0:c r="J298" s="29"/>
      <ns0:c r="K298" s="29"/>
    </ns0:row>
    <ns0:row r="299" ht="28" customHeight="1">
      <ns0:c r="A299" s="29"/>
      <ns0:c r="B299" s="30"/>
      <ns0:c r="C299" s="28"/>
      <ns0:c r="D299" s="29"/>
      <ns0:c r="E299" s="31"/>
      <ns0:c r="F299" s="32"/>
      <ns0:c r="G299" s="29"/>
      <ns0:c r="H299" s="29"/>
      <ns0:c r="I299" s="29"/>
      <ns0:c r="J299" s="29"/>
      <ns0:c r="K299" s="29"/>
    </ns0:row>
    <ns0:row r="300" ht="28" customHeight="1">
      <ns0:c r="A300" s="29"/>
      <ns0:c r="B300" s="30"/>
      <ns0:c r="C300" s="28"/>
      <ns0:c r="D300" s="29"/>
      <ns0:c r="E300" s="31"/>
      <ns0:c r="F300" s="32"/>
      <ns0:c r="G300" s="29"/>
      <ns0:c r="H300" s="29"/>
      <ns0:c r="I300" s="29"/>
      <ns0:c r="J300" s="29"/>
      <ns0:c r="K300" s="29"/>
    </ns0:row>
    <ns0:row r="301" ht="28" customHeight="1">
      <ns0:c r="A301" s="29"/>
      <ns0:c r="B301" s="30"/>
      <ns0:c r="C301" s="28"/>
      <ns0:c r="D301" s="29"/>
      <ns0:c r="E301" s="31"/>
      <ns0:c r="F301" s="32"/>
      <ns0:c r="G301" s="29"/>
      <ns0:c r="H301" s="29"/>
      <ns0:c r="I301" s="29"/>
      <ns0:c r="J301" s="29"/>
      <ns0:c r="K301" s="29"/>
    </ns0:row>
    <ns0:row r="302" ht="28" customHeight="1">
      <ns0:c r="A302" s="29"/>
      <ns0:c r="B302" s="30"/>
      <ns0:c r="C302" s="28"/>
      <ns0:c r="D302" s="29"/>
      <ns0:c r="E302" s="31"/>
      <ns0:c r="F302" s="32"/>
      <ns0:c r="G302" s="29"/>
      <ns0:c r="H302" s="29"/>
      <ns0:c r="I302" s="29"/>
      <ns0:c r="J302" s="29"/>
      <ns0:c r="K302" s="29"/>
    </ns0:row>
    <ns0:row r="303" ht="28" customHeight="1">
      <ns0:c r="A303" s="29"/>
      <ns0:c r="B303" s="30"/>
      <ns0:c r="C303" s="28"/>
      <ns0:c r="D303" s="29"/>
      <ns0:c r="E303" s="31"/>
      <ns0:c r="F303" s="32"/>
      <ns0:c r="G303" s="29"/>
      <ns0:c r="H303" s="29"/>
      <ns0:c r="I303" s="29"/>
      <ns0:c r="J303" s="29"/>
      <ns0:c r="K303" s="29"/>
    </ns0:row>
    <ns0:row r="304" ht="28" customHeight="1">
      <ns0:c r="A304" s="29"/>
      <ns0:c r="B304" s="30"/>
      <ns0:c r="C304" s="28"/>
      <ns0:c r="D304" s="29"/>
      <ns0:c r="E304" s="31"/>
      <ns0:c r="F304" s="32"/>
      <ns0:c r="G304" s="29"/>
      <ns0:c r="H304" s="29"/>
      <ns0:c r="I304" s="29"/>
      <ns0:c r="J304" s="29"/>
      <ns0:c r="K304" s="29"/>
    </ns0:row>
    <ns0:row r="305" ht="28" customHeight="1">
      <ns0:c r="A305" s="29"/>
      <ns0:c r="B305" s="30"/>
      <ns0:c r="C305" s="28"/>
      <ns0:c r="D305" s="29"/>
      <ns0:c r="E305" s="31"/>
      <ns0:c r="F305" s="32"/>
      <ns0:c r="G305" s="29"/>
      <ns0:c r="H305" s="29"/>
      <ns0:c r="I305" s="29"/>
      <ns0:c r="J305" s="29"/>
      <ns0:c r="K305" s="29"/>
    </ns0:row>
    <ns0:row r="306" ht="28" customHeight="1">
      <ns0:c r="A306" s="29"/>
      <ns0:c r="B306" s="30"/>
      <ns0:c r="C306" s="28"/>
      <ns0:c r="D306" s="29"/>
      <ns0:c r="E306" s="31"/>
      <ns0:c r="F306" s="32"/>
      <ns0:c r="G306" s="29"/>
      <ns0:c r="H306" s="29"/>
      <ns0:c r="I306" s="29"/>
      <ns0:c r="J306" s="29"/>
      <ns0:c r="K306" s="29"/>
    </ns0:row>
    <ns0:row r="307" ht="28" customHeight="1">
      <ns0:c r="A307" s="29"/>
      <ns0:c r="B307" s="30"/>
      <ns0:c r="C307" s="28"/>
      <ns0:c r="D307" s="29"/>
      <ns0:c r="E307" s="31"/>
      <ns0:c r="F307" s="32"/>
      <ns0:c r="G307" s="29"/>
      <ns0:c r="H307" s="29"/>
      <ns0:c r="I307" s="29"/>
      <ns0:c r="J307" s="29"/>
      <ns0:c r="K307" s="29"/>
    </ns0:row>
    <ns0:row r="308" ht="28" customHeight="1">
      <ns0:c r="A308" s="29"/>
      <ns0:c r="B308" s="30"/>
      <ns0:c r="C308" s="28"/>
      <ns0:c r="D308" s="29"/>
      <ns0:c r="E308" s="31"/>
      <ns0:c r="F308" s="32"/>
      <ns0:c r="G308" s="29"/>
      <ns0:c r="H308" s="29"/>
      <ns0:c r="I308" s="29"/>
      <ns0:c r="J308" s="29"/>
      <ns0:c r="K308" s="29"/>
    </ns0:row>
    <ns0:row r="309" ht="28" customHeight="1">
      <ns0:c r="A309" s="29"/>
      <ns0:c r="B309" s="30"/>
      <ns0:c r="C309" s="28"/>
      <ns0:c r="D309" s="29"/>
      <ns0:c r="E309" s="31"/>
      <ns0:c r="F309" s="32"/>
      <ns0:c r="G309" s="29"/>
      <ns0:c r="H309" s="29"/>
      <ns0:c r="I309" s="29"/>
      <ns0:c r="J309" s="29"/>
      <ns0:c r="K309" s="29"/>
    </ns0:row>
    <ns0:row r="310" ht="28" customHeight="1">
      <ns0:c r="A310" s="29"/>
      <ns0:c r="B310" s="30"/>
      <ns0:c r="C310" s="28"/>
      <ns0:c r="D310" s="29"/>
      <ns0:c r="E310" s="31"/>
      <ns0:c r="F310" s="32"/>
      <ns0:c r="G310" s="29"/>
      <ns0:c r="H310" s="29"/>
      <ns0:c r="I310" s="29"/>
      <ns0:c r="J310" s="29"/>
      <ns0:c r="K310" s="29"/>
    </ns0:row>
    <ns0:row r="311" ht="28" customHeight="1">
      <ns0:c r="A311" s="29"/>
      <ns0:c r="B311" s="30"/>
      <ns0:c r="C311" s="28"/>
      <ns0:c r="D311" s="29"/>
      <ns0:c r="E311" s="31"/>
      <ns0:c r="F311" s="32"/>
      <ns0:c r="G311" s="29"/>
      <ns0:c r="H311" s="29"/>
      <ns0:c r="I311" s="29"/>
      <ns0:c r="J311" s="29"/>
      <ns0:c r="K311" s="29"/>
    </ns0:row>
    <ns0:row r="312" ht="28" customHeight="1">
      <ns0:c r="A312" s="29"/>
      <ns0:c r="B312" s="30"/>
      <ns0:c r="C312" s="28"/>
      <ns0:c r="D312" s="29"/>
      <ns0:c r="E312" s="31"/>
      <ns0:c r="F312" s="32"/>
      <ns0:c r="G312" s="29"/>
      <ns0:c r="H312" s="29"/>
      <ns0:c r="I312" s="29"/>
      <ns0:c r="J312" s="29"/>
      <ns0:c r="K312" s="29"/>
    </ns0:row>
    <ns0:row r="313" ht="28" customHeight="1">
      <ns0:c r="A313" s="29"/>
      <ns0:c r="B313" s="30"/>
      <ns0:c r="C313" s="28"/>
      <ns0:c r="D313" s="29"/>
      <ns0:c r="E313" s="31"/>
      <ns0:c r="F313" s="32"/>
      <ns0:c r="G313" s="29"/>
      <ns0:c r="H313" s="29"/>
      <ns0:c r="I313" s="29"/>
      <ns0:c r="J313" s="29"/>
      <ns0:c r="K313" s="29"/>
    </ns0:row>
    <ns0:row r="314" ht="28" customHeight="1">
      <ns0:c r="A314" s="29"/>
      <ns0:c r="B314" s="30"/>
      <ns0:c r="C314" s="28"/>
      <ns0:c r="D314" s="29"/>
      <ns0:c r="E314" s="31"/>
      <ns0:c r="F314" s="32"/>
      <ns0:c r="G314" s="29"/>
      <ns0:c r="H314" s="29"/>
      <ns0:c r="I314" s="29"/>
      <ns0:c r="J314" s="29"/>
      <ns0:c r="K314" s="29"/>
    </ns0:row>
    <ns0:row r="315" ht="28" customHeight="1">
      <ns0:c r="A315" s="29"/>
      <ns0:c r="B315" s="30"/>
      <ns0:c r="C315" s="28"/>
      <ns0:c r="D315" s="29"/>
      <ns0:c r="E315" s="31"/>
      <ns0:c r="F315" s="32"/>
      <ns0:c r="G315" s="29"/>
      <ns0:c r="H315" s="29"/>
      <ns0:c r="I315" s="29"/>
      <ns0:c r="J315" s="29"/>
      <ns0:c r="K315" s="29"/>
    </ns0:row>
    <ns0:row r="316" ht="28" customHeight="1">
      <ns0:c r="A316" s="29"/>
      <ns0:c r="B316" s="30"/>
      <ns0:c r="C316" s="28"/>
      <ns0:c r="D316" s="29"/>
      <ns0:c r="E316" s="31"/>
      <ns0:c r="F316" s="32"/>
      <ns0:c r="G316" s="29"/>
      <ns0:c r="H316" s="29"/>
      <ns0:c r="I316" s="29"/>
      <ns0:c r="J316" s="29"/>
      <ns0:c r="K316" s="29"/>
    </ns0:row>
    <ns0:row r="317" ht="28" customHeight="1">
      <ns0:c r="A317" s="29"/>
      <ns0:c r="B317" s="30"/>
      <ns0:c r="C317" s="28"/>
      <ns0:c r="D317" s="29"/>
      <ns0:c r="E317" s="31"/>
      <ns0:c r="F317" s="32"/>
      <ns0:c r="G317" s="29"/>
      <ns0:c r="H317" s="29"/>
      <ns0:c r="I317" s="29"/>
      <ns0:c r="J317" s="29"/>
      <ns0:c r="K317" s="29"/>
    </ns0:row>
    <ns0:row r="318" ht="28" customHeight="1">
      <ns0:c r="A318" s="29"/>
      <ns0:c r="B318" s="30"/>
      <ns0:c r="C318" s="28"/>
      <ns0:c r="D318" s="29"/>
      <ns0:c r="E318" s="31"/>
      <ns0:c r="F318" s="32"/>
      <ns0:c r="G318" s="29"/>
      <ns0:c r="H318" s="29"/>
      <ns0:c r="I318" s="29"/>
      <ns0:c r="J318" s="29"/>
      <ns0:c r="K318" s="29"/>
    </ns0:row>
    <ns0:row r="319" ht="28" customHeight="1">
      <ns0:c r="A319" s="29"/>
      <ns0:c r="B319" s="30"/>
      <ns0:c r="C319" s="28"/>
      <ns0:c r="D319" s="29"/>
      <ns0:c r="E319" s="31"/>
      <ns0:c r="F319" s="32"/>
      <ns0:c r="G319" s="29"/>
      <ns0:c r="H319" s="29"/>
      <ns0:c r="I319" s="29"/>
      <ns0:c r="J319" s="29"/>
      <ns0:c r="K319" s="29"/>
    </ns0:row>
    <ns0:row r="320" ht="28" customHeight="1">
      <ns0:c r="A320" s="29"/>
      <ns0:c r="B320" s="30"/>
      <ns0:c r="C320" s="28"/>
      <ns0:c r="D320" s="29"/>
      <ns0:c r="E320" s="31"/>
      <ns0:c r="F320" s="32"/>
      <ns0:c r="G320" s="29"/>
      <ns0:c r="H320" s="29"/>
      <ns0:c r="I320" s="29"/>
      <ns0:c r="J320" s="29"/>
      <ns0:c r="K320" s="29"/>
    </ns0:row>
    <ns0:row r="321" ht="28" customHeight="1">
      <ns0:c r="A321" s="29"/>
      <ns0:c r="B321" s="30"/>
      <ns0:c r="C321" s="28"/>
      <ns0:c r="D321" s="29"/>
      <ns0:c r="E321" s="31"/>
      <ns0:c r="F321" s="32"/>
      <ns0:c r="G321" s="29"/>
      <ns0:c r="H321" s="29"/>
      <ns0:c r="I321" s="29"/>
      <ns0:c r="J321" s="29"/>
      <ns0:c r="K321" s="29"/>
    </ns0:row>
    <ns0:row r="322" ht="28" customHeight="1">
      <ns0:c r="A322" s="29"/>
      <ns0:c r="B322" s="30"/>
      <ns0:c r="C322" s="28"/>
      <ns0:c r="D322" s="29"/>
      <ns0:c r="E322" s="31"/>
      <ns0:c r="F322" s="32"/>
      <ns0:c r="G322" s="29"/>
      <ns0:c r="H322" s="29"/>
      <ns0:c r="I322" s="29"/>
      <ns0:c r="J322" s="29"/>
      <ns0:c r="K322" s="29"/>
    </ns0:row>
    <ns0:row r="323" ht="28" customHeight="1">
      <ns0:c r="A323" s="29"/>
      <ns0:c r="B323" s="30"/>
      <ns0:c r="C323" s="28"/>
      <ns0:c r="D323" s="29"/>
      <ns0:c r="E323" s="31"/>
      <ns0:c r="F323" s="32"/>
      <ns0:c r="G323" s="29"/>
      <ns0:c r="H323" s="29"/>
      <ns0:c r="I323" s="29"/>
      <ns0:c r="J323" s="29"/>
      <ns0:c r="K323" s="29"/>
    </ns0:row>
    <ns0:row r="324" ht="28" customHeight="1">
      <ns0:c r="A324" s="29"/>
      <ns0:c r="B324" s="30"/>
      <ns0:c r="C324" s="28"/>
      <ns0:c r="D324" s="29"/>
      <ns0:c r="E324" s="31"/>
      <ns0:c r="F324" s="32"/>
      <ns0:c r="G324" s="29"/>
      <ns0:c r="H324" s="29"/>
      <ns0:c r="I324" s="29"/>
      <ns0:c r="J324" s="29"/>
      <ns0:c r="K324" s="29"/>
    </ns0:row>
    <ns0:row r="325" ht="28" customHeight="1">
      <ns0:c r="A325" s="29"/>
      <ns0:c r="B325" s="30"/>
      <ns0:c r="C325" s="28"/>
      <ns0:c r="D325" s="29"/>
      <ns0:c r="E325" s="31"/>
      <ns0:c r="F325" s="32"/>
      <ns0:c r="G325" s="29"/>
      <ns0:c r="H325" s="29"/>
      <ns0:c r="I325" s="29"/>
      <ns0:c r="J325" s="29"/>
      <ns0:c r="K325" s="29"/>
    </ns0:row>
    <ns0:row r="326" ht="28" customHeight="1">
      <ns0:c r="A326" s="29"/>
      <ns0:c r="B326" s="30"/>
      <ns0:c r="C326" s="28"/>
      <ns0:c r="D326" s="29"/>
      <ns0:c r="E326" s="31"/>
      <ns0:c r="F326" s="32"/>
      <ns0:c r="G326" s="29"/>
      <ns0:c r="H326" s="29"/>
      <ns0:c r="I326" s="29"/>
      <ns0:c r="J326" s="29"/>
      <ns0:c r="K326" s="29"/>
    </ns0:row>
    <ns0:row r="327" ht="28" customHeight="1">
      <ns0:c r="A327" s="29"/>
      <ns0:c r="B327" s="30"/>
      <ns0:c r="C327" s="28"/>
      <ns0:c r="D327" s="29"/>
      <ns0:c r="E327" s="31"/>
      <ns0:c r="F327" s="32"/>
      <ns0:c r="G327" s="29"/>
      <ns0:c r="H327" s="29"/>
      <ns0:c r="I327" s="29"/>
      <ns0:c r="J327" s="29"/>
      <ns0:c r="K327" s="29"/>
    </ns0:row>
    <ns0:row r="328" ht="28" customHeight="1">
      <ns0:c r="A328" s="29"/>
      <ns0:c r="B328" s="30"/>
      <ns0:c r="C328" s="28"/>
      <ns0:c r="D328" s="29"/>
      <ns0:c r="E328" s="31"/>
      <ns0:c r="F328" s="32"/>
      <ns0:c r="G328" s="29"/>
      <ns0:c r="H328" s="29"/>
      <ns0:c r="I328" s="29"/>
      <ns0:c r="J328" s="29"/>
      <ns0:c r="K328" s="29"/>
    </ns0:row>
    <ns0:row r="329" ht="28" customHeight="1">
      <ns0:c r="A329" s="29"/>
      <ns0:c r="B329" s="30"/>
      <ns0:c r="C329" s="28"/>
      <ns0:c r="D329" s="29"/>
      <ns0:c r="E329" s="31"/>
      <ns0:c r="F329" s="32"/>
      <ns0:c r="G329" s="29"/>
      <ns0:c r="H329" s="29"/>
      <ns0:c r="I329" s="29"/>
      <ns0:c r="J329" s="29"/>
      <ns0:c r="K329" s="29"/>
    </ns0:row>
    <ns0:row r="330" ht="28" customHeight="1">
      <ns0:c r="A330" s="29"/>
      <ns0:c r="B330" s="30"/>
      <ns0:c r="C330" s="28"/>
      <ns0:c r="D330" s="29"/>
      <ns0:c r="E330" s="31"/>
      <ns0:c r="F330" s="32"/>
      <ns0:c r="G330" s="29"/>
      <ns0:c r="H330" s="29"/>
      <ns0:c r="I330" s="29"/>
      <ns0:c r="J330" s="29"/>
      <ns0:c r="K330" s="29"/>
    </ns0:row>
    <ns0:row r="331" ht="28" customHeight="1">
      <ns0:c r="A331" s="29"/>
      <ns0:c r="B331" s="30"/>
      <ns0:c r="C331" s="28"/>
      <ns0:c r="D331" s="29"/>
      <ns0:c r="E331" s="31"/>
      <ns0:c r="F331" s="32"/>
      <ns0:c r="G331" s="29"/>
      <ns0:c r="H331" s="29"/>
      <ns0:c r="I331" s="29"/>
      <ns0:c r="J331" s="29"/>
      <ns0:c r="K331" s="29"/>
    </ns0:row>
    <ns0:row r="332" ht="28" customHeight="1">
      <ns0:c r="A332" s="29"/>
      <ns0:c r="B332" s="30"/>
      <ns0:c r="C332" s="28"/>
      <ns0:c r="D332" s="29"/>
      <ns0:c r="E332" s="31"/>
      <ns0:c r="F332" s="32"/>
      <ns0:c r="G332" s="29"/>
      <ns0:c r="H332" s="29"/>
      <ns0:c r="I332" s="29"/>
      <ns0:c r="J332" s="29"/>
      <ns0:c r="K332" s="29"/>
    </ns0:row>
    <ns0:row r="333" ht="28" customHeight="1">
      <ns0:c r="A333" s="29"/>
      <ns0:c r="B333" s="30"/>
      <ns0:c r="C333" s="28"/>
      <ns0:c r="D333" s="29"/>
      <ns0:c r="E333" s="31"/>
      <ns0:c r="F333" s="32"/>
      <ns0:c r="G333" s="29"/>
      <ns0:c r="H333" s="29"/>
      <ns0:c r="I333" s="29"/>
      <ns0:c r="J333" s="29"/>
      <ns0:c r="K333" s="29"/>
    </ns0:row>
    <ns0:row r="334" ht="28" customHeight="1">
      <ns0:c r="A334" s="29"/>
      <ns0:c r="B334" s="30"/>
      <ns0:c r="C334" s="28"/>
      <ns0:c r="D334" s="29"/>
      <ns0:c r="E334" s="31"/>
      <ns0:c r="F334" s="32"/>
      <ns0:c r="G334" s="29"/>
      <ns0:c r="H334" s="29"/>
      <ns0:c r="I334" s="29"/>
      <ns0:c r="J334" s="29"/>
      <ns0:c r="K334" s="29"/>
    </ns0:row>
    <ns0:row r="335" ht="28" customHeight="1">
      <ns0:c r="A335" s="29"/>
      <ns0:c r="B335" s="30"/>
      <ns0:c r="C335" s="28"/>
      <ns0:c r="D335" s="29"/>
      <ns0:c r="E335" s="31"/>
      <ns0:c r="F335" s="32"/>
      <ns0:c r="G335" s="29"/>
      <ns0:c r="H335" s="29"/>
      <ns0:c r="I335" s="29"/>
      <ns0:c r="J335" s="29"/>
      <ns0:c r="K335" s="29"/>
    </ns0:row>
    <ns0:row r="336" ht="28" customHeight="1">
      <ns0:c r="A336" s="29"/>
      <ns0:c r="B336" s="30"/>
      <ns0:c r="C336" s="28"/>
      <ns0:c r="D336" s="29"/>
      <ns0:c r="E336" s="31"/>
      <ns0:c r="F336" s="32"/>
      <ns0:c r="G336" s="29"/>
      <ns0:c r="H336" s="29"/>
      <ns0:c r="I336" s="29"/>
      <ns0:c r="J336" s="29"/>
      <ns0:c r="K336" s="29"/>
    </ns0:row>
    <ns0:row r="337" ht="28" customHeight="1">
      <ns0:c r="A337" s="29"/>
      <ns0:c r="B337" s="30"/>
      <ns0:c r="C337" s="28"/>
      <ns0:c r="D337" s="29"/>
      <ns0:c r="E337" s="31"/>
      <ns0:c r="F337" s="32"/>
      <ns0:c r="G337" s="29"/>
      <ns0:c r="H337" s="29"/>
      <ns0:c r="I337" s="29"/>
      <ns0:c r="J337" s="29"/>
      <ns0:c r="K337" s="29"/>
    </ns0:row>
    <ns0:row r="338" ht="28" customHeight="1">
      <ns0:c r="A338" s="29"/>
      <ns0:c r="B338" s="30"/>
      <ns0:c r="C338" s="28"/>
      <ns0:c r="D338" s="29"/>
      <ns0:c r="E338" s="31"/>
      <ns0:c r="F338" s="32"/>
      <ns0:c r="G338" s="29"/>
      <ns0:c r="H338" s="29"/>
      <ns0:c r="I338" s="29"/>
      <ns0:c r="J338" s="29"/>
      <ns0:c r="K338" s="29"/>
    </ns0:row>
    <ns0:row r="339" ht="28" customHeight="1">
      <ns0:c r="A339" s="29"/>
      <ns0:c r="B339" s="30"/>
      <ns0:c r="C339" s="28"/>
      <ns0:c r="D339" s="29"/>
      <ns0:c r="E339" s="31"/>
      <ns0:c r="F339" s="32"/>
      <ns0:c r="G339" s="29"/>
      <ns0:c r="H339" s="29"/>
      <ns0:c r="I339" s="29"/>
      <ns0:c r="J339" s="29"/>
      <ns0:c r="K339" s="29"/>
    </ns0:row>
    <ns0:row r="340" ht="28" customHeight="1">
      <ns0:c r="A340" s="29"/>
      <ns0:c r="B340" s="30"/>
      <ns0:c r="C340" s="28"/>
      <ns0:c r="D340" s="29"/>
      <ns0:c r="E340" s="31"/>
      <ns0:c r="F340" s="32"/>
      <ns0:c r="G340" s="29"/>
      <ns0:c r="H340" s="29"/>
      <ns0:c r="I340" s="29"/>
      <ns0:c r="J340" s="29"/>
      <ns0:c r="K340" s="29"/>
    </ns0:row>
    <ns0:row r="341" ht="28" customHeight="1">
      <ns0:c r="A341" s="29"/>
      <ns0:c r="B341" s="30"/>
      <ns0:c r="C341" s="28"/>
      <ns0:c r="D341" s="29"/>
      <ns0:c r="E341" s="31"/>
      <ns0:c r="F341" s="32"/>
      <ns0:c r="G341" s="29"/>
      <ns0:c r="H341" s="29"/>
      <ns0:c r="I341" s="29"/>
      <ns0:c r="J341" s="29"/>
      <ns0:c r="K341" s="29"/>
    </ns0:row>
    <ns0:row r="342" ht="28" customHeight="1">
      <ns0:c r="A342" s="29"/>
      <ns0:c r="B342" s="30"/>
      <ns0:c r="C342" s="28"/>
      <ns0:c r="D342" s="29"/>
      <ns0:c r="E342" s="31"/>
      <ns0:c r="F342" s="32"/>
      <ns0:c r="G342" s="29"/>
      <ns0:c r="H342" s="29"/>
      <ns0:c r="I342" s="29"/>
      <ns0:c r="J342" s="29"/>
      <ns0:c r="K342" s="29"/>
    </ns0:row>
    <ns0:row r="343" ht="28" customHeight="1">
      <ns0:c r="A343" s="29"/>
      <ns0:c r="B343" s="30"/>
      <ns0:c r="C343" s="28"/>
      <ns0:c r="D343" s="29"/>
      <ns0:c r="E343" s="31"/>
      <ns0:c r="F343" s="32"/>
      <ns0:c r="G343" s="29"/>
      <ns0:c r="H343" s="29"/>
      <ns0:c r="I343" s="29"/>
      <ns0:c r="J343" s="29"/>
      <ns0:c r="K343" s="29"/>
    </ns0:row>
    <ns0:row r="344" ht="28" customHeight="1">
      <ns0:c r="A344" s="29"/>
      <ns0:c r="B344" s="30"/>
      <ns0:c r="C344" s="28"/>
      <ns0:c r="D344" s="29"/>
      <ns0:c r="E344" s="31"/>
      <ns0:c r="F344" s="32"/>
      <ns0:c r="G344" s="29"/>
      <ns0:c r="H344" s="29"/>
      <ns0:c r="I344" s="29"/>
      <ns0:c r="J344" s="29"/>
      <ns0:c r="K344" s="29"/>
    </ns0:row>
    <ns0:row r="345" ht="28" customHeight="1">
      <ns0:c r="A345" s="29"/>
      <ns0:c r="B345" s="30"/>
      <ns0:c r="C345" s="28"/>
      <ns0:c r="D345" s="29"/>
      <ns0:c r="E345" s="31"/>
      <ns0:c r="F345" s="32"/>
      <ns0:c r="G345" s="29"/>
      <ns0:c r="H345" s="29"/>
      <ns0:c r="I345" s="29"/>
      <ns0:c r="J345" s="29"/>
      <ns0:c r="K345" s="29"/>
    </ns0:row>
    <ns0:row r="346" ht="28" customHeight="1">
      <ns0:c r="A346" s="29"/>
      <ns0:c r="B346" s="30"/>
      <ns0:c r="C346" s="28"/>
      <ns0:c r="D346" s="29"/>
      <ns0:c r="E346" s="31"/>
      <ns0:c r="F346" s="32"/>
      <ns0:c r="G346" s="29"/>
      <ns0:c r="H346" s="29"/>
      <ns0:c r="I346" s="29"/>
      <ns0:c r="J346" s="29"/>
      <ns0:c r="K346" s="29"/>
    </ns0:row>
    <ns0:row r="347" ht="28" customHeight="1">
      <ns0:c r="A347" s="29"/>
      <ns0:c r="B347" s="30"/>
      <ns0:c r="C347" s="28"/>
      <ns0:c r="D347" s="29"/>
      <ns0:c r="E347" s="31"/>
      <ns0:c r="F347" s="32"/>
      <ns0:c r="G347" s="29"/>
      <ns0:c r="H347" s="29"/>
      <ns0:c r="I347" s="29"/>
      <ns0:c r="J347" s="29"/>
      <ns0:c r="K347" s="29"/>
    </ns0:row>
    <ns0:row r="348" ht="28" customHeight="1">
      <ns0:c r="A348" s="29"/>
      <ns0:c r="B348" s="30"/>
      <ns0:c r="C348" s="28"/>
      <ns0:c r="D348" s="29"/>
      <ns0:c r="E348" s="31"/>
      <ns0:c r="F348" s="32"/>
      <ns0:c r="G348" s="29"/>
      <ns0:c r="H348" s="29"/>
      <ns0:c r="I348" s="29"/>
      <ns0:c r="J348" s="29"/>
      <ns0:c r="K348" s="29"/>
    </ns0:row>
    <ns0:row r="349" ht="28" customHeight="1">
      <ns0:c r="A349" s="29"/>
      <ns0:c r="B349" s="30"/>
      <ns0:c r="C349" s="28"/>
      <ns0:c r="D349" s="29"/>
      <ns0:c r="E349" s="31"/>
      <ns0:c r="F349" s="32"/>
      <ns0:c r="G349" s="29"/>
      <ns0:c r="H349" s="29"/>
      <ns0:c r="I349" s="29"/>
      <ns0:c r="J349" s="29"/>
      <ns0:c r="K349" s="29"/>
    </ns0:row>
    <ns0:row r="350" ht="28" customHeight="1">
      <ns0:c r="A350" s="29"/>
      <ns0:c r="B350" s="30"/>
      <ns0:c r="C350" s="28"/>
      <ns0:c r="D350" s="29"/>
      <ns0:c r="E350" s="31"/>
      <ns0:c r="F350" s="32"/>
      <ns0:c r="G350" s="29"/>
      <ns0:c r="H350" s="29"/>
      <ns0:c r="I350" s="29"/>
      <ns0:c r="J350" s="29"/>
      <ns0:c r="K350" s="29"/>
    </ns0:row>
    <ns0:row r="351" ht="28" customHeight="1">
      <ns0:c r="A351" s="29"/>
      <ns0:c r="B351" s="30"/>
      <ns0:c r="C351" s="28"/>
      <ns0:c r="D351" s="29"/>
      <ns0:c r="E351" s="31"/>
      <ns0:c r="F351" s="32"/>
      <ns0:c r="G351" s="29"/>
      <ns0:c r="H351" s="29"/>
      <ns0:c r="I351" s="29"/>
      <ns0:c r="J351" s="29"/>
      <ns0:c r="K351" s="29"/>
    </ns0:row>
    <ns0:row r="352" ht="28" customHeight="1">
      <ns0:c r="A352" s="29"/>
      <ns0:c r="B352" s="30"/>
      <ns0:c r="C352" s="28"/>
      <ns0:c r="D352" s="29"/>
      <ns0:c r="E352" s="31"/>
      <ns0:c r="F352" s="32"/>
      <ns0:c r="G352" s="29"/>
      <ns0:c r="H352" s="29"/>
      <ns0:c r="I352" s="29"/>
      <ns0:c r="J352" s="29"/>
      <ns0:c r="K352" s="29"/>
    </ns0:row>
    <ns0:row r="353" ht="28" customHeight="1">
      <ns0:c r="A353" s="29"/>
      <ns0:c r="B353" s="30"/>
      <ns0:c r="C353" s="28"/>
      <ns0:c r="D353" s="29"/>
      <ns0:c r="E353" s="31"/>
      <ns0:c r="F353" s="32"/>
      <ns0:c r="G353" s="29"/>
      <ns0:c r="H353" s="29"/>
      <ns0:c r="I353" s="29"/>
      <ns0:c r="J353" s="29"/>
      <ns0:c r="K353" s="29"/>
    </ns0:row>
    <ns0:row r="354" ht="28" customHeight="1">
      <ns0:c r="A354" s="29"/>
      <ns0:c r="B354" s="30"/>
      <ns0:c r="C354" s="28"/>
      <ns0:c r="D354" s="29"/>
      <ns0:c r="E354" s="31"/>
      <ns0:c r="F354" s="32"/>
      <ns0:c r="G354" s="29"/>
      <ns0:c r="H354" s="29"/>
      <ns0:c r="I354" s="29"/>
      <ns0:c r="J354" s="29"/>
      <ns0:c r="K354" s="29"/>
    </ns0:row>
    <ns0:row r="355" ht="28" customHeight="1">
      <ns0:c r="A355" s="29"/>
      <ns0:c r="B355" s="30"/>
      <ns0:c r="C355" s="28"/>
      <ns0:c r="D355" s="29"/>
      <ns0:c r="E355" s="31"/>
      <ns0:c r="F355" s="32"/>
      <ns0:c r="G355" s="29"/>
      <ns0:c r="H355" s="29"/>
      <ns0:c r="I355" s="29"/>
      <ns0:c r="J355" s="29"/>
      <ns0:c r="K355" s="29"/>
    </ns0:row>
    <ns0:row r="356" ht="28" customHeight="1">
      <ns0:c r="A356" s="29"/>
      <ns0:c r="B356" s="30"/>
      <ns0:c r="C356" s="28"/>
      <ns0:c r="D356" s="29"/>
      <ns0:c r="E356" s="31"/>
      <ns0:c r="F356" s="32"/>
      <ns0:c r="G356" s="29"/>
      <ns0:c r="H356" s="29"/>
      <ns0:c r="I356" s="29"/>
      <ns0:c r="J356" s="29"/>
      <ns0:c r="K356" s="29"/>
    </ns0:row>
    <ns0:row r="357" ht="28" customHeight="1">
      <ns0:c r="A357" s="29"/>
      <ns0:c r="B357" s="30"/>
      <ns0:c r="C357" s="28"/>
      <ns0:c r="D357" s="29"/>
      <ns0:c r="E357" s="31"/>
      <ns0:c r="F357" s="32"/>
      <ns0:c r="G357" s="29"/>
      <ns0:c r="H357" s="29"/>
      <ns0:c r="I357" s="29"/>
      <ns0:c r="J357" s="29"/>
      <ns0:c r="K357" s="29"/>
    </ns0:row>
    <ns0:row r="358" ht="28" customHeight="1">
      <ns0:c r="A358" s="29"/>
      <ns0:c r="B358" s="30"/>
      <ns0:c r="C358" s="28"/>
      <ns0:c r="D358" s="29"/>
      <ns0:c r="E358" s="31"/>
      <ns0:c r="F358" s="32"/>
      <ns0:c r="G358" s="29"/>
      <ns0:c r="H358" s="29"/>
      <ns0:c r="I358" s="29"/>
      <ns0:c r="J358" s="29"/>
      <ns0:c r="K358" s="29"/>
    </ns0:row>
    <ns0:row r="359" ht="28" customHeight="1">
      <ns0:c r="A359" s="29"/>
      <ns0:c r="B359" s="30"/>
      <ns0:c r="C359" s="28"/>
      <ns0:c r="D359" s="29"/>
      <ns0:c r="E359" s="31"/>
      <ns0:c r="F359" s="32"/>
      <ns0:c r="G359" s="29"/>
      <ns0:c r="H359" s="29"/>
      <ns0:c r="I359" s="29"/>
      <ns0:c r="J359" s="29"/>
      <ns0:c r="K359" s="29"/>
    </ns0:row>
    <ns0:row r="360" ht="28" customHeight="1">
      <ns0:c r="A360" s="29"/>
      <ns0:c r="B360" s="30"/>
      <ns0:c r="C360" s="28"/>
      <ns0:c r="D360" s="29"/>
      <ns0:c r="E360" s="31"/>
      <ns0:c r="F360" s="32"/>
      <ns0:c r="G360" s="29"/>
      <ns0:c r="H360" s="29"/>
      <ns0:c r="I360" s="29"/>
      <ns0:c r="J360" s="29"/>
      <ns0:c r="K360" s="29"/>
    </ns0:row>
    <ns0:row r="361" ht="28" customHeight="1">
      <ns0:c r="A361" s="29"/>
      <ns0:c r="B361" s="30"/>
      <ns0:c r="C361" s="28"/>
      <ns0:c r="D361" s="29"/>
      <ns0:c r="E361" s="31"/>
      <ns0:c r="F361" s="32"/>
      <ns0:c r="G361" s="29"/>
      <ns0:c r="H361" s="29"/>
      <ns0:c r="I361" s="29"/>
      <ns0:c r="J361" s="29"/>
      <ns0:c r="K361" s="29"/>
    </ns0:row>
    <ns0:row r="362" ht="28" customHeight="1">
      <ns0:c r="A362" s="29"/>
      <ns0:c r="B362" s="30"/>
      <ns0:c r="C362" s="28"/>
      <ns0:c r="D362" s="29"/>
      <ns0:c r="E362" s="31"/>
      <ns0:c r="F362" s="32"/>
      <ns0:c r="G362" s="29"/>
      <ns0:c r="H362" s="29"/>
      <ns0:c r="I362" s="29"/>
      <ns0:c r="J362" s="29"/>
      <ns0:c r="K362" s="29"/>
    </ns0:row>
    <ns0:row r="363" ht="28" customHeight="1">
      <ns0:c r="A363" s="29"/>
      <ns0:c r="B363" s="30"/>
      <ns0:c r="C363" s="28"/>
      <ns0:c r="D363" s="29"/>
      <ns0:c r="E363" s="31"/>
      <ns0:c r="F363" s="32"/>
      <ns0:c r="G363" s="29"/>
      <ns0:c r="H363" s="29"/>
      <ns0:c r="I363" s="29"/>
      <ns0:c r="J363" s="29"/>
      <ns0:c r="K363" s="29"/>
    </ns0:row>
    <ns0:row r="364" ht="28" customHeight="1">
      <ns0:c r="A364" s="29"/>
      <ns0:c r="B364" s="30"/>
      <ns0:c r="C364" s="28"/>
      <ns0:c r="D364" s="29"/>
      <ns0:c r="E364" s="31"/>
      <ns0:c r="F364" s="32"/>
      <ns0:c r="G364" s="29"/>
      <ns0:c r="H364" s="29"/>
      <ns0:c r="I364" s="29"/>
      <ns0:c r="J364" s="29"/>
      <ns0:c r="K364" s="29"/>
    </ns0:row>
    <ns0:row r="365" ht="28" customHeight="1">
      <ns0:c r="A365" s="29"/>
      <ns0:c r="B365" s="30"/>
      <ns0:c r="C365" s="28"/>
      <ns0:c r="D365" s="29"/>
      <ns0:c r="E365" s="31"/>
      <ns0:c r="F365" s="32"/>
      <ns0:c r="G365" s="29"/>
      <ns0:c r="H365" s="29"/>
      <ns0:c r="I365" s="29"/>
      <ns0:c r="J365" s="29"/>
      <ns0:c r="K365" s="29"/>
    </ns0:row>
    <ns0:row r="366" ht="28" customHeight="1">
      <ns0:c r="A366" s="29"/>
      <ns0:c r="B366" s="30"/>
      <ns0:c r="C366" s="28"/>
      <ns0:c r="D366" s="29"/>
      <ns0:c r="E366" s="31"/>
      <ns0:c r="F366" s="32"/>
      <ns0:c r="G366" s="29"/>
      <ns0:c r="H366" s="29"/>
      <ns0:c r="I366" s="29"/>
      <ns0:c r="J366" s="29"/>
      <ns0:c r="K366" s="29"/>
    </ns0:row>
    <ns0:row r="367" ht="28" customHeight="1">
      <ns0:c r="A367" s="29"/>
      <ns0:c r="B367" s="30"/>
      <ns0:c r="C367" s="28"/>
      <ns0:c r="D367" s="29"/>
      <ns0:c r="E367" s="31"/>
      <ns0:c r="F367" s="32"/>
      <ns0:c r="G367" s="29"/>
      <ns0:c r="H367" s="29"/>
      <ns0:c r="I367" s="29"/>
      <ns0:c r="J367" s="29"/>
      <ns0:c r="K367" s="29"/>
    </ns0:row>
    <ns0:row r="368" ht="28" customHeight="1">
      <ns0:c r="A368" s="29"/>
      <ns0:c r="B368" s="30"/>
      <ns0:c r="C368" s="28"/>
      <ns0:c r="D368" s="29"/>
      <ns0:c r="E368" s="31"/>
      <ns0:c r="F368" s="32"/>
      <ns0:c r="G368" s="29"/>
      <ns0:c r="H368" s="29"/>
      <ns0:c r="I368" s="29"/>
      <ns0:c r="J368" s="29"/>
      <ns0:c r="K368" s="29"/>
    </ns0:row>
    <ns0:row r="369" ht="28" customHeight="1">
      <ns0:c r="A369" s="29"/>
      <ns0:c r="B369" s="30"/>
      <ns0:c r="C369" s="28"/>
      <ns0:c r="D369" s="29"/>
      <ns0:c r="E369" s="31"/>
      <ns0:c r="F369" s="32"/>
      <ns0:c r="G369" s="29"/>
      <ns0:c r="H369" s="29"/>
      <ns0:c r="I369" s="29"/>
      <ns0:c r="J369" s="29"/>
      <ns0:c r="K369" s="29"/>
    </ns0:row>
    <ns0:row r="370" ht="28" customHeight="1">
      <ns0:c r="A370" s="29"/>
      <ns0:c r="B370" s="30"/>
      <ns0:c r="C370" s="28"/>
      <ns0:c r="D370" s="29"/>
      <ns0:c r="E370" s="31"/>
      <ns0:c r="F370" s="32"/>
      <ns0:c r="G370" s="29"/>
      <ns0:c r="H370" s="29"/>
      <ns0:c r="I370" s="29"/>
      <ns0:c r="J370" s="29"/>
      <ns0:c r="K370" s="29"/>
    </ns0:row>
    <ns0:row r="371" ht="28" customHeight="1">
      <ns0:c r="A371" s="29"/>
      <ns0:c r="B371" s="30"/>
      <ns0:c r="C371" s="28"/>
      <ns0:c r="D371" s="29"/>
      <ns0:c r="E371" s="31"/>
      <ns0:c r="F371" s="32"/>
      <ns0:c r="G371" s="29"/>
      <ns0:c r="H371" s="29"/>
      <ns0:c r="I371" s="29"/>
      <ns0:c r="J371" s="29"/>
      <ns0:c r="K371" s="29"/>
    </ns0:row>
    <ns0:row r="372" ht="28" customHeight="1">
      <ns0:c r="A372" s="29"/>
      <ns0:c r="B372" s="30"/>
      <ns0:c r="C372" s="28"/>
      <ns0:c r="D372" s="29"/>
      <ns0:c r="E372" s="31"/>
      <ns0:c r="F372" s="32"/>
      <ns0:c r="G372" s="29"/>
      <ns0:c r="H372" s="29"/>
      <ns0:c r="I372" s="29"/>
      <ns0:c r="J372" s="29"/>
      <ns0:c r="K372" s="29"/>
    </ns0:row>
    <ns0:row r="373" ht="28" customHeight="1">
      <ns0:c r="A373" s="29"/>
      <ns0:c r="B373" s="30"/>
      <ns0:c r="C373" s="28"/>
      <ns0:c r="D373" s="29"/>
      <ns0:c r="E373" s="31"/>
      <ns0:c r="F373" s="32"/>
      <ns0:c r="G373" s="29"/>
      <ns0:c r="H373" s="29"/>
      <ns0:c r="I373" s="29"/>
      <ns0:c r="J373" s="29"/>
      <ns0:c r="K373" s="29"/>
    </ns0:row>
    <ns0:row r="374" ht="28" customHeight="1">
      <ns0:c r="A374" s="29"/>
      <ns0:c r="B374" s="30"/>
      <ns0:c r="C374" s="28"/>
      <ns0:c r="D374" s="29"/>
      <ns0:c r="E374" s="31"/>
      <ns0:c r="F374" s="32"/>
      <ns0:c r="G374" s="29"/>
      <ns0:c r="H374" s="29"/>
      <ns0:c r="I374" s="29"/>
      <ns0:c r="J374" s="29"/>
      <ns0:c r="K374" s="29"/>
    </ns0:row>
    <ns0:row r="375" ht="28" customHeight="1">
      <ns0:c r="A375" s="29"/>
      <ns0:c r="B375" s="30"/>
      <ns0:c r="C375" s="28"/>
      <ns0:c r="D375" s="29"/>
      <ns0:c r="E375" s="31"/>
      <ns0:c r="F375" s="32"/>
      <ns0:c r="G375" s="29"/>
      <ns0:c r="H375" s="29"/>
      <ns0:c r="I375" s="29"/>
      <ns0:c r="J375" s="29"/>
      <ns0:c r="K375" s="29"/>
    </ns0:row>
    <ns0:row r="376" ht="28" customHeight="1">
      <ns0:c r="A376" s="29"/>
      <ns0:c r="B376" s="30"/>
      <ns0:c r="C376" s="28"/>
      <ns0:c r="D376" s="29"/>
      <ns0:c r="E376" s="31"/>
      <ns0:c r="F376" s="32"/>
      <ns0:c r="G376" s="29"/>
      <ns0:c r="H376" s="29"/>
      <ns0:c r="I376" s="29"/>
      <ns0:c r="J376" s="29"/>
      <ns0:c r="K376" s="29"/>
    </ns0:row>
    <ns0:row r="377" ht="28" customHeight="1">
      <ns0:c r="A377" s="29"/>
      <ns0:c r="B377" s="30"/>
      <ns0:c r="C377" s="28"/>
      <ns0:c r="D377" s="29"/>
      <ns0:c r="E377" s="31"/>
      <ns0:c r="F377" s="32"/>
      <ns0:c r="G377" s="29"/>
      <ns0:c r="H377" s="29"/>
      <ns0:c r="I377" s="29"/>
      <ns0:c r="J377" s="29"/>
      <ns0:c r="K377" s="29"/>
    </ns0:row>
    <ns0:row r="378" ht="28" customHeight="1">
      <ns0:c r="A378" s="29"/>
      <ns0:c r="B378" s="30"/>
      <ns0:c r="C378" s="28"/>
      <ns0:c r="D378" s="29"/>
      <ns0:c r="E378" s="31"/>
      <ns0:c r="F378" s="32"/>
      <ns0:c r="G378" s="29"/>
      <ns0:c r="H378" s="29"/>
      <ns0:c r="I378" s="29"/>
      <ns0:c r="J378" s="29"/>
      <ns0:c r="K378" s="29"/>
    </ns0:row>
    <ns0:row r="379" ht="28" customHeight="1">
      <ns0:c r="A379" s="29"/>
      <ns0:c r="B379" s="30"/>
      <ns0:c r="C379" s="28"/>
      <ns0:c r="D379" s="29"/>
      <ns0:c r="E379" s="31"/>
      <ns0:c r="F379" s="32"/>
      <ns0:c r="G379" s="29"/>
      <ns0:c r="H379" s="29"/>
      <ns0:c r="I379" s="29"/>
      <ns0:c r="J379" s="29"/>
      <ns0:c r="K379" s="29"/>
    </ns0:row>
    <ns0:row r="380" ht="28" customHeight="1">
      <ns0:c r="A380" s="29"/>
      <ns0:c r="B380" s="30"/>
      <ns0:c r="C380" s="28"/>
      <ns0:c r="D380" s="29"/>
      <ns0:c r="E380" s="31"/>
      <ns0:c r="F380" s="32"/>
      <ns0:c r="G380" s="29"/>
      <ns0:c r="H380" s="29"/>
      <ns0:c r="I380" s="29"/>
      <ns0:c r="J380" s="29"/>
      <ns0:c r="K380" s="29"/>
    </ns0:row>
    <ns0:row r="381" ht="28" customHeight="1">
      <ns0:c r="A381" s="29"/>
      <ns0:c r="B381" s="30"/>
      <ns0:c r="C381" s="28"/>
      <ns0:c r="D381" s="29"/>
      <ns0:c r="E381" s="31"/>
      <ns0:c r="F381" s="32"/>
      <ns0:c r="G381" s="29"/>
      <ns0:c r="H381" s="29"/>
      <ns0:c r="I381" s="29"/>
      <ns0:c r="J381" s="29"/>
      <ns0:c r="K381" s="29"/>
    </ns0:row>
    <ns0:row r="382" ht="28" customHeight="1">
      <ns0:c r="A382" s="29"/>
      <ns0:c r="B382" s="30"/>
      <ns0:c r="C382" s="28"/>
      <ns0:c r="D382" s="29"/>
      <ns0:c r="E382" s="31"/>
      <ns0:c r="F382" s="32"/>
      <ns0:c r="G382" s="29"/>
      <ns0:c r="H382" s="29"/>
      <ns0:c r="I382" s="29"/>
      <ns0:c r="J382" s="29"/>
      <ns0:c r="K382" s="29"/>
    </ns0:row>
    <ns0:row r="383" ht="28" customHeight="1">
      <ns0:c r="A383" s="29"/>
      <ns0:c r="B383" s="30"/>
      <ns0:c r="C383" s="28"/>
      <ns0:c r="D383" s="29"/>
      <ns0:c r="E383" s="31"/>
      <ns0:c r="F383" s="32"/>
      <ns0:c r="G383" s="29"/>
      <ns0:c r="H383" s="29"/>
      <ns0:c r="I383" s="29"/>
      <ns0:c r="J383" s="29"/>
      <ns0:c r="K383" s="29"/>
    </ns0:row>
    <ns0:row r="384" ht="28" customHeight="1">
      <ns0:c r="A384" s="29"/>
      <ns0:c r="B384" s="30"/>
      <ns0:c r="C384" s="28"/>
      <ns0:c r="D384" s="29"/>
      <ns0:c r="E384" s="31"/>
      <ns0:c r="F384" s="32"/>
      <ns0:c r="G384" s="29"/>
      <ns0:c r="H384" s="29"/>
      <ns0:c r="I384" s="29"/>
      <ns0:c r="J384" s="29"/>
      <ns0:c r="K384" s="29"/>
    </ns0:row>
    <ns0:row r="385" ht="28" customHeight="1">
      <ns0:c r="A385" s="29"/>
      <ns0:c r="B385" s="30"/>
      <ns0:c r="C385" s="28"/>
      <ns0:c r="D385" s="29"/>
      <ns0:c r="E385" s="31"/>
      <ns0:c r="F385" s="32"/>
      <ns0:c r="G385" s="29"/>
      <ns0:c r="H385" s="29"/>
      <ns0:c r="I385" s="29"/>
      <ns0:c r="J385" s="29"/>
      <ns0:c r="K385" s="29"/>
    </ns0:row>
    <ns0:row r="386" ht="28" customHeight="1">
      <ns0:c r="A386" s="29"/>
      <ns0:c r="B386" s="30"/>
      <ns0:c r="C386" s="28"/>
      <ns0:c r="D386" s="29"/>
      <ns0:c r="E386" s="31"/>
      <ns0:c r="F386" s="32"/>
      <ns0:c r="G386" s="29"/>
      <ns0:c r="H386" s="29"/>
      <ns0:c r="I386" s="29"/>
      <ns0:c r="J386" s="29"/>
      <ns0:c r="K386" s="29"/>
    </ns0:row>
    <ns0:row r="387" ht="28" customHeight="1">
      <ns0:c r="A387" s="29"/>
      <ns0:c r="B387" s="30"/>
      <ns0:c r="C387" s="28"/>
      <ns0:c r="D387" s="29"/>
      <ns0:c r="E387" s="31"/>
      <ns0:c r="F387" s="32"/>
      <ns0:c r="G387" s="29"/>
      <ns0:c r="H387" s="29"/>
      <ns0:c r="I387" s="29"/>
      <ns0:c r="J387" s="29"/>
      <ns0:c r="K387" s="29"/>
    </ns0:row>
    <ns0:row r="388" ht="28" customHeight="1">
      <ns0:c r="A388" s="29"/>
      <ns0:c r="B388" s="30"/>
      <ns0:c r="C388" s="28"/>
      <ns0:c r="D388" s="29"/>
      <ns0:c r="E388" s="31"/>
      <ns0:c r="F388" s="32"/>
      <ns0:c r="G388" s="29"/>
      <ns0:c r="H388" s="29"/>
      <ns0:c r="I388" s="29"/>
      <ns0:c r="J388" s="29"/>
      <ns0:c r="K388" s="29"/>
    </ns0:row>
    <ns0:row r="389" ht="28" customHeight="1">
      <ns0:c r="A389" s="29"/>
      <ns0:c r="B389" s="30"/>
      <ns0:c r="C389" s="28"/>
      <ns0:c r="D389" s="29"/>
      <ns0:c r="E389" s="31"/>
      <ns0:c r="F389" s="32"/>
      <ns0:c r="G389" s="29"/>
      <ns0:c r="H389" s="29"/>
      <ns0:c r="I389" s="29"/>
      <ns0:c r="J389" s="29"/>
      <ns0:c r="K389" s="29"/>
    </ns0:row>
    <ns0:row r="390" ht="28" customHeight="1">
      <ns0:c r="A390" s="29"/>
      <ns0:c r="B390" s="30"/>
      <ns0:c r="C390" s="28"/>
      <ns0:c r="D390" s="29"/>
      <ns0:c r="E390" s="31"/>
      <ns0:c r="F390" s="32"/>
      <ns0:c r="G390" s="29"/>
      <ns0:c r="H390" s="29"/>
      <ns0:c r="I390" s="29"/>
      <ns0:c r="J390" s="29"/>
      <ns0:c r="K390" s="29"/>
    </ns0:row>
    <ns0:row r="391" ht="28" customHeight="1">
      <ns0:c r="A391" s="29"/>
      <ns0:c r="B391" s="30"/>
      <ns0:c r="C391" s="28"/>
      <ns0:c r="D391" s="29"/>
      <ns0:c r="E391" s="31"/>
      <ns0:c r="F391" s="32"/>
      <ns0:c r="G391" s="29"/>
      <ns0:c r="H391" s="29"/>
      <ns0:c r="I391" s="29"/>
      <ns0:c r="J391" s="29"/>
      <ns0:c r="K391" s="29"/>
    </ns0:row>
    <ns0:row r="392" ht="28" customHeight="1">
      <ns0:c r="A392" s="29"/>
      <ns0:c r="B392" s="30"/>
      <ns0:c r="C392" s="28"/>
      <ns0:c r="D392" s="29"/>
      <ns0:c r="E392" s="31"/>
      <ns0:c r="F392" s="32"/>
      <ns0:c r="G392" s="29"/>
      <ns0:c r="H392" s="29"/>
      <ns0:c r="I392" s="29"/>
      <ns0:c r="J392" s="29"/>
      <ns0:c r="K392" s="29"/>
    </ns0:row>
    <ns0:row r="393" ht="28" customHeight="1">
      <ns0:c r="A393" s="29"/>
      <ns0:c r="B393" s="30"/>
      <ns0:c r="C393" s="28"/>
      <ns0:c r="D393" s="29"/>
      <ns0:c r="E393" s="31"/>
      <ns0:c r="F393" s="32"/>
      <ns0:c r="G393" s="29"/>
      <ns0:c r="H393" s="29"/>
      <ns0:c r="I393" s="29"/>
      <ns0:c r="J393" s="29"/>
      <ns0:c r="K393" s="29"/>
    </ns0:row>
    <ns0:row r="394" ht="28" customHeight="1">
      <ns0:c r="A394" s="29"/>
      <ns0:c r="B394" s="30"/>
      <ns0:c r="C394" s="28"/>
      <ns0:c r="D394" s="29"/>
      <ns0:c r="E394" s="31"/>
      <ns0:c r="F394" s="32"/>
      <ns0:c r="G394" s="29"/>
      <ns0:c r="H394" s="29"/>
      <ns0:c r="I394" s="29"/>
      <ns0:c r="J394" s="29"/>
      <ns0:c r="K394" s="29"/>
    </ns0:row>
    <ns0:row r="395" ht="28" customHeight="1">
      <ns0:c r="A395" s="29"/>
      <ns0:c r="B395" s="30"/>
      <ns0:c r="C395" s="28"/>
      <ns0:c r="D395" s="29"/>
      <ns0:c r="E395" s="31"/>
      <ns0:c r="F395" s="32"/>
      <ns0:c r="G395" s="29"/>
      <ns0:c r="H395" s="29"/>
      <ns0:c r="I395" s="29"/>
      <ns0:c r="J395" s="29"/>
      <ns0:c r="K395" s="29"/>
    </ns0:row>
    <ns0:row r="396" ht="28" customHeight="1">
      <ns0:c r="A396" s="29"/>
      <ns0:c r="B396" s="30"/>
      <ns0:c r="C396" s="28"/>
      <ns0:c r="D396" s="29"/>
      <ns0:c r="E396" s="31"/>
      <ns0:c r="F396" s="32"/>
      <ns0:c r="G396" s="29"/>
      <ns0:c r="H396" s="29"/>
      <ns0:c r="I396" s="29"/>
      <ns0:c r="J396" s="29"/>
      <ns0:c r="K396" s="29"/>
    </ns0:row>
    <ns0:row r="397" ht="28" customHeight="1">
      <ns0:c r="A397" s="29"/>
      <ns0:c r="B397" s="30"/>
      <ns0:c r="C397" s="28"/>
      <ns0:c r="D397" s="29"/>
      <ns0:c r="E397" s="31"/>
      <ns0:c r="F397" s="32"/>
      <ns0:c r="G397" s="29"/>
      <ns0:c r="H397" s="29"/>
      <ns0:c r="I397" s="29"/>
      <ns0:c r="J397" s="29"/>
      <ns0:c r="K397" s="29"/>
    </ns0:row>
    <ns0:row r="398" ht="28" customHeight="1">
      <ns0:c r="A398" s="29"/>
      <ns0:c r="B398" s="30"/>
      <ns0:c r="C398" s="28"/>
      <ns0:c r="D398" s="29"/>
      <ns0:c r="E398" s="31"/>
      <ns0:c r="F398" s="32"/>
      <ns0:c r="G398" s="29"/>
      <ns0:c r="H398" s="29"/>
      <ns0:c r="I398" s="29"/>
      <ns0:c r="J398" s="29"/>
      <ns0:c r="K398" s="29"/>
    </ns0:row>
    <ns0:row r="399" ht="28" customHeight="1">
      <ns0:c r="A399" s="29"/>
      <ns0:c r="B399" s="30"/>
      <ns0:c r="C399" s="28"/>
      <ns0:c r="D399" s="29"/>
      <ns0:c r="E399" s="31"/>
      <ns0:c r="F399" s="32"/>
      <ns0:c r="G399" s="29"/>
      <ns0:c r="H399" s="29"/>
      <ns0:c r="I399" s="29"/>
      <ns0:c r="J399" s="29"/>
      <ns0:c r="K399" s="29"/>
    </ns0:row>
    <ns0:row r="400" ht="28" customHeight="1">
      <ns0:c r="A400" s="29"/>
      <ns0:c r="B400" s="30"/>
      <ns0:c r="C400" s="28"/>
      <ns0:c r="D400" s="29"/>
      <ns0:c r="E400" s="31"/>
      <ns0:c r="F400" s="32"/>
      <ns0:c r="G400" s="29"/>
      <ns0:c r="H400" s="29"/>
      <ns0:c r="I400" s="29"/>
      <ns0:c r="J400" s="29"/>
      <ns0:c r="K400" s="29"/>
    </ns0:row>
    <ns0:row r="401" ht="28" customHeight="1">
      <ns0:c r="A401" s="29"/>
      <ns0:c r="B401" s="30"/>
      <ns0:c r="C401" s="28"/>
      <ns0:c r="D401" s="29"/>
      <ns0:c r="E401" s="31"/>
      <ns0:c r="F401" s="32"/>
      <ns0:c r="G401" s="29"/>
      <ns0:c r="H401" s="29"/>
      <ns0:c r="I401" s="29"/>
      <ns0:c r="J401" s="29"/>
      <ns0:c r="K401" s="29"/>
    </ns0:row>
    <ns0:row r="402" ht="28" customHeight="1">
      <ns0:c r="A402" s="29"/>
      <ns0:c r="B402" s="30"/>
      <ns0:c r="C402" s="28"/>
      <ns0:c r="D402" s="29"/>
      <ns0:c r="E402" s="31"/>
      <ns0:c r="F402" s="32"/>
      <ns0:c r="G402" s="29"/>
      <ns0:c r="H402" s="29"/>
      <ns0:c r="I402" s="29"/>
      <ns0:c r="J402" s="29"/>
      <ns0:c r="K402" s="29"/>
    </ns0:row>
    <ns0:row r="403" ht="28" customHeight="1">
      <ns0:c r="A403" s="29"/>
      <ns0:c r="B403" s="30"/>
      <ns0:c r="C403" s="28"/>
      <ns0:c r="D403" s="29"/>
      <ns0:c r="E403" s="31"/>
      <ns0:c r="F403" s="32"/>
      <ns0:c r="G403" s="29"/>
      <ns0:c r="H403" s="29"/>
      <ns0:c r="I403" s="29"/>
      <ns0:c r="J403" s="29"/>
      <ns0:c r="K403" s="29"/>
    </ns0:row>
    <ns0:row r="404" ht="28" customHeight="1">
      <ns0:c r="A404" s="29"/>
      <ns0:c r="B404" s="30"/>
      <ns0:c r="C404" s="28"/>
      <ns0:c r="D404" s="29"/>
      <ns0:c r="E404" s="31"/>
      <ns0:c r="F404" s="32"/>
      <ns0:c r="G404" s="29"/>
      <ns0:c r="H404" s="29"/>
      <ns0:c r="I404" s="29"/>
      <ns0:c r="J404" s="29"/>
      <ns0:c r="K404" s="29"/>
    </ns0:row>
    <ns0:row r="405" ht="28" customHeight="1">
      <ns0:c r="A405" s="29"/>
      <ns0:c r="B405" s="30"/>
      <ns0:c r="C405" s="28"/>
      <ns0:c r="D405" s="29"/>
      <ns0:c r="E405" s="31"/>
      <ns0:c r="F405" s="32"/>
      <ns0:c r="G405" s="29"/>
      <ns0:c r="H405" s="29"/>
      <ns0:c r="I405" s="29"/>
      <ns0:c r="J405" s="29"/>
      <ns0:c r="K405" s="29"/>
    </ns0:row>
    <ns0:row r="406" ht="28" customHeight="1">
      <ns0:c r="A406" s="29"/>
      <ns0:c r="B406" s="30"/>
      <ns0:c r="C406" s="28"/>
      <ns0:c r="D406" s="29"/>
      <ns0:c r="E406" s="31"/>
      <ns0:c r="F406" s="32"/>
      <ns0:c r="G406" s="29"/>
      <ns0:c r="H406" s="29"/>
      <ns0:c r="I406" s="29"/>
      <ns0:c r="J406" s="29"/>
      <ns0:c r="K406" s="29"/>
    </ns0:row>
    <ns0:row r="407" ht="28" customHeight="1">
      <ns0:c r="A407" s="29"/>
      <ns0:c r="B407" s="30"/>
      <ns0:c r="C407" s="28"/>
      <ns0:c r="D407" s="29"/>
      <ns0:c r="E407" s="31"/>
      <ns0:c r="F407" s="32"/>
      <ns0:c r="G407" s="29"/>
      <ns0:c r="H407" s="29"/>
      <ns0:c r="I407" s="29"/>
      <ns0:c r="J407" s="29"/>
      <ns0:c r="K407" s="29"/>
    </ns0:row>
    <ns0:row r="408" ht="28" customHeight="1">
      <ns0:c r="A408" s="29"/>
      <ns0:c r="B408" s="30"/>
      <ns0:c r="C408" s="28"/>
      <ns0:c r="D408" s="29"/>
      <ns0:c r="E408" s="31"/>
      <ns0:c r="F408" s="32"/>
      <ns0:c r="G408" s="29"/>
      <ns0:c r="H408" s="29"/>
      <ns0:c r="I408" s="29"/>
      <ns0:c r="J408" s="29"/>
      <ns0:c r="K408" s="29"/>
    </ns0:row>
    <ns0:row r="409" ht="28" customHeight="1">
      <ns0:c r="A409" s="29"/>
      <ns0:c r="B409" s="30"/>
      <ns0:c r="C409" s="28"/>
      <ns0:c r="D409" s="29"/>
      <ns0:c r="E409" s="31"/>
      <ns0:c r="F409" s="32"/>
      <ns0:c r="G409" s="29"/>
      <ns0:c r="H409" s="29"/>
      <ns0:c r="I409" s="29"/>
      <ns0:c r="J409" s="29"/>
      <ns0:c r="K409" s="29"/>
    </ns0:row>
    <ns0:row r="410" ht="28" customHeight="1">
      <ns0:c r="A410" s="29"/>
      <ns0:c r="B410" s="30"/>
      <ns0:c r="C410" s="28"/>
      <ns0:c r="D410" s="29"/>
      <ns0:c r="E410" s="31"/>
      <ns0:c r="F410" s="32"/>
      <ns0:c r="G410" s="29"/>
      <ns0:c r="H410" s="29"/>
      <ns0:c r="I410" s="29"/>
      <ns0:c r="J410" s="29"/>
      <ns0:c r="K410" s="29"/>
    </ns0:row>
    <ns0:row r="411" ht="28" customHeight="1">
      <ns0:c r="A411" s="29"/>
      <ns0:c r="B411" s="30"/>
      <ns0:c r="C411" s="28"/>
      <ns0:c r="D411" s="29"/>
      <ns0:c r="E411" s="31"/>
      <ns0:c r="F411" s="32"/>
      <ns0:c r="G411" s="29"/>
      <ns0:c r="H411" s="29"/>
      <ns0:c r="I411" s="29"/>
      <ns0:c r="J411" s="29"/>
      <ns0:c r="K411" s="29"/>
    </ns0:row>
    <ns0:row r="412" ht="28" customHeight="1">
      <ns0:c r="A412" s="29"/>
      <ns0:c r="B412" s="30"/>
      <ns0:c r="C412" s="28"/>
      <ns0:c r="D412" s="29"/>
      <ns0:c r="E412" s="31"/>
      <ns0:c r="F412" s="32"/>
      <ns0:c r="G412" s="29"/>
      <ns0:c r="H412" s="29"/>
      <ns0:c r="I412" s="29"/>
      <ns0:c r="J412" s="29"/>
      <ns0:c r="K412" s="29"/>
    </ns0:row>
    <ns0:row r="413" ht="28" customHeight="1">
      <ns0:c r="A413" s="29"/>
      <ns0:c r="B413" s="30"/>
      <ns0:c r="C413" s="28"/>
      <ns0:c r="D413" s="29"/>
      <ns0:c r="E413" s="31"/>
      <ns0:c r="F413" s="32"/>
      <ns0:c r="G413" s="29"/>
      <ns0:c r="H413" s="29"/>
      <ns0:c r="I413" s="29"/>
      <ns0:c r="J413" s="29"/>
      <ns0:c r="K413" s="29"/>
    </ns0:row>
    <ns0:row r="414" ht="28" customHeight="1">
      <ns0:c r="A414" s="29"/>
      <ns0:c r="B414" s="30"/>
      <ns0:c r="C414" s="28"/>
      <ns0:c r="D414" s="29"/>
      <ns0:c r="E414" s="31"/>
      <ns0:c r="F414" s="32"/>
      <ns0:c r="G414" s="29"/>
      <ns0:c r="H414" s="29"/>
      <ns0:c r="I414" s="29"/>
      <ns0:c r="J414" s="29"/>
      <ns0:c r="K414" s="29"/>
    </ns0:row>
    <ns0:row r="415" ht="28" customHeight="1">
      <ns0:c r="A415" s="29"/>
      <ns0:c r="B415" s="30"/>
      <ns0:c r="C415" s="28"/>
      <ns0:c r="D415" s="29"/>
      <ns0:c r="E415" s="31"/>
      <ns0:c r="F415" s="32"/>
      <ns0:c r="G415" s="29"/>
      <ns0:c r="H415" s="29"/>
      <ns0:c r="I415" s="29"/>
      <ns0:c r="J415" s="29"/>
      <ns0:c r="K415" s="29"/>
    </ns0:row>
    <ns0:row r="416" ht="28" customHeight="1">
      <ns0:c r="A416" s="29"/>
      <ns0:c r="B416" s="30"/>
      <ns0:c r="C416" s="28"/>
      <ns0:c r="D416" s="29"/>
      <ns0:c r="E416" s="31"/>
      <ns0:c r="F416" s="32"/>
      <ns0:c r="G416" s="29"/>
      <ns0:c r="H416" s="29"/>
      <ns0:c r="I416" s="29"/>
      <ns0:c r="J416" s="29"/>
      <ns0:c r="K416" s="29"/>
    </ns0:row>
    <ns0:row r="417" ht="28" customHeight="1">
      <ns0:c r="A417" s="29"/>
      <ns0:c r="B417" s="30"/>
      <ns0:c r="C417" s="28"/>
      <ns0:c r="D417" s="29"/>
      <ns0:c r="E417" s="31"/>
      <ns0:c r="F417" s="32"/>
      <ns0:c r="G417" s="29"/>
      <ns0:c r="H417" s="29"/>
      <ns0:c r="I417" s="29"/>
      <ns0:c r="J417" s="29"/>
      <ns0:c r="K417" s="29"/>
    </ns0:row>
    <ns0:row r="418" ht="28" customHeight="1">
      <ns0:c r="A418" s="29"/>
      <ns0:c r="B418" s="30"/>
      <ns0:c r="C418" s="28"/>
      <ns0:c r="D418" s="29"/>
      <ns0:c r="E418" s="31"/>
      <ns0:c r="F418" s="32"/>
      <ns0:c r="G418" s="29"/>
      <ns0:c r="H418" s="29"/>
      <ns0:c r="I418" s="29"/>
      <ns0:c r="J418" s="29"/>
      <ns0:c r="K418" s="29"/>
    </ns0:row>
    <ns0:row r="419" ht="28" customHeight="1">
      <ns0:c r="A419" s="29"/>
      <ns0:c r="B419" s="30"/>
      <ns0:c r="C419" s="28"/>
      <ns0:c r="D419" s="29"/>
      <ns0:c r="E419" s="31"/>
      <ns0:c r="F419" s="32"/>
      <ns0:c r="G419" s="29"/>
      <ns0:c r="H419" s="29"/>
      <ns0:c r="I419" s="29"/>
      <ns0:c r="J419" s="29"/>
      <ns0:c r="K419" s="29"/>
    </ns0:row>
    <ns0:row r="420" ht="28" customHeight="1">
      <ns0:c r="A420" s="29"/>
      <ns0:c r="B420" s="30"/>
      <ns0:c r="C420" s="28"/>
      <ns0:c r="D420" s="29"/>
      <ns0:c r="E420" s="31"/>
      <ns0:c r="F420" s="32"/>
      <ns0:c r="G420" s="29"/>
      <ns0:c r="H420" s="29"/>
      <ns0:c r="I420" s="29"/>
      <ns0:c r="J420" s="29"/>
      <ns0:c r="K420" s="29"/>
    </ns0:row>
    <ns0:row r="421" ht="28" customHeight="1">
      <ns0:c r="A421" s="29"/>
      <ns0:c r="B421" s="30"/>
      <ns0:c r="C421" s="28"/>
      <ns0:c r="D421" s="29"/>
      <ns0:c r="E421" s="31"/>
      <ns0:c r="F421" s="32"/>
      <ns0:c r="G421" s="29"/>
      <ns0:c r="H421" s="29"/>
      <ns0:c r="I421" s="29"/>
      <ns0:c r="J421" s="29"/>
      <ns0:c r="K421" s="29"/>
    </ns0:row>
    <ns0:row r="422" ht="28" customHeight="1">
      <ns0:c r="A422" s="29"/>
      <ns0:c r="B422" s="30"/>
      <ns0:c r="C422" s="28"/>
      <ns0:c r="D422" s="29"/>
      <ns0:c r="E422" s="31"/>
      <ns0:c r="F422" s="32"/>
      <ns0:c r="G422" s="29"/>
      <ns0:c r="H422" s="29"/>
      <ns0:c r="I422" s="29"/>
      <ns0:c r="J422" s="29"/>
      <ns0:c r="K422" s="29"/>
    </ns0:row>
    <ns0:row r="423" ht="28" customHeight="1">
      <ns0:c r="A423" s="29"/>
      <ns0:c r="B423" s="30"/>
      <ns0:c r="C423" s="28"/>
      <ns0:c r="D423" s="29"/>
      <ns0:c r="E423" s="31"/>
      <ns0:c r="F423" s="32"/>
      <ns0:c r="G423" s="29"/>
      <ns0:c r="H423" s="29"/>
      <ns0:c r="I423" s="29"/>
      <ns0:c r="J423" s="29"/>
      <ns0:c r="K423" s="29"/>
    </ns0:row>
    <ns0:row r="424" ht="28" customHeight="1">
      <ns0:c r="A424" s="29"/>
      <ns0:c r="B424" s="30"/>
      <ns0:c r="C424" s="28"/>
      <ns0:c r="D424" s="29"/>
      <ns0:c r="E424" s="31"/>
      <ns0:c r="F424" s="32"/>
      <ns0:c r="G424" s="29"/>
      <ns0:c r="H424" s="29"/>
      <ns0:c r="I424" s="29"/>
      <ns0:c r="J424" s="29"/>
      <ns0:c r="K424" s="29"/>
    </ns0:row>
    <ns0:row r="425" ht="28" customHeight="1">
      <ns0:c r="A425" s="29"/>
      <ns0:c r="B425" s="30"/>
      <ns0:c r="C425" s="28"/>
      <ns0:c r="D425" s="29"/>
      <ns0:c r="E425" s="31"/>
      <ns0:c r="F425" s="32"/>
      <ns0:c r="G425" s="29"/>
      <ns0:c r="H425" s="29"/>
      <ns0:c r="I425" s="29"/>
      <ns0:c r="J425" s="29"/>
      <ns0:c r="K425" s="29"/>
    </ns0:row>
    <ns0:row r="426" ht="28" customHeight="1">
      <ns0:c r="A426" s="29"/>
      <ns0:c r="B426" s="30"/>
      <ns0:c r="C426" s="28"/>
      <ns0:c r="D426" s="29"/>
      <ns0:c r="E426" s="31"/>
      <ns0:c r="F426" s="32"/>
      <ns0:c r="G426" s="29"/>
      <ns0:c r="H426" s="29"/>
      <ns0:c r="I426" s="29"/>
      <ns0:c r="J426" s="29"/>
      <ns0:c r="K426" s="29"/>
    </ns0:row>
    <ns0:row r="427" ht="28" customHeight="1">
      <ns0:c r="A427" s="29"/>
      <ns0:c r="B427" s="30"/>
      <ns0:c r="C427" s="28"/>
      <ns0:c r="D427" s="29"/>
      <ns0:c r="E427" s="31"/>
      <ns0:c r="F427" s="32"/>
      <ns0:c r="G427" s="29"/>
      <ns0:c r="H427" s="29"/>
      <ns0:c r="I427" s="29"/>
      <ns0:c r="J427" s="29"/>
      <ns0:c r="K427" s="29"/>
    </ns0:row>
    <ns0:row r="428" ht="28" customHeight="1">
      <ns0:c r="A428" s="29"/>
      <ns0:c r="B428" s="30"/>
      <ns0:c r="C428" s="28"/>
      <ns0:c r="D428" s="29"/>
      <ns0:c r="E428" s="31"/>
      <ns0:c r="F428" s="32"/>
      <ns0:c r="G428" s="29"/>
      <ns0:c r="H428" s="29"/>
      <ns0:c r="I428" s="29"/>
      <ns0:c r="J428" s="29"/>
      <ns0:c r="K428" s="29"/>
    </ns0:row>
    <ns0:row r="429" ht="28" customHeight="1">
      <ns0:c r="A429" s="29"/>
      <ns0:c r="B429" s="30"/>
      <ns0:c r="C429" s="28"/>
      <ns0:c r="D429" s="29"/>
      <ns0:c r="E429" s="31"/>
      <ns0:c r="F429" s="32"/>
      <ns0:c r="G429" s="29"/>
      <ns0:c r="H429" s="29"/>
      <ns0:c r="I429" s="29"/>
      <ns0:c r="J429" s="29"/>
      <ns0:c r="K429" s="29"/>
    </ns0:row>
    <ns0:row r="430" ht="28" customHeight="1">
      <ns0:c r="A430" s="29"/>
      <ns0:c r="B430" s="30"/>
      <ns0:c r="C430" s="28"/>
      <ns0:c r="D430" s="29"/>
      <ns0:c r="E430" s="31"/>
      <ns0:c r="F430" s="32"/>
      <ns0:c r="G430" s="29"/>
      <ns0:c r="H430" s="29"/>
      <ns0:c r="I430" s="29"/>
      <ns0:c r="J430" s="29"/>
      <ns0:c r="K430" s="29"/>
    </ns0:row>
    <ns0:row r="431" ht="28" customHeight="1">
      <ns0:c r="A431" s="29"/>
      <ns0:c r="B431" s="30"/>
      <ns0:c r="C431" s="28"/>
      <ns0:c r="D431" s="29"/>
      <ns0:c r="E431" s="31"/>
      <ns0:c r="F431" s="32"/>
      <ns0:c r="G431" s="29"/>
      <ns0:c r="H431" s="29"/>
      <ns0:c r="I431" s="29"/>
      <ns0:c r="J431" s="29"/>
      <ns0:c r="K431" s="29"/>
    </ns0:row>
    <ns0:row r="432" ht="28" customHeight="1">
      <ns0:c r="A432" s="29"/>
      <ns0:c r="B432" s="30"/>
      <ns0:c r="C432" s="28"/>
      <ns0:c r="D432" s="29"/>
      <ns0:c r="E432" s="31"/>
      <ns0:c r="F432" s="32"/>
      <ns0:c r="G432" s="29"/>
      <ns0:c r="H432" s="29"/>
      <ns0:c r="I432" s="29"/>
      <ns0:c r="J432" s="29"/>
      <ns0:c r="K432" s="29"/>
    </ns0:row>
    <ns0:row r="433" ht="28" customHeight="1">
      <ns0:c r="A433" s="29"/>
      <ns0:c r="B433" s="30"/>
      <ns0:c r="C433" s="28"/>
      <ns0:c r="D433" s="29"/>
      <ns0:c r="E433" s="31"/>
      <ns0:c r="F433" s="32"/>
      <ns0:c r="G433" s="29"/>
      <ns0:c r="H433" s="29"/>
      <ns0:c r="I433" s="29"/>
      <ns0:c r="J433" s="29"/>
      <ns0:c r="K433" s="29"/>
    </ns0:row>
    <ns0:row r="434" ht="28" customHeight="1">
      <ns0:c r="A434" s="29"/>
      <ns0:c r="B434" s="30"/>
      <ns0:c r="C434" s="28"/>
      <ns0:c r="D434" s="29"/>
      <ns0:c r="E434" s="31"/>
      <ns0:c r="F434" s="32"/>
      <ns0:c r="G434" s="29"/>
      <ns0:c r="H434" s="29"/>
      <ns0:c r="I434" s="29"/>
      <ns0:c r="J434" s="29"/>
      <ns0:c r="K434" s="29"/>
    </ns0:row>
    <ns0:row r="435" ht="28" customHeight="1">
      <ns0:c r="A435" s="29"/>
      <ns0:c r="B435" s="30"/>
      <ns0:c r="C435" s="28"/>
      <ns0:c r="D435" s="29"/>
      <ns0:c r="E435" s="31"/>
      <ns0:c r="F435" s="32"/>
      <ns0:c r="G435" s="29"/>
      <ns0:c r="H435" s="29"/>
      <ns0:c r="I435" s="29"/>
      <ns0:c r="J435" s="29"/>
      <ns0:c r="K435" s="29"/>
    </ns0:row>
    <ns0:row r="436" ht="28" customHeight="1">
      <ns0:c r="A436" s="29"/>
      <ns0:c r="B436" s="30"/>
      <ns0:c r="C436" s="28"/>
      <ns0:c r="D436" s="29"/>
      <ns0:c r="E436" s="31"/>
      <ns0:c r="F436" s="32"/>
      <ns0:c r="G436" s="29"/>
      <ns0:c r="H436" s="29"/>
      <ns0:c r="I436" s="29"/>
      <ns0:c r="J436" s="29"/>
      <ns0:c r="K436" s="29"/>
    </ns0:row>
    <ns0:row r="437" ht="28" customHeight="1">
      <ns0:c r="A437" s="29"/>
      <ns0:c r="B437" s="30"/>
      <ns0:c r="C437" s="28"/>
      <ns0:c r="D437" s="29"/>
      <ns0:c r="E437" s="31"/>
      <ns0:c r="F437" s="32"/>
      <ns0:c r="G437" s="29"/>
      <ns0:c r="H437" s="29"/>
      <ns0:c r="I437" s="29"/>
      <ns0:c r="J437" s="29"/>
      <ns0:c r="K437" s="29"/>
    </ns0:row>
    <ns0:row r="438" ht="28" customHeight="1">
      <ns0:c r="A438" s="29"/>
      <ns0:c r="B438" s="30"/>
      <ns0:c r="C438" s="28"/>
      <ns0:c r="D438" s="29"/>
      <ns0:c r="E438" s="31"/>
      <ns0:c r="F438" s="32"/>
      <ns0:c r="G438" s="29"/>
      <ns0:c r="H438" s="29"/>
      <ns0:c r="I438" s="29"/>
      <ns0:c r="J438" s="29"/>
      <ns0:c r="K438" s="29"/>
    </ns0:row>
    <ns0:row r="439" ht="28" customHeight="1">
      <ns0:c r="A439" s="29"/>
      <ns0:c r="B439" s="30"/>
      <ns0:c r="C439" s="28"/>
      <ns0:c r="D439" s="29"/>
      <ns0:c r="E439" s="31"/>
      <ns0:c r="F439" s="32"/>
      <ns0:c r="G439" s="29"/>
      <ns0:c r="H439" s="29"/>
      <ns0:c r="I439" s="29"/>
      <ns0:c r="J439" s="29"/>
      <ns0:c r="K439" s="29"/>
    </ns0:row>
    <ns0:row r="440" ht="28" customHeight="1">
      <ns0:c r="A440" s="29"/>
      <ns0:c r="B440" s="30"/>
      <ns0:c r="C440" s="28"/>
      <ns0:c r="D440" s="29"/>
      <ns0:c r="E440" s="31"/>
      <ns0:c r="F440" s="32"/>
      <ns0:c r="G440" s="29"/>
      <ns0:c r="H440" s="29"/>
      <ns0:c r="I440" s="29"/>
      <ns0:c r="J440" s="29"/>
      <ns0:c r="K440" s="29"/>
    </ns0:row>
    <ns0:row r="441" ht="28" customHeight="1">
      <ns0:c r="A441" s="29"/>
      <ns0:c r="B441" s="30"/>
      <ns0:c r="C441" s="28"/>
      <ns0:c r="D441" s="29"/>
      <ns0:c r="E441" s="31"/>
      <ns0:c r="F441" s="32"/>
      <ns0:c r="G441" s="29"/>
      <ns0:c r="H441" s="29"/>
      <ns0:c r="I441" s="29"/>
      <ns0:c r="J441" s="29"/>
      <ns0:c r="K441" s="29"/>
    </ns0:row>
    <ns0:row r="442" ht="28" customHeight="1">
      <ns0:c r="A442" s="29"/>
      <ns0:c r="B442" s="30"/>
      <ns0:c r="C442" s="28"/>
      <ns0:c r="D442" s="29"/>
      <ns0:c r="E442" s="31"/>
      <ns0:c r="F442" s="32"/>
      <ns0:c r="G442" s="29"/>
      <ns0:c r="H442" s="29"/>
      <ns0:c r="I442" s="29"/>
      <ns0:c r="J442" s="29"/>
      <ns0:c r="K442" s="29"/>
    </ns0:row>
    <ns0:row r="443" ht="28" customHeight="1">
      <ns0:c r="A443" s="29"/>
      <ns0:c r="B443" s="30"/>
      <ns0:c r="C443" s="28"/>
      <ns0:c r="D443" s="29"/>
      <ns0:c r="E443" s="31"/>
      <ns0:c r="F443" s="32"/>
      <ns0:c r="G443" s="29"/>
      <ns0:c r="H443" s="29"/>
      <ns0:c r="I443" s="29"/>
      <ns0:c r="J443" s="29"/>
      <ns0:c r="K443" s="29"/>
    </ns0:row>
    <ns0:row r="444" ht="28" customHeight="1">
      <ns0:c r="A444" s="29"/>
      <ns0:c r="B444" s="30"/>
      <ns0:c r="C444" s="28"/>
      <ns0:c r="D444" s="29"/>
      <ns0:c r="E444" s="31"/>
      <ns0:c r="F444" s="32"/>
      <ns0:c r="G444" s="29"/>
      <ns0:c r="H444" s="29"/>
      <ns0:c r="I444" s="29"/>
      <ns0:c r="J444" s="29"/>
      <ns0:c r="K444" s="29"/>
    </ns0:row>
    <ns0:row r="445" ht="28" customHeight="1">
      <ns0:c r="A445" s="29"/>
      <ns0:c r="B445" s="30"/>
      <ns0:c r="C445" s="28"/>
      <ns0:c r="D445" s="29"/>
      <ns0:c r="E445" s="31"/>
      <ns0:c r="F445" s="32"/>
      <ns0:c r="G445" s="29"/>
      <ns0:c r="H445" s="29"/>
      <ns0:c r="I445" s="29"/>
      <ns0:c r="J445" s="29"/>
      <ns0:c r="K445" s="29"/>
    </ns0:row>
    <ns0:row r="446" ht="28" customHeight="1">
      <ns0:c r="A446" s="29"/>
      <ns0:c r="B446" s="30"/>
      <ns0:c r="C446" s="28"/>
      <ns0:c r="D446" s="29"/>
      <ns0:c r="E446" s="31"/>
      <ns0:c r="F446" s="32"/>
      <ns0:c r="G446" s="29"/>
      <ns0:c r="H446" s="29"/>
      <ns0:c r="I446" s="29"/>
      <ns0:c r="J446" s="29"/>
      <ns0:c r="K446" s="29"/>
    </ns0:row>
    <ns0:row r="447" ht="28" customHeight="1">
      <ns0:c r="A447" s="29"/>
      <ns0:c r="B447" s="30"/>
      <ns0:c r="C447" s="28"/>
      <ns0:c r="D447" s="29"/>
      <ns0:c r="E447" s="31"/>
      <ns0:c r="F447" s="32"/>
      <ns0:c r="G447" s="29"/>
      <ns0:c r="H447" s="29"/>
      <ns0:c r="I447" s="29"/>
      <ns0:c r="J447" s="29"/>
      <ns0:c r="K447" s="29"/>
    </ns0:row>
    <ns0:row r="448" ht="28" customHeight="1">
      <ns0:c r="A448" s="29"/>
      <ns0:c r="B448" s="30"/>
      <ns0:c r="C448" s="28"/>
      <ns0:c r="D448" s="29"/>
      <ns0:c r="E448" s="31"/>
      <ns0:c r="F448" s="32"/>
      <ns0:c r="G448" s="29"/>
      <ns0:c r="H448" s="29"/>
      <ns0:c r="I448" s="29"/>
      <ns0:c r="J448" s="29"/>
      <ns0:c r="K448" s="29"/>
    </ns0:row>
    <ns0:row r="449" ht="28" customHeight="1">
      <ns0:c r="A449" s="29"/>
      <ns0:c r="B449" s="30"/>
      <ns0:c r="C449" s="28"/>
      <ns0:c r="D449" s="29"/>
      <ns0:c r="E449" s="31"/>
      <ns0:c r="F449" s="32"/>
      <ns0:c r="G449" s="29"/>
      <ns0:c r="H449" s="29"/>
      <ns0:c r="I449" s="29"/>
      <ns0:c r="J449" s="29"/>
      <ns0:c r="K449" s="29"/>
    </ns0:row>
    <ns0:row r="450" ht="28" customHeight="1">
      <ns0:c r="A450" s="29"/>
      <ns0:c r="B450" s="30"/>
      <ns0:c r="C450" s="28"/>
      <ns0:c r="D450" s="29"/>
      <ns0:c r="E450" s="31"/>
      <ns0:c r="F450" s="32"/>
      <ns0:c r="G450" s="29"/>
      <ns0:c r="H450" s="29"/>
      <ns0:c r="I450" s="29"/>
      <ns0:c r="J450" s="29"/>
      <ns0:c r="K450" s="29"/>
    </ns0:row>
    <ns0:row r="451" ht="28" customHeight="1">
      <ns0:c r="A451" s="29"/>
      <ns0:c r="B451" s="30"/>
      <ns0:c r="C451" s="28"/>
      <ns0:c r="D451" s="29"/>
      <ns0:c r="E451" s="31"/>
      <ns0:c r="F451" s="32"/>
      <ns0:c r="G451" s="29"/>
      <ns0:c r="H451" s="29"/>
      <ns0:c r="I451" s="29"/>
      <ns0:c r="J451" s="29"/>
      <ns0:c r="K451" s="29"/>
    </ns0:row>
    <ns0:row r="452" ht="28" customHeight="1">
      <ns0:c r="A452" s="29"/>
      <ns0:c r="B452" s="30"/>
      <ns0:c r="C452" s="28"/>
      <ns0:c r="D452" s="29"/>
      <ns0:c r="E452" s="31"/>
      <ns0:c r="F452" s="32"/>
      <ns0:c r="G452" s="29"/>
      <ns0:c r="H452" s="29"/>
      <ns0:c r="I452" s="29"/>
      <ns0:c r="J452" s="29"/>
      <ns0:c r="K452" s="29"/>
    </ns0:row>
    <ns0:row r="453" ht="28" customHeight="1">
      <ns0:c r="A453" s="29"/>
      <ns0:c r="B453" s="30"/>
      <ns0:c r="C453" s="28"/>
      <ns0:c r="D453" s="29"/>
      <ns0:c r="E453" s="31"/>
      <ns0:c r="F453" s="32"/>
      <ns0:c r="G453" s="29"/>
      <ns0:c r="H453" s="29"/>
      <ns0:c r="I453" s="29"/>
      <ns0:c r="J453" s="29"/>
      <ns0:c r="K453" s="29"/>
    </ns0:row>
    <ns0:row r="454" ht="28" customHeight="1">
      <ns0:c r="A454" s="29"/>
      <ns0:c r="B454" s="30"/>
      <ns0:c r="C454" s="28"/>
      <ns0:c r="D454" s="29"/>
      <ns0:c r="E454" s="31"/>
      <ns0:c r="F454" s="32"/>
      <ns0:c r="G454" s="29"/>
      <ns0:c r="H454" s="29"/>
      <ns0:c r="I454" s="29"/>
      <ns0:c r="J454" s="29"/>
      <ns0:c r="K454" s="29"/>
    </ns0:row>
    <ns0:row r="455" ht="28" customHeight="1">
      <ns0:c r="A455" s="29"/>
      <ns0:c r="B455" s="30"/>
      <ns0:c r="C455" s="28"/>
      <ns0:c r="D455" s="29"/>
      <ns0:c r="E455" s="31"/>
      <ns0:c r="F455" s="32"/>
      <ns0:c r="G455" s="29"/>
      <ns0:c r="H455" s="29"/>
      <ns0:c r="I455" s="29"/>
      <ns0:c r="J455" s="29"/>
      <ns0:c r="K455" s="29"/>
    </ns0:row>
    <ns0:row r="456" ht="28" customHeight="1">
      <ns0:c r="A456" s="29"/>
      <ns0:c r="B456" s="30"/>
      <ns0:c r="C456" s="28"/>
      <ns0:c r="D456" s="29"/>
      <ns0:c r="E456" s="31"/>
      <ns0:c r="F456" s="32"/>
      <ns0:c r="G456" s="29"/>
      <ns0:c r="H456" s="29"/>
      <ns0:c r="I456" s="29"/>
      <ns0:c r="J456" s="29"/>
      <ns0:c r="K456" s="29"/>
    </ns0:row>
    <ns0:row r="457" ht="28" customHeight="1">
      <ns0:c r="A457" s="29"/>
      <ns0:c r="B457" s="30"/>
      <ns0:c r="C457" s="28"/>
      <ns0:c r="D457" s="29"/>
      <ns0:c r="E457" s="31"/>
      <ns0:c r="F457" s="32"/>
      <ns0:c r="G457" s="29"/>
      <ns0:c r="H457" s="29"/>
      <ns0:c r="I457" s="29"/>
      <ns0:c r="J457" s="29"/>
      <ns0:c r="K457" s="29"/>
    </ns0:row>
    <ns0:row r="458" ht="28" customHeight="1">
      <ns0:c r="A458" s="29"/>
      <ns0:c r="B458" s="30"/>
      <ns0:c r="C458" s="28"/>
      <ns0:c r="D458" s="29"/>
      <ns0:c r="E458" s="31"/>
      <ns0:c r="F458" s="32"/>
      <ns0:c r="G458" s="29"/>
      <ns0:c r="H458" s="29"/>
      <ns0:c r="I458" s="29"/>
      <ns0:c r="J458" s="29"/>
      <ns0:c r="K458" s="29"/>
    </ns0:row>
    <ns0:row r="459" ht="28" customHeight="1">
      <ns0:c r="A459" s="29"/>
      <ns0:c r="B459" s="30"/>
      <ns0:c r="C459" s="28"/>
      <ns0:c r="D459" s="29"/>
      <ns0:c r="E459" s="31"/>
      <ns0:c r="F459" s="32"/>
      <ns0:c r="G459" s="29"/>
      <ns0:c r="H459" s="29"/>
      <ns0:c r="I459" s="29"/>
      <ns0:c r="J459" s="29"/>
      <ns0:c r="K459" s="29"/>
    </ns0:row>
    <ns0:row r="460" ht="28" customHeight="1">
      <ns0:c r="A460" s="29"/>
      <ns0:c r="B460" s="30"/>
      <ns0:c r="C460" s="28"/>
      <ns0:c r="D460" s="29"/>
      <ns0:c r="E460" s="31"/>
      <ns0:c r="F460" s="32"/>
      <ns0:c r="G460" s="29"/>
      <ns0:c r="H460" s="29"/>
      <ns0:c r="I460" s="29"/>
      <ns0:c r="J460" s="29"/>
      <ns0:c r="K460" s="29"/>
    </ns0:row>
    <ns0:row r="461" ht="28" customHeight="1">
      <ns0:c r="A461" s="29"/>
      <ns0:c r="B461" s="30"/>
      <ns0:c r="C461" s="28"/>
      <ns0:c r="D461" s="29"/>
      <ns0:c r="E461" s="31"/>
      <ns0:c r="F461" s="32"/>
      <ns0:c r="G461" s="29"/>
      <ns0:c r="H461" s="29"/>
      <ns0:c r="I461" s="29"/>
      <ns0:c r="J461" s="29"/>
      <ns0:c r="K461" s="29"/>
    </ns0:row>
    <ns0:row r="462" ht="28" customHeight="1">
      <ns0:c r="A462" s="29"/>
      <ns0:c r="B462" s="30"/>
      <ns0:c r="C462" s="28"/>
      <ns0:c r="D462" s="29"/>
      <ns0:c r="E462" s="31"/>
      <ns0:c r="F462" s="32"/>
      <ns0:c r="G462" s="29"/>
      <ns0:c r="H462" s="29"/>
      <ns0:c r="I462" s="29"/>
      <ns0:c r="J462" s="29"/>
      <ns0:c r="K462" s="29"/>
    </ns0:row>
    <ns0:row r="463" ht="28" customHeight="1">
      <ns0:c r="A463" s="29"/>
      <ns0:c r="B463" s="30"/>
      <ns0:c r="C463" s="28"/>
      <ns0:c r="D463" s="29"/>
      <ns0:c r="E463" s="31"/>
      <ns0:c r="F463" s="32"/>
      <ns0:c r="G463" s="29"/>
      <ns0:c r="H463" s="29"/>
      <ns0:c r="I463" s="29"/>
      <ns0:c r="J463" s="29"/>
      <ns0:c r="K463" s="29"/>
    </ns0:row>
    <ns0:row r="464" ht="28" customHeight="1">
      <ns0:c r="A464" s="29"/>
      <ns0:c r="B464" s="30"/>
      <ns0:c r="C464" s="28"/>
      <ns0:c r="D464" s="29"/>
      <ns0:c r="E464" s="31"/>
      <ns0:c r="F464" s="32"/>
      <ns0:c r="G464" s="29"/>
      <ns0:c r="H464" s="29"/>
      <ns0:c r="I464" s="29"/>
      <ns0:c r="J464" s="29"/>
      <ns0:c r="K464" s="29"/>
    </ns0:row>
    <ns0:row r="465" ht="28" customHeight="1">
      <ns0:c r="A465" s="29"/>
      <ns0:c r="B465" s="30"/>
      <ns0:c r="C465" s="28"/>
      <ns0:c r="D465" s="29"/>
      <ns0:c r="E465" s="31"/>
      <ns0:c r="F465" s="32"/>
      <ns0:c r="G465" s="29"/>
      <ns0:c r="H465" s="29"/>
      <ns0:c r="I465" s="29"/>
      <ns0:c r="J465" s="29"/>
      <ns0:c r="K465" s="29"/>
    </ns0:row>
    <ns0:row r="466" ht="28" customHeight="1">
      <ns0:c r="A466" s="29"/>
      <ns0:c r="B466" s="30"/>
      <ns0:c r="C466" s="28"/>
      <ns0:c r="D466" s="29"/>
      <ns0:c r="E466" s="31"/>
      <ns0:c r="F466" s="32"/>
      <ns0:c r="G466" s="29"/>
      <ns0:c r="H466" s="29"/>
      <ns0:c r="I466" s="29"/>
      <ns0:c r="J466" s="29"/>
      <ns0:c r="K466" s="29"/>
    </ns0:row>
    <ns0:row r="467" ht="28" customHeight="1">
      <ns0:c r="A467" s="29"/>
      <ns0:c r="B467" s="30"/>
      <ns0:c r="C467" s="28"/>
      <ns0:c r="D467" s="29"/>
      <ns0:c r="E467" s="31"/>
      <ns0:c r="F467" s="32"/>
      <ns0:c r="G467" s="29"/>
      <ns0:c r="H467" s="29"/>
      <ns0:c r="I467" s="29"/>
      <ns0:c r="J467" s="29"/>
      <ns0:c r="K467" s="29"/>
    </ns0:row>
    <ns0:row r="468" ht="28" customHeight="1">
      <ns0:c r="A468" s="29"/>
      <ns0:c r="B468" s="30"/>
      <ns0:c r="C468" s="28"/>
      <ns0:c r="D468" s="29"/>
      <ns0:c r="E468" s="31"/>
      <ns0:c r="F468" s="32"/>
      <ns0:c r="G468" s="29"/>
      <ns0:c r="H468" s="29"/>
      <ns0:c r="I468" s="29"/>
      <ns0:c r="J468" s="29"/>
      <ns0:c r="K468" s="29"/>
    </ns0:row>
    <ns0:row r="469" ht="28" customHeight="1">
      <ns0:c r="A469" s="29"/>
      <ns0:c r="B469" s="30"/>
      <ns0:c r="C469" s="28"/>
      <ns0:c r="D469" s="29"/>
      <ns0:c r="E469" s="31"/>
      <ns0:c r="F469" s="32"/>
      <ns0:c r="G469" s="29"/>
      <ns0:c r="H469" s="29"/>
      <ns0:c r="I469" s="29"/>
      <ns0:c r="J469" s="29"/>
      <ns0:c r="K469" s="29"/>
    </ns0:row>
    <ns0:row r="470" ht="28" customHeight="1">
      <ns0:c r="A470" s="29"/>
      <ns0:c r="B470" s="30"/>
      <ns0:c r="C470" s="28"/>
      <ns0:c r="D470" s="29"/>
      <ns0:c r="E470" s="31"/>
      <ns0:c r="F470" s="32"/>
      <ns0:c r="G470" s="29"/>
      <ns0:c r="H470" s="29"/>
      <ns0:c r="I470" s="29"/>
      <ns0:c r="J470" s="29"/>
      <ns0:c r="K470" s="29"/>
    </ns0:row>
    <ns0:row r="471" ht="28" customHeight="1">
      <ns0:c r="A471" s="29"/>
      <ns0:c r="B471" s="30"/>
      <ns0:c r="C471" s="28"/>
      <ns0:c r="D471" s="29"/>
      <ns0:c r="E471" s="31"/>
      <ns0:c r="F471" s="32"/>
      <ns0:c r="G471" s="29"/>
      <ns0:c r="H471" s="29"/>
      <ns0:c r="I471" s="29"/>
      <ns0:c r="J471" s="29"/>
      <ns0:c r="K471" s="29"/>
    </ns0:row>
    <ns0:row r="472" ht="28" customHeight="1">
      <ns0:c r="A472" s="29"/>
      <ns0:c r="B472" s="30"/>
      <ns0:c r="C472" s="28"/>
      <ns0:c r="D472" s="29"/>
      <ns0:c r="E472" s="31"/>
      <ns0:c r="F472" s="32"/>
      <ns0:c r="G472" s="29"/>
      <ns0:c r="H472" s="29"/>
      <ns0:c r="I472" s="29"/>
      <ns0:c r="J472" s="29"/>
      <ns0:c r="K472" s="29"/>
    </ns0:row>
    <ns0:row r="473" ht="28" customHeight="1">
      <ns0:c r="A473" s="29"/>
      <ns0:c r="B473" s="30"/>
      <ns0:c r="C473" s="28"/>
      <ns0:c r="D473" s="29"/>
      <ns0:c r="E473" s="31"/>
      <ns0:c r="F473" s="32"/>
      <ns0:c r="G473" s="29"/>
      <ns0:c r="H473" s="29"/>
      <ns0:c r="I473" s="29"/>
      <ns0:c r="J473" s="29"/>
      <ns0:c r="K473" s="29"/>
    </ns0:row>
    <ns0:row r="474" ht="28" customHeight="1">
      <ns0:c r="A474" s="29"/>
      <ns0:c r="B474" s="30"/>
      <ns0:c r="C474" s="28"/>
      <ns0:c r="D474" s="29"/>
      <ns0:c r="E474" s="31"/>
      <ns0:c r="F474" s="32"/>
      <ns0:c r="G474" s="29"/>
      <ns0:c r="H474" s="29"/>
      <ns0:c r="I474" s="29"/>
      <ns0:c r="J474" s="29"/>
      <ns0:c r="K474" s="29"/>
    </ns0:row>
    <ns0:row r="475" ht="28" customHeight="1">
      <ns0:c r="A475" s="29"/>
      <ns0:c r="B475" s="30"/>
      <ns0:c r="C475" s="28"/>
      <ns0:c r="D475" s="29"/>
      <ns0:c r="E475" s="31"/>
      <ns0:c r="F475" s="32"/>
      <ns0:c r="G475" s="29"/>
      <ns0:c r="H475" s="29"/>
      <ns0:c r="I475" s="29"/>
      <ns0:c r="J475" s="29"/>
      <ns0:c r="K475" s="29"/>
    </ns0:row>
    <ns0:row r="476" ht="28" customHeight="1">
      <ns0:c r="A476" s="29"/>
      <ns0:c r="B476" s="30"/>
      <ns0:c r="C476" s="28"/>
      <ns0:c r="D476" s="29"/>
      <ns0:c r="E476" s="31"/>
      <ns0:c r="F476" s="32"/>
      <ns0:c r="G476" s="29"/>
      <ns0:c r="H476" s="29"/>
      <ns0:c r="I476" s="29"/>
      <ns0:c r="J476" s="29"/>
      <ns0:c r="K476" s="29"/>
    </ns0:row>
    <ns0:row r="477" ht="28" customHeight="1">
      <ns0:c r="A477" s="29"/>
      <ns0:c r="B477" s="30"/>
      <ns0:c r="C477" s="28"/>
      <ns0:c r="D477" s="29"/>
      <ns0:c r="E477" s="31"/>
      <ns0:c r="F477" s="32"/>
      <ns0:c r="G477" s="29"/>
      <ns0:c r="H477" s="29"/>
      <ns0:c r="I477" s="29"/>
      <ns0:c r="J477" s="29"/>
      <ns0:c r="K477" s="29"/>
    </ns0:row>
    <ns0:row r="478" ht="28" customHeight="1">
      <ns0:c r="A478" s="29"/>
      <ns0:c r="B478" s="30"/>
      <ns0:c r="C478" s="28"/>
      <ns0:c r="D478" s="29"/>
      <ns0:c r="E478" s="31"/>
      <ns0:c r="F478" s="32"/>
      <ns0:c r="G478" s="29"/>
      <ns0:c r="H478" s="29"/>
      <ns0:c r="I478" s="29"/>
      <ns0:c r="J478" s="29"/>
      <ns0:c r="K478" s="29"/>
    </ns0:row>
    <ns0:row r="479" ht="28" customHeight="1">
      <ns0:c r="A479" s="29"/>
      <ns0:c r="B479" s="30"/>
      <ns0:c r="C479" s="28"/>
      <ns0:c r="D479" s="29"/>
      <ns0:c r="E479" s="31"/>
      <ns0:c r="F479" s="32"/>
      <ns0:c r="G479" s="29"/>
      <ns0:c r="H479" s="29"/>
      <ns0:c r="I479" s="29"/>
      <ns0:c r="J479" s="29"/>
      <ns0:c r="K479" s="29"/>
    </ns0:row>
    <ns0:row r="480" ht="28" customHeight="1">
      <ns0:c r="A480" s="29"/>
      <ns0:c r="B480" s="30"/>
      <ns0:c r="C480" s="28"/>
      <ns0:c r="D480" s="29"/>
      <ns0:c r="E480" s="31"/>
      <ns0:c r="F480" s="32"/>
      <ns0:c r="G480" s="29"/>
      <ns0:c r="H480" s="29"/>
      <ns0:c r="I480" s="29"/>
      <ns0:c r="J480" s="29"/>
      <ns0:c r="K480" s="29"/>
    </ns0:row>
    <ns0:row r="481" ht="28" customHeight="1">
      <ns0:c r="A481" s="29"/>
      <ns0:c r="B481" s="30"/>
      <ns0:c r="C481" s="28"/>
      <ns0:c r="D481" s="29"/>
      <ns0:c r="E481" s="31"/>
      <ns0:c r="F481" s="32"/>
      <ns0:c r="G481" s="29"/>
      <ns0:c r="H481" s="29"/>
      <ns0:c r="I481" s="29"/>
      <ns0:c r="J481" s="29"/>
      <ns0:c r="K481" s="29"/>
    </ns0:row>
    <ns0:row r="482" ht="28" customHeight="1">
      <ns0:c r="A482" s="29"/>
      <ns0:c r="B482" s="30"/>
      <ns0:c r="C482" s="28"/>
      <ns0:c r="D482" s="29"/>
      <ns0:c r="E482" s="31"/>
      <ns0:c r="F482" s="32"/>
      <ns0:c r="G482" s="29"/>
      <ns0:c r="H482" s="29"/>
      <ns0:c r="I482" s="29"/>
      <ns0:c r="J482" s="29"/>
      <ns0:c r="K482" s="29"/>
    </ns0:row>
    <ns0:row r="483" ht="28" customHeight="1">
      <ns0:c r="A483" s="29"/>
      <ns0:c r="B483" s="30"/>
      <ns0:c r="C483" s="28"/>
      <ns0:c r="D483" s="29"/>
      <ns0:c r="E483" s="31"/>
      <ns0:c r="F483" s="32"/>
      <ns0:c r="G483" s="29"/>
      <ns0:c r="H483" s="29"/>
      <ns0:c r="I483" s="29"/>
      <ns0:c r="J483" s="29"/>
      <ns0:c r="K483" s="29"/>
    </ns0:row>
    <ns0:row r="484" ht="28" customHeight="1">
      <ns0:c r="A484" s="29"/>
      <ns0:c r="B484" s="30"/>
      <ns0:c r="C484" s="28"/>
      <ns0:c r="D484" s="29"/>
      <ns0:c r="E484" s="31"/>
      <ns0:c r="F484" s="32"/>
      <ns0:c r="G484" s="29"/>
      <ns0:c r="H484" s="29"/>
      <ns0:c r="I484" s="29"/>
      <ns0:c r="J484" s="29"/>
      <ns0:c r="K484" s="29"/>
    </ns0:row>
    <ns0:row r="485" ht="28" customHeight="1">
      <ns0:c r="A485" s="29"/>
      <ns0:c r="B485" s="30"/>
      <ns0:c r="C485" s="28"/>
      <ns0:c r="D485" s="29"/>
      <ns0:c r="E485" s="31"/>
      <ns0:c r="F485" s="32"/>
      <ns0:c r="G485" s="29"/>
      <ns0:c r="H485" s="29"/>
      <ns0:c r="I485" s="29"/>
      <ns0:c r="J485" s="29"/>
      <ns0:c r="K485" s="29"/>
    </ns0:row>
    <ns0:row r="486" ht="28" customHeight="1">
      <ns0:c r="A486" s="29"/>
      <ns0:c r="B486" s="30"/>
      <ns0:c r="C486" s="28"/>
      <ns0:c r="D486" s="29"/>
      <ns0:c r="E486" s="31"/>
      <ns0:c r="F486" s="32"/>
      <ns0:c r="G486" s="29"/>
      <ns0:c r="H486" s="29"/>
      <ns0:c r="I486" s="29"/>
      <ns0:c r="J486" s="29"/>
      <ns0:c r="K486" s="29"/>
    </ns0:row>
    <ns0:row r="487" ht="28" customHeight="1">
      <ns0:c r="A487" s="29"/>
      <ns0:c r="B487" s="30"/>
      <ns0:c r="C487" s="28"/>
      <ns0:c r="D487" s="29"/>
      <ns0:c r="E487" s="31"/>
      <ns0:c r="F487" s="32"/>
      <ns0:c r="G487" s="29"/>
      <ns0:c r="H487" s="29"/>
      <ns0:c r="I487" s="29"/>
      <ns0:c r="J487" s="29"/>
      <ns0:c r="K487" s="29"/>
    </ns0:row>
    <ns0:row r="488" ht="28" customHeight="1">
      <ns0:c r="A488" s="29"/>
      <ns0:c r="B488" s="30"/>
      <ns0:c r="C488" s="28"/>
      <ns0:c r="D488" s="29"/>
      <ns0:c r="E488" s="31"/>
      <ns0:c r="F488" s="32"/>
      <ns0:c r="G488" s="29"/>
      <ns0:c r="H488" s="29"/>
      <ns0:c r="I488" s="29"/>
      <ns0:c r="J488" s="29"/>
      <ns0:c r="K488" s="29"/>
    </ns0:row>
    <ns0:row r="489" ht="28" customHeight="1">
      <ns0:c r="A489" s="29"/>
      <ns0:c r="B489" s="30"/>
      <ns0:c r="C489" s="28"/>
      <ns0:c r="D489" s="29"/>
      <ns0:c r="E489" s="31"/>
      <ns0:c r="F489" s="32"/>
      <ns0:c r="G489" s="29"/>
      <ns0:c r="H489" s="29"/>
      <ns0:c r="I489" s="29"/>
      <ns0:c r="J489" s="29"/>
      <ns0:c r="K489" s="29"/>
    </ns0:row>
    <ns0:row r="490" ht="28" customHeight="1">
      <ns0:c r="A490" s="29"/>
      <ns0:c r="B490" s="30"/>
      <ns0:c r="C490" s="28"/>
      <ns0:c r="D490" s="29"/>
      <ns0:c r="E490" s="31"/>
      <ns0:c r="F490" s="32"/>
      <ns0:c r="G490" s="29"/>
      <ns0:c r="H490" s="29"/>
      <ns0:c r="I490" s="29"/>
      <ns0:c r="J490" s="29"/>
      <ns0:c r="K490" s="29"/>
    </ns0:row>
    <ns0:row r="491" ht="28" customHeight="1">
      <ns0:c r="A491" s="29"/>
      <ns0:c r="B491" s="30"/>
      <ns0:c r="C491" s="28"/>
      <ns0:c r="D491" s="29"/>
      <ns0:c r="E491" s="31"/>
      <ns0:c r="F491" s="32"/>
      <ns0:c r="G491" s="29"/>
      <ns0:c r="H491" s="29"/>
      <ns0:c r="I491" s="29"/>
      <ns0:c r="J491" s="29"/>
      <ns0:c r="K491" s="29"/>
    </ns0:row>
    <ns0:row r="492" ht="28" customHeight="1">
      <ns0:c r="A492" s="29"/>
      <ns0:c r="B492" s="30"/>
      <ns0:c r="C492" s="28"/>
      <ns0:c r="D492" s="29"/>
      <ns0:c r="E492" s="31"/>
      <ns0:c r="F492" s="32"/>
      <ns0:c r="G492" s="29"/>
      <ns0:c r="H492" s="29"/>
      <ns0:c r="I492" s="29"/>
      <ns0:c r="J492" s="29"/>
      <ns0:c r="K492" s="29"/>
    </ns0:row>
    <ns0:row r="493" ht="28" customHeight="1">
      <ns0:c r="A493" s="29"/>
      <ns0:c r="B493" s="30"/>
      <ns0:c r="C493" s="28"/>
      <ns0:c r="D493" s="29"/>
      <ns0:c r="E493" s="31"/>
      <ns0:c r="F493" s="32"/>
      <ns0:c r="G493" s="29"/>
      <ns0:c r="H493" s="29"/>
      <ns0:c r="I493" s="29"/>
      <ns0:c r="J493" s="29"/>
      <ns0:c r="K493" s="29"/>
    </ns0:row>
    <ns0:row r="494" ht="28" customHeight="1">
      <ns0:c r="A494" s="29"/>
      <ns0:c r="B494" s="30"/>
      <ns0:c r="C494" s="28"/>
      <ns0:c r="D494" s="29"/>
      <ns0:c r="E494" s="31"/>
      <ns0:c r="F494" s="32"/>
      <ns0:c r="G494" s="29"/>
      <ns0:c r="H494" s="29"/>
      <ns0:c r="I494" s="29"/>
      <ns0:c r="J494" s="29"/>
      <ns0:c r="K494" s="29"/>
    </ns0:row>
    <ns0:row r="495" ht="28" customHeight="1">
      <ns0:c r="A495" s="29"/>
      <ns0:c r="B495" s="30"/>
      <ns0:c r="C495" s="28"/>
      <ns0:c r="D495" s="29"/>
      <ns0:c r="E495" s="31"/>
      <ns0:c r="F495" s="32"/>
      <ns0:c r="G495" s="29"/>
      <ns0:c r="H495" s="29"/>
      <ns0:c r="I495" s="29"/>
      <ns0:c r="J495" s="29"/>
      <ns0:c r="K495" s="29"/>
    </ns0:row>
    <ns0:row r="496" ht="28" customHeight="1">
      <ns0:c r="A496" s="29"/>
      <ns0:c r="B496" s="30"/>
      <ns0:c r="C496" s="28"/>
      <ns0:c r="D496" s="29"/>
      <ns0:c r="E496" s="31"/>
      <ns0:c r="F496" s="32"/>
      <ns0:c r="G496" s="29"/>
      <ns0:c r="H496" s="29"/>
      <ns0:c r="I496" s="29"/>
      <ns0:c r="J496" s="29"/>
      <ns0:c r="K496" s="29"/>
    </ns0:row>
    <ns0:row r="497" ht="28" customHeight="1">
      <ns0:c r="A497" s="29"/>
      <ns0:c r="B497" s="30"/>
      <ns0:c r="C497" s="28"/>
      <ns0:c r="D497" s="29"/>
      <ns0:c r="E497" s="31"/>
      <ns0:c r="F497" s="32"/>
      <ns0:c r="G497" s="29"/>
      <ns0:c r="H497" s="29"/>
      <ns0:c r="I497" s="29"/>
      <ns0:c r="J497" s="29"/>
      <ns0:c r="K497" s="29"/>
    </ns0:row>
    <ns0:row r="498" ht="28" customHeight="1">
      <ns0:c r="A498" s="29"/>
      <ns0:c r="B498" s="30"/>
      <ns0:c r="C498" s="28"/>
      <ns0:c r="D498" s="29"/>
      <ns0:c r="E498" s="31"/>
      <ns0:c r="F498" s="32"/>
      <ns0:c r="G498" s="29"/>
      <ns0:c r="H498" s="29"/>
      <ns0:c r="I498" s="29"/>
      <ns0:c r="J498" s="29"/>
      <ns0:c r="K498" s="29"/>
    </ns0:row>
    <ns0:row r="499" ht="28" customHeight="1">
      <ns0:c r="A499" s="29"/>
      <ns0:c r="B499" s="30"/>
      <ns0:c r="C499" s="28"/>
      <ns0:c r="D499" s="29"/>
      <ns0:c r="E499" s="31"/>
      <ns0:c r="F499" s="32"/>
      <ns0:c r="G499" s="29"/>
      <ns0:c r="H499" s="29"/>
      <ns0:c r="I499" s="29"/>
      <ns0:c r="J499" s="29"/>
      <ns0:c r="K499" s="29"/>
    </ns0:row>
    <ns0:row r="500" ht="28" customHeight="1">
      <ns0:c r="A500" s="29"/>
      <ns0:c r="B500" s="30"/>
      <ns0:c r="C500" s="28"/>
      <ns0:c r="D500" s="29"/>
      <ns0:c r="E500" s="31"/>
      <ns0:c r="F500" s="32"/>
      <ns0:c r="G500" s="29"/>
      <ns0:c r="H500" s="29"/>
      <ns0:c r="I500" s="29"/>
      <ns0:c r="J500" s="29"/>
      <ns0:c r="K500" s="29"/>
    </ns0:row>
    <ns0:row r="501" ht="28" customHeight="1">
      <ns0:c r="A501" s="29"/>
      <ns0:c r="B501" s="30"/>
      <ns0:c r="C501" s="28"/>
      <ns0:c r="D501" s="29"/>
      <ns0:c r="E501" s="31"/>
      <ns0:c r="F501" s="32"/>
      <ns0:c r="G501" s="29"/>
      <ns0:c r="H501" s="29"/>
      <ns0:c r="I501" s="29"/>
      <ns0:c r="J501" s="29"/>
      <ns0:c r="K501" s="29"/>
    </ns0:row>
    <ns0:row r="502" ht="28" customHeight="1">
      <ns0:c r="A502" s="29"/>
      <ns0:c r="B502" s="30"/>
      <ns0:c r="C502" s="28"/>
      <ns0:c r="D502" s="29"/>
      <ns0:c r="E502" s="31"/>
      <ns0:c r="F502" s="32"/>
      <ns0:c r="G502" s="29"/>
      <ns0:c r="H502" s="29"/>
      <ns0:c r="I502" s="29"/>
      <ns0:c r="J502" s="29"/>
      <ns0:c r="K502" s="29"/>
    </ns0:row>
    <ns0:row r="503" ht="28" customHeight="1">
      <ns0:c r="A503" s="29"/>
      <ns0:c r="B503" s="30"/>
      <ns0:c r="C503" s="28"/>
      <ns0:c r="D503" s="29"/>
      <ns0:c r="E503" s="31"/>
      <ns0:c r="F503" s="32"/>
      <ns0:c r="G503" s="29"/>
      <ns0:c r="H503" s="29"/>
      <ns0:c r="I503" s="29"/>
      <ns0:c r="J503" s="29"/>
      <ns0:c r="K503" s="29"/>
    </ns0:row>
    <ns0:row r="504" ht="28" customHeight="1">
      <ns0:c r="A504" s="29"/>
      <ns0:c r="B504" s="30"/>
      <ns0:c r="C504" s="28"/>
      <ns0:c r="D504" s="29"/>
      <ns0:c r="E504" s="31"/>
      <ns0:c r="F504" s="32"/>
      <ns0:c r="G504" s="29"/>
      <ns0:c r="H504" s="29"/>
      <ns0:c r="I504" s="29"/>
      <ns0:c r="J504" s="29"/>
      <ns0:c r="K504" s="29"/>
    </ns0:row>
    <ns0:row r="505" ht="28" customHeight="1">
      <ns0:c r="A505" s="29"/>
      <ns0:c r="B505" s="30"/>
      <ns0:c r="C505" s="28"/>
      <ns0:c r="D505" s="29"/>
      <ns0:c r="E505" s="31"/>
      <ns0:c r="F505" s="32"/>
      <ns0:c r="G505" s="29"/>
      <ns0:c r="H505" s="29"/>
      <ns0:c r="I505" s="29"/>
      <ns0:c r="J505" s="29"/>
      <ns0:c r="K505" s="29"/>
    </ns0:row>
    <ns0:row r="506" ht="28" customHeight="1">
      <ns0:c r="A506" s="29"/>
      <ns0:c r="B506" s="30"/>
      <ns0:c r="C506" s="28"/>
      <ns0:c r="D506" s="29"/>
      <ns0:c r="E506" s="31"/>
      <ns0:c r="F506" s="32"/>
      <ns0:c r="G506" s="29"/>
      <ns0:c r="H506" s="29"/>
      <ns0:c r="I506" s="29"/>
      <ns0:c r="J506" s="29"/>
      <ns0:c r="K506" s="29"/>
    </ns0:row>
    <ns0:row r="507" ht="28" customHeight="1">
      <ns0:c r="A507" s="29"/>
      <ns0:c r="B507" s="30"/>
      <ns0:c r="C507" s="28"/>
      <ns0:c r="D507" s="29"/>
      <ns0:c r="E507" s="31"/>
      <ns0:c r="F507" s="32"/>
      <ns0:c r="G507" s="29"/>
      <ns0:c r="H507" s="29"/>
      <ns0:c r="I507" s="29"/>
      <ns0:c r="J507" s="29"/>
      <ns0:c r="K507" s="29"/>
    </ns0:row>
    <ns0:row r="508" ht="28" customHeight="1">
      <ns0:c r="A508" s="29"/>
      <ns0:c r="B508" s="30"/>
      <ns0:c r="C508" s="28"/>
      <ns0:c r="D508" s="29"/>
      <ns0:c r="E508" s="31"/>
      <ns0:c r="F508" s="32"/>
      <ns0:c r="G508" s="29"/>
      <ns0:c r="H508" s="29"/>
      <ns0:c r="I508" s="29"/>
      <ns0:c r="J508" s="29"/>
      <ns0:c r="K508" s="29"/>
    </ns0:row>
    <ns0:row r="509" ht="28" customHeight="1">
      <ns0:c r="A509" s="29"/>
      <ns0:c r="B509" s="30"/>
      <ns0:c r="C509" s="28"/>
      <ns0:c r="D509" s="29"/>
      <ns0:c r="E509" s="31"/>
      <ns0:c r="F509" s="32"/>
      <ns0:c r="G509" s="29"/>
      <ns0:c r="H509" s="29"/>
      <ns0:c r="I509" s="29"/>
      <ns0:c r="J509" s="29"/>
      <ns0:c r="K509" s="29"/>
    </ns0:row>
    <ns0:row r="510" ht="28" customHeight="1">
      <ns0:c r="A510" s="29"/>
      <ns0:c r="B510" s="30"/>
      <ns0:c r="C510" s="28"/>
      <ns0:c r="D510" s="29"/>
      <ns0:c r="E510" s="31"/>
      <ns0:c r="F510" s="32"/>
      <ns0:c r="G510" s="29"/>
      <ns0:c r="H510" s="29"/>
      <ns0:c r="I510" s="29"/>
      <ns0:c r="J510" s="29"/>
      <ns0:c r="K510" s="29"/>
    </ns0:row>
    <ns0:row r="511" ht="28" customHeight="1">
      <ns0:c r="A511" s="29"/>
      <ns0:c r="B511" s="30"/>
      <ns0:c r="C511" s="28"/>
      <ns0:c r="D511" s="29"/>
      <ns0:c r="E511" s="31"/>
      <ns0:c r="F511" s="32"/>
      <ns0:c r="G511" s="29"/>
      <ns0:c r="H511" s="29"/>
      <ns0:c r="I511" s="29"/>
      <ns0:c r="J511" s="29"/>
      <ns0:c r="K511" s="29"/>
    </ns0:row>
    <ns0:row r="512" ht="28" customHeight="1">
      <ns0:c r="A512" s="29"/>
      <ns0:c r="B512" s="30"/>
      <ns0:c r="C512" s="28"/>
      <ns0:c r="D512" s="29"/>
      <ns0:c r="E512" s="31"/>
      <ns0:c r="F512" s="32"/>
      <ns0:c r="G512" s="29"/>
      <ns0:c r="H512" s="29"/>
      <ns0:c r="I512" s="29"/>
      <ns0:c r="J512" s="29"/>
      <ns0:c r="K512" s="29"/>
    </ns0:row>
    <ns0:row r="513" ht="28" customHeight="1">
      <ns0:c r="A513" s="29"/>
      <ns0:c r="B513" s="30"/>
      <ns0:c r="C513" s="28"/>
      <ns0:c r="D513" s="29"/>
      <ns0:c r="E513" s="31"/>
      <ns0:c r="F513" s="32"/>
      <ns0:c r="G513" s="29"/>
      <ns0:c r="H513" s="29"/>
      <ns0:c r="I513" s="29"/>
      <ns0:c r="J513" s="29"/>
      <ns0:c r="K513" s="29"/>
    </ns0:row>
    <ns0:row r="514" ht="28" customHeight="1">
      <ns0:c r="A514" s="29"/>
      <ns0:c r="B514" s="30"/>
      <ns0:c r="C514" s="28"/>
      <ns0:c r="D514" s="29"/>
      <ns0:c r="E514" s="31"/>
      <ns0:c r="F514" s="32"/>
      <ns0:c r="G514" s="29"/>
      <ns0:c r="H514" s="29"/>
      <ns0:c r="I514" s="29"/>
      <ns0:c r="J514" s="29"/>
      <ns0:c r="K514" s="29"/>
    </ns0:row>
    <ns0:row r="515" ht="28" customHeight="1">
      <ns0:c r="A515" s="29"/>
      <ns0:c r="B515" s="30"/>
      <ns0:c r="C515" s="28"/>
      <ns0:c r="D515" s="29"/>
      <ns0:c r="E515" s="31"/>
      <ns0:c r="F515" s="32"/>
      <ns0:c r="G515" s="29"/>
      <ns0:c r="H515" s="29"/>
      <ns0:c r="I515" s="29"/>
      <ns0:c r="J515" s="29"/>
      <ns0:c r="K515" s="29"/>
    </ns0:row>
    <ns0:row r="516" ht="28" customHeight="1">
      <ns0:c r="A516" s="29"/>
      <ns0:c r="B516" s="30"/>
      <ns0:c r="C516" s="28"/>
      <ns0:c r="D516" s="29"/>
      <ns0:c r="E516" s="31"/>
      <ns0:c r="F516" s="32"/>
      <ns0:c r="G516" s="29"/>
      <ns0:c r="H516" s="29"/>
      <ns0:c r="I516" s="29"/>
      <ns0:c r="J516" s="29"/>
      <ns0:c r="K516" s="29"/>
    </ns0:row>
    <ns0:row r="517" ht="28" customHeight="1">
      <ns0:c r="A517" s="29"/>
      <ns0:c r="B517" s="30"/>
      <ns0:c r="C517" s="28"/>
      <ns0:c r="D517" s="29"/>
      <ns0:c r="E517" s="31"/>
      <ns0:c r="F517" s="32"/>
      <ns0:c r="G517" s="29"/>
      <ns0:c r="H517" s="29"/>
      <ns0:c r="I517" s="29"/>
      <ns0:c r="J517" s="29"/>
      <ns0:c r="K517" s="29"/>
    </ns0:row>
    <ns0:row r="518" ht="28" customHeight="1">
      <ns0:c r="A518" s="29"/>
      <ns0:c r="B518" s="30"/>
      <ns0:c r="C518" s="28"/>
      <ns0:c r="D518" s="29"/>
      <ns0:c r="E518" s="31"/>
      <ns0:c r="F518" s="32"/>
      <ns0:c r="G518" s="29"/>
      <ns0:c r="H518" s="29"/>
      <ns0:c r="I518" s="29"/>
      <ns0:c r="J518" s="29"/>
      <ns0:c r="K518" s="29"/>
    </ns0:row>
    <ns0:row r="519" ht="28" customHeight="1">
      <ns0:c r="A519" s="29"/>
      <ns0:c r="B519" s="30"/>
      <ns0:c r="C519" s="28"/>
      <ns0:c r="D519" s="29"/>
      <ns0:c r="E519" s="31"/>
      <ns0:c r="F519" s="32"/>
      <ns0:c r="G519" s="29"/>
      <ns0:c r="H519" s="29"/>
      <ns0:c r="I519" s="29"/>
      <ns0:c r="J519" s="29"/>
      <ns0:c r="K519" s="29"/>
    </ns0:row>
    <ns0:row r="520" ht="28" customHeight="1">
      <ns0:c r="A520" s="29"/>
      <ns0:c r="B520" s="30"/>
      <ns0:c r="C520" s="28"/>
      <ns0:c r="D520" s="29"/>
      <ns0:c r="E520" s="31"/>
      <ns0:c r="F520" s="32"/>
      <ns0:c r="G520" s="29"/>
      <ns0:c r="H520" s="29"/>
      <ns0:c r="I520" s="29"/>
      <ns0:c r="J520" s="29"/>
      <ns0:c r="K520" s="29"/>
    </ns0:row>
    <ns0:row r="521" ht="28" customHeight="1">
      <ns0:c r="A521" s="29"/>
      <ns0:c r="B521" s="30"/>
      <ns0:c r="C521" s="28"/>
      <ns0:c r="D521" s="29"/>
      <ns0:c r="E521" s="31"/>
      <ns0:c r="F521" s="32"/>
      <ns0:c r="G521" s="29"/>
      <ns0:c r="H521" s="29"/>
      <ns0:c r="I521" s="29"/>
      <ns0:c r="J521" s="29"/>
      <ns0:c r="K521" s="29"/>
    </ns0:row>
    <ns0:row r="522" ht="28" customHeight="1">
      <ns0:c r="A522" s="29"/>
      <ns0:c r="B522" s="30"/>
      <ns0:c r="C522" s="28"/>
      <ns0:c r="D522" s="29"/>
      <ns0:c r="E522" s="31"/>
      <ns0:c r="F522" s="32"/>
      <ns0:c r="G522" s="29"/>
      <ns0:c r="H522" s="29"/>
      <ns0:c r="I522" s="29"/>
      <ns0:c r="J522" s="29"/>
      <ns0:c r="K522" s="29"/>
    </ns0:row>
    <ns0:row r="523" ht="28" customHeight="1">
      <ns0:c r="A523" s="29"/>
      <ns0:c r="B523" s="30"/>
      <ns0:c r="C523" s="28"/>
      <ns0:c r="D523" s="29"/>
      <ns0:c r="E523" s="31"/>
      <ns0:c r="F523" s="32"/>
      <ns0:c r="G523" s="29"/>
      <ns0:c r="H523" s="29"/>
      <ns0:c r="I523" s="29"/>
      <ns0:c r="J523" s="29"/>
      <ns0:c r="K523" s="29"/>
    </ns0:row>
    <ns0:row r="524" ht="28" customHeight="1">
      <ns0:c r="A524" s="29"/>
      <ns0:c r="B524" s="30"/>
      <ns0:c r="C524" s="28"/>
      <ns0:c r="D524" s="29"/>
      <ns0:c r="E524" s="31"/>
      <ns0:c r="F524" s="32"/>
      <ns0:c r="G524" s="29"/>
      <ns0:c r="H524" s="29"/>
      <ns0:c r="I524" s="29"/>
      <ns0:c r="J524" s="29"/>
      <ns0:c r="K524" s="29"/>
    </ns0:row>
    <ns0:row r="525" ht="28" customHeight="1">
      <ns0:c r="A525" s="29"/>
      <ns0:c r="B525" s="30"/>
      <ns0:c r="C525" s="28"/>
      <ns0:c r="D525" s="29"/>
      <ns0:c r="E525" s="31"/>
      <ns0:c r="F525" s="32"/>
      <ns0:c r="G525" s="29"/>
      <ns0:c r="H525" s="29"/>
      <ns0:c r="I525" s="29"/>
      <ns0:c r="J525" s="29"/>
      <ns0:c r="K525" s="29"/>
    </ns0:row>
    <ns0:row r="526" ht="28" customHeight="1">
      <ns0:c r="A526" s="29"/>
      <ns0:c r="B526" s="30"/>
      <ns0:c r="C526" s="28"/>
      <ns0:c r="D526" s="29"/>
      <ns0:c r="E526" s="31"/>
      <ns0:c r="F526" s="32"/>
      <ns0:c r="G526" s="29"/>
      <ns0:c r="H526" s="29"/>
      <ns0:c r="I526" s="29"/>
      <ns0:c r="J526" s="29"/>
      <ns0:c r="K526" s="29"/>
    </ns0:row>
    <ns0:row r="527" ht="28" customHeight="1">
      <ns0:c r="A527" s="29"/>
      <ns0:c r="B527" s="30"/>
      <ns0:c r="C527" s="28"/>
      <ns0:c r="D527" s="29"/>
      <ns0:c r="E527" s="31"/>
      <ns0:c r="F527" s="32"/>
      <ns0:c r="G527" s="29"/>
      <ns0:c r="H527" s="29"/>
      <ns0:c r="I527" s="29"/>
      <ns0:c r="J527" s="29"/>
      <ns0:c r="K527" s="29"/>
    </ns0:row>
    <ns0:row r="528" ht="28" customHeight="1">
      <ns0:c r="A528" s="29"/>
      <ns0:c r="B528" s="30"/>
      <ns0:c r="C528" s="28"/>
      <ns0:c r="D528" s="29"/>
      <ns0:c r="E528" s="31"/>
      <ns0:c r="F528" s="32"/>
      <ns0:c r="G528" s="29"/>
      <ns0:c r="H528" s="29"/>
      <ns0:c r="I528" s="29"/>
      <ns0:c r="J528" s="29"/>
      <ns0:c r="K528" s="29"/>
    </ns0:row>
    <ns0:row r="529" ht="28" customHeight="1">
      <ns0:c r="A529" s="29"/>
      <ns0:c r="B529" s="30"/>
      <ns0:c r="C529" s="28"/>
      <ns0:c r="D529" s="29"/>
      <ns0:c r="E529" s="31"/>
      <ns0:c r="F529" s="32"/>
      <ns0:c r="G529" s="29"/>
      <ns0:c r="H529" s="29"/>
      <ns0:c r="I529" s="29"/>
      <ns0:c r="J529" s="29"/>
      <ns0:c r="K529" s="29"/>
    </ns0:row>
    <ns0:row r="530" ht="28" customHeight="1">
      <ns0:c r="A530" s="29"/>
      <ns0:c r="B530" s="30"/>
      <ns0:c r="C530" s="28"/>
      <ns0:c r="D530" s="29"/>
      <ns0:c r="E530" s="31"/>
      <ns0:c r="F530" s="32"/>
      <ns0:c r="G530" s="29"/>
      <ns0:c r="H530" s="29"/>
      <ns0:c r="I530" s="29"/>
      <ns0:c r="J530" s="29"/>
      <ns0:c r="K530" s="29"/>
    </ns0:row>
    <ns0:row r="531" ht="28" customHeight="1">
      <ns0:c r="A531" s="29"/>
      <ns0:c r="B531" s="30"/>
      <ns0:c r="C531" s="28"/>
      <ns0:c r="D531" s="29"/>
      <ns0:c r="E531" s="31"/>
      <ns0:c r="F531" s="32"/>
      <ns0:c r="G531" s="29"/>
      <ns0:c r="H531" s="29"/>
      <ns0:c r="I531" s="29"/>
      <ns0:c r="J531" s="29"/>
      <ns0:c r="K531" s="29"/>
    </ns0:row>
    <ns0:row r="532" ht="28" customHeight="1">
      <ns0:c r="A532" s="29"/>
      <ns0:c r="B532" s="30"/>
      <ns0:c r="C532" s="28"/>
      <ns0:c r="D532" s="29"/>
      <ns0:c r="E532" s="31"/>
      <ns0:c r="F532" s="32"/>
      <ns0:c r="G532" s="29"/>
      <ns0:c r="H532" s="29"/>
      <ns0:c r="I532" s="29"/>
      <ns0:c r="J532" s="29"/>
      <ns0:c r="K532" s="29"/>
    </ns0:row>
    <ns0:row r="533" ht="28" customHeight="1">
      <ns0:c r="A533" s="29"/>
      <ns0:c r="B533" s="30"/>
      <ns0:c r="C533" s="28"/>
      <ns0:c r="D533" s="29"/>
      <ns0:c r="E533" s="31"/>
      <ns0:c r="F533" s="32"/>
      <ns0:c r="G533" s="29"/>
      <ns0:c r="H533" s="29"/>
      <ns0:c r="I533" s="29"/>
      <ns0:c r="J533" s="29"/>
      <ns0:c r="K533" s="29"/>
    </ns0:row>
    <ns0:row r="534" ht="28" customHeight="1">
      <ns0:c r="A534" s="29"/>
      <ns0:c r="B534" s="30"/>
      <ns0:c r="C534" s="28"/>
      <ns0:c r="D534" s="29"/>
      <ns0:c r="E534" s="31"/>
      <ns0:c r="F534" s="32"/>
      <ns0:c r="G534" s="29"/>
      <ns0:c r="H534" s="29"/>
      <ns0:c r="I534" s="29"/>
      <ns0:c r="J534" s="29"/>
      <ns0:c r="K534" s="29"/>
    </ns0:row>
    <ns0:row r="535" ht="28" customHeight="1">
      <ns0:c r="A535" s="29"/>
      <ns0:c r="B535" s="30"/>
      <ns0:c r="C535" s="28"/>
      <ns0:c r="D535" s="29"/>
      <ns0:c r="E535" s="31"/>
      <ns0:c r="F535" s="32"/>
      <ns0:c r="G535" s="29"/>
      <ns0:c r="H535" s="29"/>
      <ns0:c r="I535" s="29"/>
      <ns0:c r="J535" s="29"/>
      <ns0:c r="K535" s="29"/>
    </ns0:row>
    <ns0:row r="536" ht="28" customHeight="1">
      <ns0:c r="A536" s="29"/>
      <ns0:c r="B536" s="30"/>
      <ns0:c r="C536" s="28"/>
      <ns0:c r="D536" s="29"/>
      <ns0:c r="E536" s="31"/>
      <ns0:c r="F536" s="32"/>
      <ns0:c r="G536" s="29"/>
      <ns0:c r="H536" s="29"/>
      <ns0:c r="I536" s="29"/>
      <ns0:c r="J536" s="29"/>
      <ns0:c r="K536" s="29"/>
    </ns0:row>
    <ns0:row r="537" ht="28" customHeight="1">
      <ns0:c r="A537" s="29"/>
      <ns0:c r="B537" s="30"/>
      <ns0:c r="C537" s="28"/>
      <ns0:c r="D537" s="29"/>
      <ns0:c r="E537" s="31"/>
      <ns0:c r="F537" s="32"/>
      <ns0:c r="G537" s="29"/>
      <ns0:c r="H537" s="29"/>
      <ns0:c r="I537" s="29"/>
      <ns0:c r="J537" s="29"/>
      <ns0:c r="K537" s="29"/>
    </ns0:row>
    <ns0:row r="538" ht="28" customHeight="1">
      <ns0:c r="A538" s="29"/>
      <ns0:c r="B538" s="30"/>
      <ns0:c r="C538" s="28"/>
      <ns0:c r="D538" s="29"/>
      <ns0:c r="E538" s="31"/>
      <ns0:c r="F538" s="32"/>
      <ns0:c r="G538" s="29"/>
      <ns0:c r="H538" s="29"/>
      <ns0:c r="I538" s="29"/>
      <ns0:c r="J538" s="29"/>
      <ns0:c r="K538" s="29"/>
    </ns0:row>
    <ns0:row r="539" ht="28" customHeight="1">
      <ns0:c r="A539" s="29"/>
      <ns0:c r="B539" s="30"/>
      <ns0:c r="C539" s="28"/>
      <ns0:c r="D539" s="29"/>
      <ns0:c r="E539" s="31"/>
      <ns0:c r="F539" s="32"/>
      <ns0:c r="G539" s="29"/>
      <ns0:c r="H539" s="29"/>
      <ns0:c r="I539" s="29"/>
      <ns0:c r="J539" s="29"/>
      <ns0:c r="K539" s="29"/>
    </ns0:row>
    <ns0:row r="540" ht="28" customHeight="1">
      <ns0:c r="A540" s="29"/>
      <ns0:c r="B540" s="30"/>
      <ns0:c r="C540" s="28"/>
      <ns0:c r="D540" s="29"/>
      <ns0:c r="E540" s="31"/>
      <ns0:c r="F540" s="32"/>
      <ns0:c r="G540" s="29"/>
      <ns0:c r="H540" s="29"/>
      <ns0:c r="I540" s="29"/>
      <ns0:c r="J540" s="29"/>
      <ns0:c r="K540" s="29"/>
    </ns0:row>
    <ns0:row r="541" ht="28" customHeight="1">
      <ns0:c r="A541" s="29"/>
      <ns0:c r="B541" s="30"/>
      <ns0:c r="C541" s="28"/>
      <ns0:c r="D541" s="29"/>
      <ns0:c r="E541" s="31"/>
      <ns0:c r="F541" s="32"/>
      <ns0:c r="G541" s="29"/>
      <ns0:c r="H541" s="29"/>
      <ns0:c r="I541" s="29"/>
      <ns0:c r="J541" s="29"/>
      <ns0:c r="K541" s="29"/>
    </ns0:row>
    <ns0:row r="542" ht="28" customHeight="1">
      <ns0:c r="A542" s="29"/>
      <ns0:c r="B542" s="30"/>
      <ns0:c r="C542" s="28"/>
      <ns0:c r="D542" s="29"/>
      <ns0:c r="E542" s="31"/>
      <ns0:c r="F542" s="32"/>
      <ns0:c r="G542" s="29"/>
      <ns0:c r="H542" s="29"/>
      <ns0:c r="I542" s="29"/>
      <ns0:c r="J542" s="29"/>
      <ns0:c r="K542" s="29"/>
    </ns0:row>
    <ns0:row r="543" ht="28" customHeight="1">
      <ns0:c r="A543" s="29"/>
      <ns0:c r="B543" s="30"/>
      <ns0:c r="C543" s="28"/>
      <ns0:c r="D543" s="29"/>
      <ns0:c r="E543" s="31"/>
      <ns0:c r="F543" s="32"/>
      <ns0:c r="G543" s="29"/>
      <ns0:c r="H543" s="29"/>
      <ns0:c r="I543" s="29"/>
      <ns0:c r="J543" s="29"/>
      <ns0:c r="K543" s="29"/>
    </ns0:row>
    <ns0:row r="544" ht="28" customHeight="1">
      <ns0:c r="A544" s="29"/>
      <ns0:c r="B544" s="30"/>
      <ns0:c r="C544" s="28"/>
      <ns0:c r="D544" s="29"/>
      <ns0:c r="E544" s="31"/>
      <ns0:c r="F544" s="32"/>
      <ns0:c r="G544" s="29"/>
      <ns0:c r="H544" s="29"/>
      <ns0:c r="I544" s="29"/>
      <ns0:c r="J544" s="29"/>
      <ns0:c r="K544" s="29"/>
    </ns0:row>
    <ns0:row r="545" ht="28" customHeight="1">
      <ns0:c r="A545" s="29"/>
      <ns0:c r="B545" s="30"/>
      <ns0:c r="C545" s="28"/>
      <ns0:c r="D545" s="29"/>
      <ns0:c r="E545" s="31"/>
      <ns0:c r="F545" s="32"/>
      <ns0:c r="G545" s="29"/>
      <ns0:c r="H545" s="29"/>
      <ns0:c r="I545" s="29"/>
      <ns0:c r="J545" s="29"/>
      <ns0:c r="K545" s="29"/>
    </ns0:row>
    <ns0:row r="546" ht="28" customHeight="1">
      <ns0:c r="A546" s="29"/>
      <ns0:c r="B546" s="30"/>
      <ns0:c r="C546" s="28"/>
      <ns0:c r="D546" s="29"/>
      <ns0:c r="E546" s="31"/>
      <ns0:c r="F546" s="32"/>
      <ns0:c r="G546" s="29"/>
      <ns0:c r="H546" s="29"/>
      <ns0:c r="I546" s="29"/>
      <ns0:c r="J546" s="29"/>
      <ns0:c r="K546" s="29"/>
    </ns0:row>
    <ns0:row r="547" ht="28" customHeight="1">
      <ns0:c r="A547" s="29"/>
      <ns0:c r="B547" s="30"/>
      <ns0:c r="C547" s="28"/>
      <ns0:c r="D547" s="29"/>
      <ns0:c r="E547" s="31"/>
      <ns0:c r="F547" s="32"/>
      <ns0:c r="G547" s="29"/>
      <ns0:c r="H547" s="29"/>
      <ns0:c r="I547" s="29"/>
      <ns0:c r="J547" s="29"/>
      <ns0:c r="K547" s="29"/>
    </ns0:row>
    <ns0:row r="548" ht="28" customHeight="1">
      <ns0:c r="A548" s="29"/>
      <ns0:c r="B548" s="30"/>
      <ns0:c r="C548" s="28"/>
      <ns0:c r="D548" s="29"/>
      <ns0:c r="E548" s="31"/>
      <ns0:c r="F548" s="32"/>
      <ns0:c r="G548" s="29"/>
      <ns0:c r="H548" s="29"/>
      <ns0:c r="I548" s="29"/>
      <ns0:c r="J548" s="29"/>
      <ns0:c r="K548" s="29"/>
    </ns0:row>
    <ns0:row r="549" ht="28" customHeight="1">
      <ns0:c r="A549" s="29"/>
      <ns0:c r="B549" s="30"/>
      <ns0:c r="C549" s="28"/>
      <ns0:c r="D549" s="29"/>
      <ns0:c r="E549" s="31"/>
      <ns0:c r="F549" s="32"/>
      <ns0:c r="G549" s="29"/>
      <ns0:c r="H549" s="29"/>
      <ns0:c r="I549" s="29"/>
      <ns0:c r="J549" s="29"/>
      <ns0:c r="K549" s="29"/>
    </ns0:row>
    <ns0:row r="550" ht="28" customHeight="1">
      <ns0:c r="A550" s="29"/>
      <ns0:c r="B550" s="30"/>
      <ns0:c r="C550" s="28"/>
      <ns0:c r="D550" s="29"/>
      <ns0:c r="E550" s="31"/>
      <ns0:c r="F550" s="32"/>
      <ns0:c r="G550" s="29"/>
      <ns0:c r="H550" s="29"/>
      <ns0:c r="I550" s="29"/>
      <ns0:c r="J550" s="29"/>
      <ns0:c r="K550" s="29"/>
    </ns0:row>
    <ns0:row r="551" ht="28" customHeight="1">
      <ns0:c r="A551" s="29"/>
      <ns0:c r="B551" s="30"/>
      <ns0:c r="C551" s="28"/>
      <ns0:c r="D551" s="29"/>
      <ns0:c r="E551" s="31"/>
      <ns0:c r="F551" s="32"/>
      <ns0:c r="G551" s="29"/>
      <ns0:c r="H551" s="29"/>
      <ns0:c r="I551" s="29"/>
      <ns0:c r="J551" s="29"/>
      <ns0:c r="K551" s="29"/>
    </ns0:row>
    <ns0:row r="552" ht="28" customHeight="1">
      <ns0:c r="A552" s="29"/>
      <ns0:c r="B552" s="30"/>
      <ns0:c r="C552" s="28"/>
      <ns0:c r="D552" s="29"/>
      <ns0:c r="E552" s="31"/>
      <ns0:c r="F552" s="32"/>
      <ns0:c r="G552" s="29"/>
      <ns0:c r="H552" s="29"/>
      <ns0:c r="I552" s="29"/>
      <ns0:c r="J552" s="29"/>
      <ns0:c r="K552" s="29"/>
    </ns0:row>
    <ns0:row r="553" ht="28" customHeight="1">
      <ns0:c r="A553" s="29"/>
      <ns0:c r="B553" s="30"/>
      <ns0:c r="C553" s="28"/>
      <ns0:c r="D553" s="29"/>
      <ns0:c r="E553" s="31"/>
      <ns0:c r="F553" s="32"/>
      <ns0:c r="G553" s="29"/>
      <ns0:c r="H553" s="29"/>
      <ns0:c r="I553" s="29"/>
      <ns0:c r="J553" s="29"/>
      <ns0:c r="K553" s="29"/>
    </ns0:row>
    <ns0:row r="554" ht="28" customHeight="1">
      <ns0:c r="A554" s="29"/>
      <ns0:c r="B554" s="30"/>
      <ns0:c r="C554" s="28"/>
      <ns0:c r="D554" s="29"/>
      <ns0:c r="E554" s="31"/>
      <ns0:c r="F554" s="32"/>
      <ns0:c r="G554" s="29"/>
      <ns0:c r="H554" s="29"/>
      <ns0:c r="I554" s="29"/>
      <ns0:c r="J554" s="29"/>
      <ns0:c r="K554" s="29"/>
    </ns0:row>
    <ns0:row r="555" ht="28" customHeight="1">
      <ns0:c r="A555" s="29"/>
      <ns0:c r="B555" s="30"/>
      <ns0:c r="C555" s="28"/>
      <ns0:c r="D555" s="29"/>
      <ns0:c r="E555" s="31"/>
      <ns0:c r="F555" s="32"/>
      <ns0:c r="G555" s="29"/>
      <ns0:c r="H555" s="29"/>
      <ns0:c r="I555" s="29"/>
      <ns0:c r="J555" s="29"/>
      <ns0:c r="K555" s="29"/>
    </ns0:row>
    <ns0:row r="556" ht="28" customHeight="1">
      <ns0:c r="A556" s="29"/>
      <ns0:c r="B556" s="30"/>
      <ns0:c r="C556" s="28"/>
      <ns0:c r="D556" s="29"/>
      <ns0:c r="E556" s="31"/>
      <ns0:c r="F556" s="32"/>
      <ns0:c r="G556" s="29"/>
      <ns0:c r="H556" s="29"/>
      <ns0:c r="I556" s="29"/>
      <ns0:c r="J556" s="29"/>
      <ns0:c r="K556" s="29"/>
    </ns0:row>
    <ns0:row r="557" ht="28" customHeight="1">
      <ns0:c r="A557" s="29"/>
      <ns0:c r="B557" s="30"/>
      <ns0:c r="C557" s="28"/>
      <ns0:c r="D557" s="29"/>
      <ns0:c r="E557" s="31"/>
      <ns0:c r="F557" s="32"/>
      <ns0:c r="G557" s="29"/>
      <ns0:c r="H557" s="29"/>
      <ns0:c r="I557" s="29"/>
      <ns0:c r="J557" s="29"/>
      <ns0:c r="K557" s="29"/>
    </ns0:row>
    <ns0:row r="558" ht="28" customHeight="1">
      <ns0:c r="A558" s="29"/>
      <ns0:c r="B558" s="30"/>
      <ns0:c r="C558" s="28"/>
      <ns0:c r="D558" s="29"/>
      <ns0:c r="E558" s="31"/>
      <ns0:c r="F558" s="32"/>
      <ns0:c r="G558" s="29"/>
      <ns0:c r="H558" s="29"/>
      <ns0:c r="I558" s="29"/>
      <ns0:c r="J558" s="29"/>
      <ns0:c r="K558" s="29"/>
    </ns0:row>
    <ns0:row r="559" ht="28" customHeight="1">
      <ns0:c r="A559" s="29"/>
      <ns0:c r="B559" s="30"/>
      <ns0:c r="C559" s="28"/>
      <ns0:c r="D559" s="29"/>
      <ns0:c r="E559" s="31"/>
      <ns0:c r="F559" s="32"/>
      <ns0:c r="G559" s="29"/>
      <ns0:c r="H559" s="29"/>
      <ns0:c r="I559" s="29"/>
      <ns0:c r="J559" s="29"/>
      <ns0:c r="K559" s="29"/>
    </ns0:row>
    <ns0:row r="560" ht="28" customHeight="1">
      <ns0:c r="A560" s="29"/>
      <ns0:c r="B560" s="30"/>
      <ns0:c r="C560" s="28"/>
      <ns0:c r="D560" s="29"/>
      <ns0:c r="E560" s="31"/>
      <ns0:c r="F560" s="32"/>
      <ns0:c r="G560" s="29"/>
      <ns0:c r="H560" s="29"/>
      <ns0:c r="I560" s="29"/>
      <ns0:c r="J560" s="29"/>
      <ns0:c r="K560" s="29"/>
    </ns0:row>
    <ns0:row r="561" ht="28" customHeight="1">
      <ns0:c r="A561" s="29"/>
      <ns0:c r="B561" s="30"/>
      <ns0:c r="C561" s="28"/>
      <ns0:c r="D561" s="29"/>
      <ns0:c r="E561" s="31"/>
      <ns0:c r="F561" s="32"/>
      <ns0:c r="G561" s="29"/>
      <ns0:c r="H561" s="29"/>
      <ns0:c r="I561" s="29"/>
      <ns0:c r="J561" s="29"/>
      <ns0:c r="K561" s="29"/>
    </ns0:row>
    <ns0:row r="562" ht="28" customHeight="1">
      <ns0:c r="A562" s="29"/>
      <ns0:c r="B562" s="30"/>
      <ns0:c r="C562" s="28"/>
      <ns0:c r="D562" s="29"/>
      <ns0:c r="E562" s="31"/>
      <ns0:c r="F562" s="32"/>
      <ns0:c r="G562" s="29"/>
      <ns0:c r="H562" s="29"/>
      <ns0:c r="I562" s="29"/>
      <ns0:c r="J562" s="29"/>
      <ns0:c r="K562" s="29"/>
    </ns0:row>
    <ns0:row r="563" ht="28" customHeight="1">
      <ns0:c r="A563" s="29"/>
      <ns0:c r="B563" s="30"/>
      <ns0:c r="C563" s="28"/>
      <ns0:c r="D563" s="29"/>
      <ns0:c r="E563" s="31"/>
      <ns0:c r="F563" s="32"/>
      <ns0:c r="G563" s="29"/>
      <ns0:c r="H563" s="29"/>
      <ns0:c r="I563" s="29"/>
      <ns0:c r="J563" s="29"/>
      <ns0:c r="K563" s="29"/>
    </ns0:row>
    <ns0:row r="564" ht="28" customHeight="1">
      <ns0:c r="A564" s="29"/>
      <ns0:c r="B564" s="30"/>
      <ns0:c r="C564" s="28"/>
      <ns0:c r="D564" s="29"/>
      <ns0:c r="E564" s="31"/>
      <ns0:c r="F564" s="32"/>
      <ns0:c r="G564" s="29"/>
      <ns0:c r="H564" s="29"/>
      <ns0:c r="I564" s="29"/>
      <ns0:c r="J564" s="29"/>
      <ns0:c r="K564" s="29"/>
    </ns0:row>
    <ns0:row r="565" ht="28" customHeight="1">
      <ns0:c r="A565" s="29"/>
      <ns0:c r="B565" s="30"/>
      <ns0:c r="C565" s="28"/>
      <ns0:c r="D565" s="29"/>
      <ns0:c r="E565" s="31"/>
      <ns0:c r="F565" s="32"/>
      <ns0:c r="G565" s="29"/>
      <ns0:c r="H565" s="29"/>
      <ns0:c r="I565" s="29"/>
      <ns0:c r="J565" s="29"/>
      <ns0:c r="K565" s="29"/>
    </ns0:row>
    <ns0:row r="566" ht="28" customHeight="1">
      <ns0:c r="A566" s="29"/>
      <ns0:c r="B566" s="30"/>
      <ns0:c r="C566" s="28"/>
      <ns0:c r="D566" s="29"/>
      <ns0:c r="E566" s="31"/>
      <ns0:c r="F566" s="32"/>
      <ns0:c r="G566" s="29"/>
      <ns0:c r="H566" s="29"/>
      <ns0:c r="I566" s="29"/>
      <ns0:c r="J566" s="29"/>
      <ns0:c r="K566" s="29"/>
    </ns0:row>
    <ns0:row r="567" ht="28" customHeight="1">
      <ns0:c r="A567" s="29"/>
      <ns0:c r="B567" s="30"/>
      <ns0:c r="C567" s="28"/>
      <ns0:c r="D567" s="29"/>
      <ns0:c r="E567" s="31"/>
      <ns0:c r="F567" s="32"/>
      <ns0:c r="G567" s="29"/>
      <ns0:c r="H567" s="29"/>
      <ns0:c r="I567" s="29"/>
      <ns0:c r="J567" s="29"/>
      <ns0:c r="K567" s="29"/>
    </ns0:row>
    <ns0:row r="568" ht="28" customHeight="1">
      <ns0:c r="A568" s="29"/>
      <ns0:c r="B568" s="30"/>
      <ns0:c r="C568" s="28"/>
      <ns0:c r="D568" s="29"/>
      <ns0:c r="E568" s="31"/>
      <ns0:c r="F568" s="32"/>
      <ns0:c r="G568" s="29"/>
      <ns0:c r="H568" s="29"/>
      <ns0:c r="I568" s="29"/>
      <ns0:c r="J568" s="29"/>
      <ns0:c r="K568" s="29"/>
    </ns0:row>
    <ns0:row r="569" ht="28" customHeight="1">
      <ns0:c r="A569" s="29"/>
      <ns0:c r="B569" s="30"/>
      <ns0:c r="C569" s="28"/>
      <ns0:c r="D569" s="29"/>
      <ns0:c r="E569" s="31"/>
      <ns0:c r="F569" s="32"/>
      <ns0:c r="G569" s="29"/>
      <ns0:c r="H569" s="29"/>
      <ns0:c r="I569" s="29"/>
      <ns0:c r="J569" s="29"/>
      <ns0:c r="K569" s="29"/>
    </ns0:row>
    <ns0:row r="570" ht="28" customHeight="1">
      <ns0:c r="A570" s="29"/>
      <ns0:c r="B570" s="30"/>
      <ns0:c r="C570" s="28"/>
      <ns0:c r="D570" s="29"/>
      <ns0:c r="E570" s="31"/>
      <ns0:c r="F570" s="32"/>
      <ns0:c r="G570" s="29"/>
      <ns0:c r="H570" s="29"/>
      <ns0:c r="I570" s="29"/>
      <ns0:c r="J570" s="29"/>
      <ns0:c r="K570" s="29"/>
    </ns0:row>
    <ns0:row r="571" ht="28" customHeight="1">
      <ns0:c r="A571" s="29"/>
      <ns0:c r="B571" s="30"/>
      <ns0:c r="C571" s="28"/>
      <ns0:c r="D571" s="29"/>
      <ns0:c r="E571" s="31"/>
      <ns0:c r="F571" s="32"/>
      <ns0:c r="G571" s="29"/>
      <ns0:c r="H571" s="29"/>
      <ns0:c r="I571" s="29"/>
      <ns0:c r="J571" s="29"/>
      <ns0:c r="K571" s="29"/>
    </ns0:row>
    <ns0:row r="572" ht="28" customHeight="1">
      <ns0:c r="A572" s="29"/>
      <ns0:c r="B572" s="30"/>
      <ns0:c r="C572" s="28"/>
      <ns0:c r="D572" s="29"/>
      <ns0:c r="E572" s="31"/>
      <ns0:c r="F572" s="32"/>
      <ns0:c r="G572" s="29"/>
      <ns0:c r="H572" s="29"/>
      <ns0:c r="I572" s="29"/>
      <ns0:c r="J572" s="29"/>
      <ns0:c r="K572" s="29"/>
    </ns0:row>
    <ns0:row r="573" ht="28" customHeight="1">
      <ns0:c r="A573" s="29"/>
      <ns0:c r="B573" s="30"/>
      <ns0:c r="C573" s="28"/>
      <ns0:c r="D573" s="29"/>
      <ns0:c r="E573" s="31"/>
      <ns0:c r="F573" s="32"/>
      <ns0:c r="G573" s="29"/>
      <ns0:c r="H573" s="29"/>
      <ns0:c r="I573" s="29"/>
      <ns0:c r="J573" s="29"/>
      <ns0:c r="K573" s="29"/>
    </ns0:row>
    <ns0:row r="574" ht="28" customHeight="1">
      <ns0:c r="A574" s="29"/>
      <ns0:c r="B574" s="30"/>
      <ns0:c r="C574" s="28"/>
      <ns0:c r="D574" s="29"/>
      <ns0:c r="E574" s="31"/>
      <ns0:c r="F574" s="32"/>
      <ns0:c r="G574" s="29"/>
      <ns0:c r="H574" s="29"/>
      <ns0:c r="I574" s="29"/>
      <ns0:c r="J574" s="29"/>
      <ns0:c r="K574" s="29"/>
    </ns0:row>
    <ns0:row r="575" ht="28" customHeight="1">
      <ns0:c r="A575" s="29"/>
      <ns0:c r="B575" s="30"/>
      <ns0:c r="C575" s="28"/>
      <ns0:c r="D575" s="29"/>
      <ns0:c r="E575" s="31"/>
      <ns0:c r="F575" s="32"/>
      <ns0:c r="G575" s="29"/>
      <ns0:c r="H575" s="29"/>
      <ns0:c r="I575" s="29"/>
      <ns0:c r="J575" s="29"/>
      <ns0:c r="K575" s="29"/>
    </ns0:row>
    <ns0:row r="576" ht="28" customHeight="1">
      <ns0:c r="A576" s="29"/>
      <ns0:c r="B576" s="30"/>
      <ns0:c r="C576" s="28"/>
      <ns0:c r="D576" s="29"/>
      <ns0:c r="E576" s="31"/>
      <ns0:c r="F576" s="32"/>
      <ns0:c r="G576" s="29"/>
      <ns0:c r="H576" s="29"/>
      <ns0:c r="I576" s="29"/>
      <ns0:c r="J576" s="29"/>
      <ns0:c r="K576" s="29"/>
    </ns0:row>
    <ns0:row r="577" ht="28" customHeight="1">
      <ns0:c r="A577" s="29"/>
      <ns0:c r="B577" s="30"/>
      <ns0:c r="C577" s="28"/>
      <ns0:c r="D577" s="29"/>
      <ns0:c r="E577" s="31"/>
      <ns0:c r="F577" s="32"/>
      <ns0:c r="G577" s="29"/>
      <ns0:c r="H577" s="29"/>
      <ns0:c r="I577" s="29"/>
      <ns0:c r="J577" s="29"/>
      <ns0:c r="K577" s="29"/>
    </ns0:row>
    <ns0:row r="578" ht="28" customHeight="1">
      <ns0:c r="A578" s="29"/>
      <ns0:c r="B578" s="30"/>
      <ns0:c r="C578" s="28"/>
      <ns0:c r="D578" s="29"/>
      <ns0:c r="E578" s="31"/>
      <ns0:c r="F578" s="32"/>
      <ns0:c r="G578" s="29"/>
      <ns0:c r="H578" s="29"/>
      <ns0:c r="I578" s="29"/>
      <ns0:c r="J578" s="29"/>
      <ns0:c r="K578" s="29"/>
    </ns0:row>
    <ns0:row r="579" ht="28" customHeight="1">
      <ns0:c r="A579" s="29"/>
      <ns0:c r="B579" s="30"/>
      <ns0:c r="C579" s="28"/>
      <ns0:c r="D579" s="29"/>
      <ns0:c r="E579" s="31"/>
      <ns0:c r="F579" s="32"/>
      <ns0:c r="G579" s="29"/>
      <ns0:c r="H579" s="29"/>
      <ns0:c r="I579" s="29"/>
      <ns0:c r="J579" s="29"/>
      <ns0:c r="K579" s="29"/>
    </ns0:row>
    <ns0:row r="580" ht="28" customHeight="1">
      <ns0:c r="A580" s="29"/>
      <ns0:c r="B580" s="30"/>
      <ns0:c r="C580" s="28"/>
      <ns0:c r="D580" s="29"/>
      <ns0:c r="E580" s="31"/>
      <ns0:c r="F580" s="32"/>
      <ns0:c r="G580" s="29"/>
      <ns0:c r="H580" s="29"/>
      <ns0:c r="I580" s="29"/>
      <ns0:c r="J580" s="29"/>
      <ns0:c r="K580" s="29"/>
    </ns0:row>
    <ns0:row r="581" ht="28" customHeight="1">
      <ns0:c r="A581" s="29"/>
      <ns0:c r="B581" s="30"/>
      <ns0:c r="C581" s="28"/>
      <ns0:c r="D581" s="29"/>
      <ns0:c r="E581" s="31"/>
      <ns0:c r="F581" s="32"/>
      <ns0:c r="G581" s="29"/>
      <ns0:c r="H581" s="29"/>
      <ns0:c r="I581" s="29"/>
      <ns0:c r="J581" s="29"/>
      <ns0:c r="K581" s="29"/>
    </ns0:row>
    <ns0:row r="582" ht="28" customHeight="1">
      <ns0:c r="A582" s="29"/>
      <ns0:c r="B582" s="30"/>
      <ns0:c r="C582" s="28"/>
      <ns0:c r="D582" s="29"/>
      <ns0:c r="E582" s="31"/>
      <ns0:c r="F582" s="32"/>
      <ns0:c r="G582" s="29"/>
      <ns0:c r="H582" s="29"/>
      <ns0:c r="I582" s="29"/>
      <ns0:c r="J582" s="29"/>
      <ns0:c r="K582" s="29"/>
    </ns0:row>
    <ns0:row r="583" ht="28" customHeight="1">
      <ns0:c r="A583" s="29"/>
      <ns0:c r="B583" s="30"/>
      <ns0:c r="C583" s="28"/>
      <ns0:c r="D583" s="29"/>
      <ns0:c r="E583" s="31"/>
      <ns0:c r="F583" s="32"/>
      <ns0:c r="G583" s="29"/>
      <ns0:c r="H583" s="29"/>
      <ns0:c r="I583" s="29"/>
      <ns0:c r="J583" s="29"/>
      <ns0:c r="K583" s="29"/>
    </ns0:row>
    <ns0:row r="584" ht="28" customHeight="1">
      <ns0:c r="A584" s="29"/>
      <ns0:c r="B584" s="30"/>
      <ns0:c r="C584" s="28"/>
      <ns0:c r="D584" s="29"/>
      <ns0:c r="E584" s="31"/>
      <ns0:c r="F584" s="32"/>
      <ns0:c r="G584" s="29"/>
      <ns0:c r="H584" s="29"/>
      <ns0:c r="I584" s="29"/>
      <ns0:c r="J584" s="29"/>
      <ns0:c r="K584" s="29"/>
    </ns0:row>
    <ns0:row r="585" ht="28" customHeight="1">
      <ns0:c r="A585" s="29"/>
      <ns0:c r="B585" s="30"/>
      <ns0:c r="C585" s="28"/>
      <ns0:c r="D585" s="29"/>
      <ns0:c r="E585" s="31"/>
      <ns0:c r="F585" s="32"/>
      <ns0:c r="G585" s="29"/>
      <ns0:c r="H585" s="29"/>
      <ns0:c r="I585" s="29"/>
      <ns0:c r="J585" s="29"/>
      <ns0:c r="K585" s="29"/>
    </ns0:row>
    <ns0:row r="586" ht="28" customHeight="1">
      <ns0:c r="A586" s="29"/>
      <ns0:c r="B586" s="30"/>
      <ns0:c r="C586" s="28"/>
      <ns0:c r="D586" s="29"/>
      <ns0:c r="E586" s="31"/>
      <ns0:c r="F586" s="32"/>
      <ns0:c r="G586" s="29"/>
      <ns0:c r="H586" s="29"/>
      <ns0:c r="I586" s="29"/>
      <ns0:c r="J586" s="29"/>
      <ns0:c r="K586" s="29"/>
    </ns0:row>
    <ns0:row r="587" ht="28" customHeight="1">
      <ns0:c r="A587" s="29"/>
      <ns0:c r="B587" s="30"/>
      <ns0:c r="C587" s="28"/>
      <ns0:c r="D587" s="29"/>
      <ns0:c r="E587" s="31"/>
      <ns0:c r="F587" s="32"/>
      <ns0:c r="G587" s="29"/>
      <ns0:c r="H587" s="29"/>
      <ns0:c r="I587" s="29"/>
      <ns0:c r="J587" s="29"/>
      <ns0:c r="K587" s="29"/>
    </ns0:row>
    <ns0:row r="588" ht="28" customHeight="1">
      <ns0:c r="A588" s="29"/>
      <ns0:c r="B588" s="30"/>
      <ns0:c r="C588" s="28"/>
      <ns0:c r="D588" s="29"/>
      <ns0:c r="E588" s="31"/>
      <ns0:c r="F588" s="32"/>
      <ns0:c r="G588" s="29"/>
      <ns0:c r="H588" s="29"/>
      <ns0:c r="I588" s="29"/>
      <ns0:c r="J588" s="29"/>
      <ns0:c r="K588" s="29"/>
    </ns0:row>
    <ns0:row r="589" ht="28" customHeight="1">
      <ns0:c r="A589" s="29"/>
      <ns0:c r="B589" s="30"/>
      <ns0:c r="C589" s="28"/>
      <ns0:c r="D589" s="29"/>
      <ns0:c r="E589" s="31"/>
      <ns0:c r="F589" s="32"/>
      <ns0:c r="G589" s="29"/>
      <ns0:c r="H589" s="29"/>
      <ns0:c r="I589" s="29"/>
      <ns0:c r="J589" s="29"/>
      <ns0:c r="K589" s="29"/>
    </ns0:row>
    <ns0:row r="590" ht="28" customHeight="1">
      <ns0:c r="A590" s="29"/>
      <ns0:c r="B590" s="30"/>
      <ns0:c r="C590" s="28"/>
      <ns0:c r="D590" s="29"/>
      <ns0:c r="E590" s="31"/>
      <ns0:c r="F590" s="32"/>
      <ns0:c r="G590" s="29"/>
      <ns0:c r="H590" s="29"/>
      <ns0:c r="I590" s="29"/>
      <ns0:c r="J590" s="29"/>
      <ns0:c r="K590" s="29"/>
    </ns0:row>
    <ns0:row r="591" ht="28" customHeight="1">
      <ns0:c r="A591" s="29"/>
      <ns0:c r="B591" s="30"/>
      <ns0:c r="C591" s="28"/>
      <ns0:c r="D591" s="29"/>
      <ns0:c r="E591" s="31"/>
      <ns0:c r="F591" s="32"/>
      <ns0:c r="G591" s="29"/>
      <ns0:c r="H591" s="29"/>
      <ns0:c r="I591" s="29"/>
      <ns0:c r="J591" s="29"/>
      <ns0:c r="K591" s="29"/>
    </ns0:row>
    <ns0:row r="592" ht="28" customHeight="1">
      <ns0:c r="A592" s="29"/>
      <ns0:c r="B592" s="30"/>
      <ns0:c r="C592" s="28"/>
      <ns0:c r="D592" s="29"/>
      <ns0:c r="E592" s="31"/>
      <ns0:c r="F592" s="32"/>
      <ns0:c r="G592" s="29"/>
      <ns0:c r="H592" s="29"/>
      <ns0:c r="I592" s="29"/>
      <ns0:c r="J592" s="29"/>
      <ns0:c r="K592" s="29"/>
    </ns0:row>
    <ns0:row r="593" ht="28" customHeight="1">
      <ns0:c r="A593" s="29"/>
      <ns0:c r="B593" s="30"/>
      <ns0:c r="C593" s="28"/>
      <ns0:c r="D593" s="29"/>
      <ns0:c r="E593" s="31"/>
      <ns0:c r="F593" s="32"/>
      <ns0:c r="G593" s="29"/>
      <ns0:c r="H593" s="29"/>
      <ns0:c r="I593" s="29"/>
      <ns0:c r="J593" s="29"/>
      <ns0:c r="K593" s="29"/>
    </ns0:row>
    <ns0:row r="594" ht="28" customHeight="1">
      <ns0:c r="A594" s="29"/>
      <ns0:c r="B594" s="30"/>
      <ns0:c r="C594" s="28"/>
      <ns0:c r="D594" s="29"/>
      <ns0:c r="E594" s="31"/>
      <ns0:c r="F594" s="32"/>
      <ns0:c r="G594" s="29"/>
      <ns0:c r="H594" s="29"/>
      <ns0:c r="I594" s="29"/>
      <ns0:c r="J594" s="29"/>
      <ns0:c r="K594" s="29"/>
    </ns0:row>
    <ns0:row r="595" ht="28" customHeight="1">
      <ns0:c r="A595" s="29"/>
      <ns0:c r="B595" s="30"/>
      <ns0:c r="C595" s="28"/>
      <ns0:c r="D595" s="29"/>
      <ns0:c r="E595" s="31"/>
      <ns0:c r="F595" s="32"/>
      <ns0:c r="G595" s="29"/>
      <ns0:c r="H595" s="29"/>
      <ns0:c r="I595" s="29"/>
      <ns0:c r="J595" s="29"/>
      <ns0:c r="K595" s="29"/>
    </ns0:row>
    <ns0:row r="596" ht="28" customHeight="1">
      <ns0:c r="A596" s="29"/>
      <ns0:c r="B596" s="30"/>
      <ns0:c r="C596" s="28"/>
      <ns0:c r="D596" s="29"/>
      <ns0:c r="E596" s="31"/>
      <ns0:c r="F596" s="32"/>
      <ns0:c r="G596" s="29"/>
      <ns0:c r="H596" s="29"/>
      <ns0:c r="I596" s="29"/>
      <ns0:c r="J596" s="29"/>
      <ns0:c r="K596" s="29"/>
    </ns0:row>
    <ns0:row r="597" ht="28" customHeight="1">
      <ns0:c r="A597" s="29"/>
      <ns0:c r="B597" s="30"/>
      <ns0:c r="C597" s="28"/>
      <ns0:c r="D597" s="29"/>
      <ns0:c r="E597" s="31"/>
      <ns0:c r="F597" s="32"/>
      <ns0:c r="G597" s="29"/>
      <ns0:c r="H597" s="29"/>
      <ns0:c r="I597" s="29"/>
      <ns0:c r="J597" s="29"/>
      <ns0:c r="K597" s="29"/>
    </ns0:row>
    <ns0:row r="598" ht="28" customHeight="1">
      <ns0:c r="A598" s="29"/>
      <ns0:c r="B598" s="30"/>
      <ns0:c r="C598" s="28"/>
      <ns0:c r="D598" s="29"/>
      <ns0:c r="E598" s="31"/>
      <ns0:c r="F598" s="32"/>
      <ns0:c r="G598" s="29"/>
      <ns0:c r="H598" s="29"/>
      <ns0:c r="I598" s="29"/>
      <ns0:c r="J598" s="29"/>
      <ns0:c r="K598" s="29"/>
    </ns0:row>
    <ns0:row r="599" ht="28" customHeight="1">
      <ns0:c r="A599" s="29"/>
      <ns0:c r="B599" s="30"/>
      <ns0:c r="C599" s="28"/>
      <ns0:c r="D599" s="29"/>
      <ns0:c r="E599" s="31"/>
      <ns0:c r="F599" s="32"/>
      <ns0:c r="G599" s="29"/>
      <ns0:c r="H599" s="29"/>
      <ns0:c r="I599" s="29"/>
      <ns0:c r="J599" s="29"/>
      <ns0:c r="K599" s="29"/>
    </ns0:row>
    <ns0:row r="600" ht="28" customHeight="1">
      <ns0:c r="A600" s="29"/>
      <ns0:c r="B600" s="30"/>
      <ns0:c r="C600" s="28"/>
      <ns0:c r="D600" s="29"/>
      <ns0:c r="E600" s="31"/>
      <ns0:c r="F600" s="32"/>
      <ns0:c r="G600" s="29"/>
      <ns0:c r="H600" s="29"/>
      <ns0:c r="I600" s="29"/>
      <ns0:c r="J600" s="29"/>
      <ns0:c r="K600" s="29"/>
    </ns0:row>
    <ns0:row r="601" ht="28" customHeight="1">
      <ns0:c r="A601" s="29"/>
      <ns0:c r="B601" s="30"/>
      <ns0:c r="C601" s="28"/>
      <ns0:c r="D601" s="29"/>
      <ns0:c r="E601" s="31"/>
      <ns0:c r="F601" s="32"/>
      <ns0:c r="G601" s="29"/>
      <ns0:c r="H601" s="29"/>
      <ns0:c r="I601" s="29"/>
      <ns0:c r="J601" s="29"/>
      <ns0:c r="K601" s="29"/>
    </ns0:row>
    <ns0:row r="602" ht="28" customHeight="1">
      <ns0:c r="A602" s="29"/>
      <ns0:c r="B602" s="30"/>
      <ns0:c r="C602" s="28"/>
      <ns0:c r="D602" s="29"/>
      <ns0:c r="E602" s="31"/>
      <ns0:c r="F602" s="32"/>
      <ns0:c r="G602" s="29"/>
      <ns0:c r="H602" s="29"/>
      <ns0:c r="I602" s="29"/>
      <ns0:c r="J602" s="29"/>
      <ns0:c r="K602" s="29"/>
    </ns0:row>
    <ns0:row r="603" ht="28" customHeight="1">
      <ns0:c r="A603" s="29"/>
      <ns0:c r="B603" s="30"/>
      <ns0:c r="C603" s="28"/>
      <ns0:c r="D603" s="29"/>
      <ns0:c r="E603" s="31"/>
      <ns0:c r="F603" s="32"/>
      <ns0:c r="G603" s="29"/>
      <ns0:c r="H603" s="29"/>
      <ns0:c r="I603" s="29"/>
      <ns0:c r="J603" s="29"/>
      <ns0:c r="K603" s="29"/>
    </ns0:row>
    <ns0:row r="604" ht="28" customHeight="1">
      <ns0:c r="A604" s="29"/>
      <ns0:c r="B604" s="30"/>
      <ns0:c r="C604" s="28"/>
      <ns0:c r="D604" s="29"/>
      <ns0:c r="E604" s="31"/>
      <ns0:c r="F604" s="32"/>
      <ns0:c r="G604" s="29"/>
      <ns0:c r="H604" s="29"/>
      <ns0:c r="I604" s="29"/>
      <ns0:c r="J604" s="29"/>
      <ns0:c r="K604" s="29"/>
    </ns0:row>
    <ns0:row r="605" ht="28" customHeight="1">
      <ns0:c r="A605" s="29"/>
      <ns0:c r="B605" s="30"/>
      <ns0:c r="C605" s="28"/>
      <ns0:c r="D605" s="29"/>
      <ns0:c r="E605" s="31"/>
      <ns0:c r="F605" s="32"/>
      <ns0:c r="G605" s="29"/>
      <ns0:c r="H605" s="29"/>
      <ns0:c r="I605" s="29"/>
      <ns0:c r="J605" s="29"/>
      <ns0:c r="K605" s="29"/>
    </ns0:row>
    <ns0:row r="606" ht="28" customHeight="1">
      <ns0:c r="A606" s="29"/>
      <ns0:c r="B606" s="30"/>
      <ns0:c r="C606" s="28"/>
      <ns0:c r="D606" s="29"/>
      <ns0:c r="E606" s="31"/>
      <ns0:c r="F606" s="32"/>
      <ns0:c r="G606" s="29"/>
      <ns0:c r="H606" s="29"/>
      <ns0:c r="I606" s="29"/>
      <ns0:c r="J606" s="29"/>
      <ns0:c r="K606" s="29"/>
    </ns0:row>
    <ns0:row r="607" ht="28" customHeight="1">
      <ns0:c r="A607" s="29"/>
      <ns0:c r="B607" s="30"/>
      <ns0:c r="C607" s="28"/>
      <ns0:c r="D607" s="29"/>
      <ns0:c r="E607" s="31"/>
      <ns0:c r="F607" s="32"/>
      <ns0:c r="G607" s="29"/>
      <ns0:c r="H607" s="29"/>
      <ns0:c r="I607" s="29"/>
      <ns0:c r="J607" s="29"/>
      <ns0:c r="K607" s="29"/>
    </ns0:row>
    <ns0:row r="608" ht="28" customHeight="1">
      <ns0:c r="A608" s="29"/>
      <ns0:c r="B608" s="30"/>
      <ns0:c r="C608" s="28"/>
      <ns0:c r="D608" s="29"/>
      <ns0:c r="E608" s="31"/>
      <ns0:c r="F608" s="32"/>
      <ns0:c r="G608" s="29"/>
      <ns0:c r="H608" s="29"/>
      <ns0:c r="I608" s="29"/>
      <ns0:c r="J608" s="29"/>
      <ns0:c r="K608" s="29"/>
    </ns0:row>
    <ns0:row r="609" ht="28" customHeight="1">
      <ns0:c r="A609" s="29"/>
      <ns0:c r="B609" s="30"/>
      <ns0:c r="C609" s="28"/>
      <ns0:c r="D609" s="29"/>
      <ns0:c r="E609" s="31"/>
      <ns0:c r="F609" s="32"/>
      <ns0:c r="G609" s="29"/>
      <ns0:c r="H609" s="29"/>
      <ns0:c r="I609" s="29"/>
      <ns0:c r="J609" s="29"/>
      <ns0:c r="K609" s="29"/>
    </ns0:row>
    <ns0:row r="610" ht="28" customHeight="1">
      <ns0:c r="A610" s="29"/>
      <ns0:c r="B610" s="30"/>
      <ns0:c r="C610" s="28"/>
      <ns0:c r="D610" s="29"/>
      <ns0:c r="E610" s="31"/>
      <ns0:c r="F610" s="32"/>
      <ns0:c r="G610" s="29"/>
      <ns0:c r="H610" s="29"/>
      <ns0:c r="I610" s="29"/>
      <ns0:c r="J610" s="29"/>
      <ns0:c r="K610" s="29"/>
    </ns0:row>
    <ns0:row r="611" ht="28" customHeight="1">
      <ns0:c r="A611" s="29"/>
      <ns0:c r="B611" s="30"/>
      <ns0:c r="C611" s="28"/>
      <ns0:c r="D611" s="29"/>
      <ns0:c r="E611" s="31"/>
      <ns0:c r="F611" s="32"/>
      <ns0:c r="G611" s="29"/>
      <ns0:c r="H611" s="29"/>
      <ns0:c r="I611" s="29"/>
      <ns0:c r="J611" s="29"/>
      <ns0:c r="K611" s="29"/>
    </ns0:row>
    <ns0:row r="612" ht="28" customHeight="1">
      <ns0:c r="A612" s="29"/>
      <ns0:c r="B612" s="30"/>
      <ns0:c r="C612" s="28"/>
      <ns0:c r="D612" s="29"/>
      <ns0:c r="E612" s="31"/>
      <ns0:c r="F612" s="32"/>
      <ns0:c r="G612" s="29"/>
      <ns0:c r="H612" s="29"/>
      <ns0:c r="I612" s="29"/>
      <ns0:c r="J612" s="29"/>
      <ns0:c r="K612" s="29"/>
    </ns0:row>
    <ns0:row r="613" ht="28" customHeight="1">
      <ns0:c r="A613" s="29"/>
      <ns0:c r="B613" s="30"/>
      <ns0:c r="C613" s="28"/>
      <ns0:c r="D613" s="29"/>
      <ns0:c r="E613" s="31"/>
      <ns0:c r="F613" s="32"/>
      <ns0:c r="G613" s="29"/>
      <ns0:c r="H613" s="29"/>
      <ns0:c r="I613" s="29"/>
      <ns0:c r="J613" s="29"/>
      <ns0:c r="K613" s="29"/>
    </ns0:row>
    <ns0:row r="614" ht="28" customHeight="1">
      <ns0:c r="A614" s="29"/>
      <ns0:c r="B614" s="30"/>
      <ns0:c r="C614" s="28"/>
      <ns0:c r="D614" s="29"/>
      <ns0:c r="E614" s="31"/>
      <ns0:c r="F614" s="32"/>
      <ns0:c r="G614" s="29"/>
      <ns0:c r="H614" s="29"/>
      <ns0:c r="I614" s="29"/>
      <ns0:c r="J614" s="29"/>
      <ns0:c r="K614" s="29"/>
    </ns0:row>
    <ns0:row r="615" ht="28" customHeight="1">
      <ns0:c r="A615" s="29"/>
      <ns0:c r="B615" s="30"/>
      <ns0:c r="C615" s="28"/>
      <ns0:c r="D615" s="29"/>
      <ns0:c r="E615" s="31"/>
      <ns0:c r="F615" s="32"/>
      <ns0:c r="G615" s="29"/>
      <ns0:c r="H615" s="29"/>
      <ns0:c r="I615" s="29"/>
      <ns0:c r="J615" s="29"/>
      <ns0:c r="K615" s="29"/>
    </ns0:row>
    <ns0:row r="616" ht="28" customHeight="1">
      <ns0:c r="A616" s="29"/>
      <ns0:c r="B616" s="30"/>
      <ns0:c r="C616" s="28"/>
      <ns0:c r="D616" s="29"/>
      <ns0:c r="E616" s="31"/>
      <ns0:c r="F616" s="32"/>
      <ns0:c r="G616" s="29"/>
      <ns0:c r="H616" s="29"/>
      <ns0:c r="I616" s="29"/>
      <ns0:c r="J616" s="29"/>
      <ns0:c r="K616" s="29"/>
    </ns0:row>
    <ns0:row r="617" ht="28" customHeight="1">
      <ns0:c r="A617" s="29"/>
      <ns0:c r="B617" s="30"/>
      <ns0:c r="C617" s="28"/>
      <ns0:c r="D617" s="29"/>
      <ns0:c r="E617" s="31"/>
      <ns0:c r="F617" s="32"/>
      <ns0:c r="G617" s="29"/>
      <ns0:c r="H617" s="29"/>
      <ns0:c r="I617" s="29"/>
      <ns0:c r="J617" s="29"/>
      <ns0:c r="K617" s="29"/>
    </ns0:row>
    <ns0:row r="618" ht="28" customHeight="1">
      <ns0:c r="A618" s="29"/>
      <ns0:c r="B618" s="30"/>
      <ns0:c r="C618" s="28"/>
      <ns0:c r="D618" s="29"/>
      <ns0:c r="E618" s="31"/>
      <ns0:c r="F618" s="32"/>
      <ns0:c r="G618" s="29"/>
      <ns0:c r="H618" s="29"/>
      <ns0:c r="I618" s="29"/>
      <ns0:c r="J618" s="29"/>
      <ns0:c r="K618" s="29"/>
    </ns0:row>
    <ns0:row r="619" ht="28" customHeight="1">
      <ns0:c r="A619" s="29"/>
      <ns0:c r="B619" s="30"/>
      <ns0:c r="C619" s="28"/>
      <ns0:c r="D619" s="29"/>
      <ns0:c r="E619" s="31"/>
      <ns0:c r="F619" s="32"/>
      <ns0:c r="G619" s="29"/>
      <ns0:c r="H619" s="29"/>
      <ns0:c r="I619" s="29"/>
      <ns0:c r="J619" s="29"/>
      <ns0:c r="K619" s="29"/>
    </ns0:row>
    <ns0:row r="620" ht="28" customHeight="1">
      <ns0:c r="A620" s="29"/>
      <ns0:c r="B620" s="30"/>
      <ns0:c r="C620" s="28"/>
      <ns0:c r="D620" s="29"/>
      <ns0:c r="E620" s="31"/>
      <ns0:c r="F620" s="32"/>
      <ns0:c r="G620" s="29"/>
      <ns0:c r="H620" s="29"/>
      <ns0:c r="I620" s="29"/>
      <ns0:c r="J620" s="29"/>
      <ns0:c r="K620" s="29"/>
    </ns0:row>
    <ns0:row r="621" ht="28" customHeight="1">
      <ns0:c r="A621" s="29"/>
      <ns0:c r="B621" s="30"/>
      <ns0:c r="C621" s="28"/>
      <ns0:c r="D621" s="29"/>
      <ns0:c r="E621" s="31"/>
      <ns0:c r="F621" s="32"/>
      <ns0:c r="G621" s="29"/>
      <ns0:c r="H621" s="29"/>
      <ns0:c r="I621" s="29"/>
      <ns0:c r="J621" s="29"/>
      <ns0:c r="K621" s="29"/>
    </ns0:row>
    <ns0:row r="622" ht="28" customHeight="1">
      <ns0:c r="A622" s="29"/>
      <ns0:c r="B622" s="30"/>
      <ns0:c r="C622" s="28"/>
      <ns0:c r="D622" s="29"/>
      <ns0:c r="E622" s="31"/>
      <ns0:c r="F622" s="32"/>
      <ns0:c r="G622" s="29"/>
      <ns0:c r="H622" s="29"/>
      <ns0:c r="I622" s="29"/>
      <ns0:c r="J622" s="29"/>
      <ns0:c r="K622" s="29"/>
    </ns0:row>
    <ns0:row r="623" ht="28" customHeight="1">
      <ns0:c r="A623" s="29"/>
      <ns0:c r="B623" s="30"/>
      <ns0:c r="C623" s="28"/>
      <ns0:c r="D623" s="29"/>
      <ns0:c r="E623" s="31"/>
      <ns0:c r="F623" s="32"/>
      <ns0:c r="G623" s="29"/>
      <ns0:c r="H623" s="29"/>
      <ns0:c r="I623" s="29"/>
      <ns0:c r="J623" s="29"/>
      <ns0:c r="K623" s="29"/>
    </ns0:row>
    <ns0:row r="624" ht="28" customHeight="1">
      <ns0:c r="A624" s="29"/>
      <ns0:c r="B624" s="30"/>
      <ns0:c r="C624" s="28"/>
      <ns0:c r="D624" s="29"/>
      <ns0:c r="E624" s="31"/>
      <ns0:c r="F624" s="32"/>
      <ns0:c r="G624" s="29"/>
      <ns0:c r="H624" s="29"/>
      <ns0:c r="I624" s="29"/>
      <ns0:c r="J624" s="29"/>
      <ns0:c r="K624" s="29"/>
    </ns0:row>
    <ns0:row r="625" ht="28" customHeight="1">
      <ns0:c r="A625" s="29"/>
      <ns0:c r="B625" s="30"/>
      <ns0:c r="C625" s="28"/>
      <ns0:c r="D625" s="29"/>
      <ns0:c r="E625" s="31"/>
      <ns0:c r="F625" s="32"/>
      <ns0:c r="G625" s="29"/>
      <ns0:c r="H625" s="29"/>
      <ns0:c r="I625" s="29"/>
      <ns0:c r="J625" s="29"/>
      <ns0:c r="K625" s="29"/>
    </ns0:row>
    <ns0:row r="626" ht="28" customHeight="1">
      <ns0:c r="A626" s="29"/>
      <ns0:c r="B626" s="30"/>
      <ns0:c r="C626" s="28"/>
      <ns0:c r="D626" s="29"/>
      <ns0:c r="E626" s="31"/>
      <ns0:c r="F626" s="32"/>
      <ns0:c r="G626" s="29"/>
      <ns0:c r="H626" s="29"/>
      <ns0:c r="I626" s="29"/>
      <ns0:c r="J626" s="29"/>
      <ns0:c r="K626" s="29"/>
    </ns0:row>
    <ns0:row r="627" ht="28" customHeight="1">
      <ns0:c r="A627" s="29"/>
      <ns0:c r="B627" s="30"/>
      <ns0:c r="C627" s="28"/>
      <ns0:c r="D627" s="29"/>
      <ns0:c r="E627" s="31"/>
      <ns0:c r="F627" s="32"/>
      <ns0:c r="G627" s="29"/>
      <ns0:c r="H627" s="29"/>
      <ns0:c r="I627" s="29"/>
      <ns0:c r="J627" s="29"/>
      <ns0:c r="K627" s="29"/>
    </ns0:row>
    <ns0:row r="628" ht="28" customHeight="1">
      <ns0:c r="A628" s="29"/>
      <ns0:c r="B628" s="30"/>
      <ns0:c r="C628" s="28"/>
      <ns0:c r="D628" s="29"/>
      <ns0:c r="E628" s="31"/>
      <ns0:c r="F628" s="32"/>
      <ns0:c r="G628" s="29"/>
      <ns0:c r="H628" s="29"/>
      <ns0:c r="I628" s="29"/>
      <ns0:c r="J628" s="29"/>
      <ns0:c r="K628" s="29"/>
    </ns0:row>
    <ns0:row r="629" ht="28" customHeight="1">
      <ns0:c r="A629" s="29"/>
      <ns0:c r="B629" s="30"/>
      <ns0:c r="C629" s="28"/>
      <ns0:c r="D629" s="29"/>
      <ns0:c r="E629" s="31"/>
      <ns0:c r="F629" s="32"/>
      <ns0:c r="G629" s="29"/>
      <ns0:c r="H629" s="29"/>
      <ns0:c r="I629" s="29"/>
      <ns0:c r="J629" s="29"/>
      <ns0:c r="K629" s="29"/>
    </ns0:row>
    <ns0:row r="630" ht="28" customHeight="1">
      <ns0:c r="A630" s="29"/>
      <ns0:c r="B630" s="30"/>
      <ns0:c r="C630" s="28"/>
      <ns0:c r="D630" s="29"/>
      <ns0:c r="E630" s="31"/>
      <ns0:c r="F630" s="32"/>
      <ns0:c r="G630" s="29"/>
      <ns0:c r="H630" s="29"/>
      <ns0:c r="I630" s="29"/>
      <ns0:c r="J630" s="29"/>
      <ns0:c r="K630" s="29"/>
    </ns0:row>
    <ns0:row r="631" ht="28" customHeight="1">
      <ns0:c r="A631" s="29"/>
      <ns0:c r="B631" s="30"/>
      <ns0:c r="C631" s="28"/>
      <ns0:c r="D631" s="29"/>
      <ns0:c r="E631" s="31"/>
      <ns0:c r="F631" s="32"/>
      <ns0:c r="G631" s="29"/>
      <ns0:c r="H631" s="29"/>
      <ns0:c r="I631" s="29"/>
      <ns0:c r="J631" s="29"/>
      <ns0:c r="K631" s="29"/>
    </ns0:row>
    <ns0:row r="632" ht="28" customHeight="1">
      <ns0:c r="A632" s="29"/>
      <ns0:c r="B632" s="30"/>
      <ns0:c r="C632" s="28"/>
      <ns0:c r="D632" s="29"/>
      <ns0:c r="E632" s="31"/>
      <ns0:c r="F632" s="32"/>
      <ns0:c r="G632" s="29"/>
      <ns0:c r="H632" s="29"/>
      <ns0:c r="I632" s="29"/>
      <ns0:c r="J632" s="29"/>
      <ns0:c r="K632" s="29"/>
    </ns0:row>
    <ns0:row r="633" ht="28" customHeight="1">
      <ns0:c r="A633" s="29"/>
      <ns0:c r="B633" s="30"/>
      <ns0:c r="C633" s="28"/>
      <ns0:c r="D633" s="29"/>
      <ns0:c r="E633" s="31"/>
      <ns0:c r="F633" s="32"/>
      <ns0:c r="G633" s="29"/>
      <ns0:c r="H633" s="29"/>
      <ns0:c r="I633" s="29"/>
      <ns0:c r="J633" s="29"/>
      <ns0:c r="K633" s="29"/>
    </ns0:row>
    <ns0:row r="634" ht="28" customHeight="1">
      <ns0:c r="A634" s="29"/>
      <ns0:c r="B634" s="30"/>
      <ns0:c r="C634" s="28"/>
      <ns0:c r="D634" s="29"/>
      <ns0:c r="E634" s="31"/>
      <ns0:c r="F634" s="32"/>
      <ns0:c r="G634" s="29"/>
      <ns0:c r="H634" s="29"/>
      <ns0:c r="I634" s="29"/>
      <ns0:c r="J634" s="29"/>
      <ns0:c r="K634" s="29"/>
    </ns0:row>
    <ns0:row r="635" ht="28" customHeight="1">
      <ns0:c r="A635" s="29"/>
      <ns0:c r="B635" s="30"/>
      <ns0:c r="C635" s="28"/>
      <ns0:c r="D635" s="29"/>
      <ns0:c r="E635" s="31"/>
      <ns0:c r="F635" s="32"/>
      <ns0:c r="G635" s="29"/>
      <ns0:c r="H635" s="29"/>
      <ns0:c r="I635" s="29"/>
      <ns0:c r="J635" s="29"/>
      <ns0:c r="K635" s="29"/>
    </ns0:row>
    <ns0:row r="636" ht="28" customHeight="1">
      <ns0:c r="A636" s="29"/>
      <ns0:c r="B636" s="30"/>
      <ns0:c r="C636" s="28"/>
      <ns0:c r="D636" s="29"/>
      <ns0:c r="E636" s="31"/>
      <ns0:c r="F636" s="32"/>
      <ns0:c r="G636" s="29"/>
      <ns0:c r="H636" s="29"/>
      <ns0:c r="I636" s="29"/>
      <ns0:c r="J636" s="29"/>
      <ns0:c r="K636" s="29"/>
    </ns0:row>
    <ns0:row r="637" ht="28" customHeight="1">
      <ns0:c r="A637" s="29"/>
      <ns0:c r="B637" s="30"/>
      <ns0:c r="C637" s="28"/>
      <ns0:c r="D637" s="29"/>
      <ns0:c r="E637" s="31"/>
      <ns0:c r="F637" s="32"/>
      <ns0:c r="G637" s="29"/>
      <ns0:c r="H637" s="29"/>
      <ns0:c r="I637" s="29"/>
      <ns0:c r="J637" s="29"/>
      <ns0:c r="K637" s="29"/>
    </ns0:row>
    <ns0:row r="638" ht="28" customHeight="1">
      <ns0:c r="A638" s="29"/>
      <ns0:c r="B638" s="30"/>
      <ns0:c r="C638" s="28"/>
      <ns0:c r="D638" s="29"/>
      <ns0:c r="E638" s="31"/>
      <ns0:c r="F638" s="32"/>
      <ns0:c r="G638" s="29"/>
      <ns0:c r="H638" s="29"/>
      <ns0:c r="I638" s="29"/>
      <ns0:c r="J638" s="29"/>
      <ns0:c r="K638" s="29"/>
    </ns0:row>
    <ns0:row r="639" ht="28" customHeight="1">
      <ns0:c r="A639" s="29"/>
      <ns0:c r="B639" s="30"/>
      <ns0:c r="C639" s="28"/>
      <ns0:c r="D639" s="29"/>
      <ns0:c r="E639" s="31"/>
      <ns0:c r="F639" s="32"/>
      <ns0:c r="G639" s="29"/>
      <ns0:c r="H639" s="29"/>
      <ns0:c r="I639" s="29"/>
      <ns0:c r="J639" s="29"/>
      <ns0:c r="K639" s="29"/>
    </ns0:row>
    <ns0:row r="640" ht="28" customHeight="1">
      <ns0:c r="A640" s="29"/>
      <ns0:c r="B640" s="30"/>
      <ns0:c r="C640" s="28"/>
      <ns0:c r="D640" s="29"/>
      <ns0:c r="E640" s="31"/>
      <ns0:c r="F640" s="32"/>
      <ns0:c r="G640" s="29"/>
      <ns0:c r="H640" s="29"/>
      <ns0:c r="I640" s="29"/>
      <ns0:c r="J640" s="29"/>
      <ns0:c r="K640" s="29"/>
    </ns0:row>
    <ns0:row r="641" ht="28" customHeight="1">
      <ns0:c r="A641" s="29"/>
      <ns0:c r="B641" s="30"/>
      <ns0:c r="C641" s="28"/>
      <ns0:c r="D641" s="29"/>
      <ns0:c r="E641" s="31"/>
      <ns0:c r="F641" s="32"/>
      <ns0:c r="G641" s="29"/>
      <ns0:c r="H641" s="29"/>
      <ns0:c r="I641" s="29"/>
      <ns0:c r="J641" s="29"/>
      <ns0:c r="K641" s="29"/>
    </ns0:row>
    <ns0:row r="642" ht="28" customHeight="1">
      <ns0:c r="A642" s="29"/>
      <ns0:c r="B642" s="30"/>
      <ns0:c r="C642" s="28"/>
      <ns0:c r="D642" s="29"/>
      <ns0:c r="E642" s="31"/>
      <ns0:c r="F642" s="32"/>
      <ns0:c r="G642" s="29"/>
      <ns0:c r="H642" s="29"/>
      <ns0:c r="I642" s="29"/>
      <ns0:c r="J642" s="29"/>
      <ns0:c r="K642" s="29"/>
    </ns0:row>
    <ns0:row r="643" ht="28" customHeight="1">
      <ns0:c r="A643" s="29"/>
      <ns0:c r="B643" s="30"/>
      <ns0:c r="C643" s="28"/>
      <ns0:c r="D643" s="29"/>
      <ns0:c r="E643" s="31"/>
      <ns0:c r="F643" s="32"/>
      <ns0:c r="G643" s="29"/>
      <ns0:c r="H643" s="29"/>
      <ns0:c r="I643" s="29"/>
      <ns0:c r="J643" s="29"/>
      <ns0:c r="K643" s="29"/>
    </ns0:row>
    <ns0:row r="644" ht="28" customHeight="1">
      <ns0:c r="A644" s="29"/>
      <ns0:c r="B644" s="30"/>
      <ns0:c r="C644" s="28"/>
      <ns0:c r="D644" s="29"/>
      <ns0:c r="E644" s="31"/>
      <ns0:c r="F644" s="32"/>
      <ns0:c r="G644" s="29"/>
      <ns0:c r="H644" s="29"/>
      <ns0:c r="I644" s="29"/>
      <ns0:c r="J644" s="29"/>
      <ns0:c r="K644" s="29"/>
    </ns0:row>
    <ns0:row r="645" ht="28" customHeight="1">
      <ns0:c r="A645" s="29"/>
      <ns0:c r="B645" s="30"/>
      <ns0:c r="C645" s="28"/>
      <ns0:c r="D645" s="29"/>
      <ns0:c r="E645" s="31"/>
      <ns0:c r="F645" s="32"/>
      <ns0:c r="G645" s="29"/>
      <ns0:c r="H645" s="29"/>
      <ns0:c r="I645" s="29"/>
      <ns0:c r="J645" s="29"/>
      <ns0:c r="K645" s="29"/>
    </ns0:row>
    <ns0:row r="646" ht="28" customHeight="1">
      <ns0:c r="A646" s="29"/>
      <ns0:c r="B646" s="30"/>
      <ns0:c r="C646" s="28"/>
      <ns0:c r="D646" s="29"/>
      <ns0:c r="E646" s="31"/>
      <ns0:c r="F646" s="32"/>
      <ns0:c r="G646" s="29"/>
      <ns0:c r="H646" s="29"/>
      <ns0:c r="I646" s="29"/>
      <ns0:c r="J646" s="29"/>
      <ns0:c r="K646" s="29"/>
    </ns0:row>
    <ns0:row r="647" ht="28" customHeight="1">
      <ns0:c r="A647" s="29"/>
      <ns0:c r="B647" s="30"/>
      <ns0:c r="C647" s="28"/>
      <ns0:c r="D647" s="29"/>
      <ns0:c r="E647" s="31"/>
      <ns0:c r="F647" s="32"/>
      <ns0:c r="G647" s="29"/>
      <ns0:c r="H647" s="29"/>
      <ns0:c r="I647" s="29"/>
      <ns0:c r="J647" s="29"/>
      <ns0:c r="K647" s="29"/>
    </ns0:row>
    <ns0:row r="648" ht="28" customHeight="1">
      <ns0:c r="A648" s="29"/>
      <ns0:c r="B648" s="30"/>
      <ns0:c r="C648" s="28"/>
      <ns0:c r="D648" s="29"/>
      <ns0:c r="E648" s="31"/>
      <ns0:c r="F648" s="32"/>
      <ns0:c r="G648" s="29"/>
      <ns0:c r="H648" s="29"/>
      <ns0:c r="I648" s="29"/>
      <ns0:c r="J648" s="29"/>
      <ns0:c r="K648" s="29"/>
    </ns0:row>
    <ns0:row r="649" ht="28" customHeight="1">
      <ns0:c r="A649" s="29"/>
      <ns0:c r="B649" s="30"/>
      <ns0:c r="C649" s="28"/>
      <ns0:c r="D649" s="29"/>
      <ns0:c r="E649" s="31"/>
      <ns0:c r="F649" s="32"/>
      <ns0:c r="G649" s="29"/>
      <ns0:c r="H649" s="29"/>
      <ns0:c r="I649" s="29"/>
      <ns0:c r="J649" s="29"/>
      <ns0:c r="K649" s="29"/>
    </ns0:row>
    <ns0:row r="650" ht="28" customHeight="1">
      <ns0:c r="A650" s="29"/>
      <ns0:c r="B650" s="30"/>
      <ns0:c r="C650" s="28"/>
      <ns0:c r="D650" s="29"/>
      <ns0:c r="E650" s="31"/>
      <ns0:c r="F650" s="32"/>
      <ns0:c r="G650" s="29"/>
      <ns0:c r="H650" s="29"/>
      <ns0:c r="I650" s="29"/>
      <ns0:c r="J650" s="29"/>
      <ns0:c r="K650" s="29"/>
    </ns0:row>
    <ns0:row r="651" ht="28" customHeight="1">
      <ns0:c r="A651" s="29"/>
      <ns0:c r="B651" s="30"/>
      <ns0:c r="C651" s="28"/>
      <ns0:c r="D651" s="29"/>
      <ns0:c r="E651" s="31"/>
      <ns0:c r="F651" s="32"/>
      <ns0:c r="G651" s="29"/>
      <ns0:c r="H651" s="29"/>
      <ns0:c r="I651" s="29"/>
      <ns0:c r="J651" s="29"/>
      <ns0:c r="K651" s="29"/>
    </ns0:row>
    <ns0:row r="652" ht="28" customHeight="1">
      <ns0:c r="A652" s="29"/>
      <ns0:c r="B652" s="30"/>
      <ns0:c r="C652" s="28"/>
      <ns0:c r="D652" s="29"/>
      <ns0:c r="E652" s="31"/>
      <ns0:c r="F652" s="32"/>
      <ns0:c r="G652" s="29"/>
      <ns0:c r="H652" s="29"/>
      <ns0:c r="I652" s="29"/>
      <ns0:c r="J652" s="29"/>
      <ns0:c r="K652" s="29"/>
    </ns0:row>
    <ns0:row r="653" ht="28" customHeight="1">
      <ns0:c r="A653" s="29"/>
      <ns0:c r="B653" s="30"/>
      <ns0:c r="C653" s="28"/>
      <ns0:c r="D653" s="29"/>
      <ns0:c r="E653" s="31"/>
      <ns0:c r="F653" s="32"/>
      <ns0:c r="G653" s="29"/>
      <ns0:c r="H653" s="29"/>
      <ns0:c r="I653" s="29"/>
      <ns0:c r="J653" s="29"/>
      <ns0:c r="K653" s="29"/>
    </ns0:row>
    <ns0:row r="654" ht="28" customHeight="1">
      <ns0:c r="A654" s="29"/>
      <ns0:c r="B654" s="30"/>
      <ns0:c r="C654" s="28"/>
      <ns0:c r="D654" s="29"/>
      <ns0:c r="E654" s="31"/>
      <ns0:c r="F654" s="32"/>
      <ns0:c r="G654" s="29"/>
      <ns0:c r="H654" s="29"/>
      <ns0:c r="I654" s="29"/>
      <ns0:c r="J654" s="29"/>
      <ns0:c r="K654" s="29"/>
    </ns0:row>
    <ns0:row r="655" ht="28" customHeight="1">
      <ns0:c r="A655" s="29"/>
      <ns0:c r="B655" s="30"/>
      <ns0:c r="C655" s="28"/>
      <ns0:c r="D655" s="29"/>
      <ns0:c r="E655" s="31"/>
      <ns0:c r="F655" s="32"/>
      <ns0:c r="G655" s="29"/>
      <ns0:c r="H655" s="29"/>
      <ns0:c r="I655" s="29"/>
      <ns0:c r="J655" s="29"/>
      <ns0:c r="K655" s="29"/>
    </ns0:row>
    <ns0:row r="656" ht="28" customHeight="1">
      <ns0:c r="A656" s="29"/>
      <ns0:c r="B656" s="30"/>
      <ns0:c r="C656" s="28"/>
      <ns0:c r="D656" s="29"/>
      <ns0:c r="E656" s="31"/>
      <ns0:c r="F656" s="32"/>
      <ns0:c r="G656" s="29"/>
      <ns0:c r="H656" s="29"/>
      <ns0:c r="I656" s="29"/>
      <ns0:c r="J656" s="29"/>
      <ns0:c r="K656" s="29"/>
    </ns0:row>
    <ns0:row r="657" ht="28" customHeight="1">
      <ns0:c r="A657" s="29"/>
      <ns0:c r="B657" s="30"/>
      <ns0:c r="C657" s="28"/>
      <ns0:c r="D657" s="29"/>
      <ns0:c r="E657" s="31"/>
      <ns0:c r="F657" s="32"/>
      <ns0:c r="G657" s="29"/>
      <ns0:c r="H657" s="29"/>
      <ns0:c r="I657" s="29"/>
      <ns0:c r="J657" s="29"/>
      <ns0:c r="K657" s="29"/>
    </ns0:row>
    <ns0:row r="658" ht="28" customHeight="1">
      <ns0:c r="A658" s="29"/>
      <ns0:c r="B658" s="30"/>
      <ns0:c r="C658" s="28"/>
      <ns0:c r="D658" s="29"/>
      <ns0:c r="E658" s="31"/>
      <ns0:c r="F658" s="32"/>
      <ns0:c r="G658" s="29"/>
      <ns0:c r="H658" s="29"/>
      <ns0:c r="I658" s="29"/>
      <ns0:c r="J658" s="29"/>
      <ns0:c r="K658" s="29"/>
    </ns0:row>
    <ns0:row r="659" ht="28" customHeight="1">
      <ns0:c r="A659" s="29"/>
      <ns0:c r="B659" s="30"/>
      <ns0:c r="C659" s="28"/>
      <ns0:c r="D659" s="29"/>
      <ns0:c r="E659" s="31"/>
      <ns0:c r="F659" s="32"/>
      <ns0:c r="G659" s="29"/>
      <ns0:c r="H659" s="29"/>
      <ns0:c r="I659" s="29"/>
      <ns0:c r="J659" s="29"/>
      <ns0:c r="K659" s="29"/>
    </ns0:row>
    <ns0:row r="660" ht="28" customHeight="1">
      <ns0:c r="A660" s="29"/>
      <ns0:c r="B660" s="30"/>
      <ns0:c r="C660" s="28"/>
      <ns0:c r="D660" s="29"/>
      <ns0:c r="E660" s="31"/>
      <ns0:c r="F660" s="32"/>
      <ns0:c r="G660" s="29"/>
      <ns0:c r="H660" s="29"/>
      <ns0:c r="I660" s="29"/>
      <ns0:c r="J660" s="29"/>
      <ns0:c r="K660" s="29"/>
    </ns0:row>
    <ns0:row r="661" ht="28" customHeight="1">
      <ns0:c r="A661" s="29"/>
      <ns0:c r="B661" s="30"/>
      <ns0:c r="C661" s="28"/>
      <ns0:c r="D661" s="29"/>
      <ns0:c r="E661" s="31"/>
      <ns0:c r="F661" s="32"/>
      <ns0:c r="G661" s="29"/>
      <ns0:c r="H661" s="29"/>
      <ns0:c r="I661" s="29"/>
      <ns0:c r="J661" s="29"/>
      <ns0:c r="K661" s="29"/>
    </ns0:row>
    <ns0:row r="662" ht="28" customHeight="1">
      <ns0:c r="A662" s="29"/>
      <ns0:c r="B662" s="30"/>
      <ns0:c r="C662" s="28"/>
      <ns0:c r="D662" s="29"/>
      <ns0:c r="E662" s="31"/>
      <ns0:c r="F662" s="32"/>
      <ns0:c r="G662" s="29"/>
      <ns0:c r="H662" s="29"/>
      <ns0:c r="I662" s="29"/>
      <ns0:c r="J662" s="29"/>
      <ns0:c r="K662" s="29"/>
    </ns0:row>
    <ns0:row r="663" ht="28" customHeight="1">
      <ns0:c r="A663" s="29"/>
      <ns0:c r="B663" s="30"/>
      <ns0:c r="C663" s="28"/>
      <ns0:c r="D663" s="29"/>
      <ns0:c r="E663" s="31"/>
      <ns0:c r="F663" s="32"/>
      <ns0:c r="G663" s="29"/>
      <ns0:c r="H663" s="29"/>
      <ns0:c r="I663" s="29"/>
      <ns0:c r="J663" s="29"/>
      <ns0:c r="K663" s="29"/>
    </ns0:row>
    <ns0:row r="664" ht="28" customHeight="1">
      <ns0:c r="A664" s="29"/>
      <ns0:c r="B664" s="30"/>
      <ns0:c r="C664" s="28"/>
      <ns0:c r="D664" s="29"/>
      <ns0:c r="E664" s="31"/>
      <ns0:c r="F664" s="32"/>
      <ns0:c r="G664" s="29"/>
      <ns0:c r="H664" s="29"/>
      <ns0:c r="I664" s="29"/>
      <ns0:c r="J664" s="29"/>
      <ns0:c r="K664" s="29"/>
    </ns0:row>
    <ns0:row r="665" ht="28" customHeight="1">
      <ns0:c r="A665" s="29"/>
      <ns0:c r="B665" s="30"/>
      <ns0:c r="C665" s="28"/>
      <ns0:c r="D665" s="29"/>
      <ns0:c r="E665" s="31"/>
      <ns0:c r="F665" s="32"/>
      <ns0:c r="G665" s="29"/>
      <ns0:c r="H665" s="29"/>
      <ns0:c r="I665" s="29"/>
      <ns0:c r="J665" s="29"/>
      <ns0:c r="K665" s="29"/>
    </ns0:row>
    <ns0:row r="666" ht="28" customHeight="1">
      <ns0:c r="A666" s="29"/>
      <ns0:c r="B666" s="30"/>
      <ns0:c r="C666" s="28"/>
      <ns0:c r="D666" s="29"/>
      <ns0:c r="E666" s="31"/>
      <ns0:c r="F666" s="32"/>
      <ns0:c r="G666" s="29"/>
      <ns0:c r="H666" s="29"/>
      <ns0:c r="I666" s="29"/>
      <ns0:c r="J666" s="29"/>
      <ns0:c r="K666" s="29"/>
    </ns0:row>
    <ns0:row r="667" ht="28" customHeight="1">
      <ns0:c r="A667" s="29"/>
      <ns0:c r="B667" s="30"/>
      <ns0:c r="C667" s="28"/>
      <ns0:c r="D667" s="29"/>
      <ns0:c r="E667" s="31"/>
      <ns0:c r="F667" s="32"/>
      <ns0:c r="G667" s="29"/>
      <ns0:c r="H667" s="29"/>
      <ns0:c r="I667" s="29"/>
      <ns0:c r="J667" s="29"/>
      <ns0:c r="K667" s="29"/>
    </ns0:row>
    <ns0:row r="668" ht="28" customHeight="1">
      <ns0:c r="A668" s="29"/>
      <ns0:c r="B668" s="30"/>
      <ns0:c r="C668" s="28"/>
      <ns0:c r="D668" s="29"/>
      <ns0:c r="E668" s="31"/>
      <ns0:c r="F668" s="32"/>
      <ns0:c r="G668" s="29"/>
      <ns0:c r="H668" s="29"/>
      <ns0:c r="I668" s="29"/>
      <ns0:c r="J668" s="29"/>
      <ns0:c r="K668" s="29"/>
    </ns0:row>
    <ns0:row r="669" ht="28" customHeight="1">
      <ns0:c r="A669" s="29"/>
      <ns0:c r="B669" s="30"/>
      <ns0:c r="C669" s="28"/>
      <ns0:c r="D669" s="29"/>
      <ns0:c r="E669" s="31"/>
      <ns0:c r="F669" s="32"/>
      <ns0:c r="G669" s="29"/>
      <ns0:c r="H669" s="29"/>
      <ns0:c r="I669" s="29"/>
      <ns0:c r="J669" s="29"/>
      <ns0:c r="K669" s="29"/>
    </ns0:row>
    <ns0:row r="670" ht="28" customHeight="1">
      <ns0:c r="A670" s="29"/>
      <ns0:c r="B670" s="30"/>
      <ns0:c r="C670" s="28"/>
      <ns0:c r="D670" s="29"/>
      <ns0:c r="E670" s="31"/>
      <ns0:c r="F670" s="32"/>
      <ns0:c r="G670" s="29"/>
      <ns0:c r="H670" s="29"/>
      <ns0:c r="I670" s="29"/>
      <ns0:c r="J670" s="29"/>
      <ns0:c r="K670" s="29"/>
    </ns0:row>
    <ns0:row r="671" ht="28" customHeight="1">
      <ns0:c r="A671" s="29"/>
      <ns0:c r="B671" s="30"/>
      <ns0:c r="C671" s="28"/>
      <ns0:c r="D671" s="29"/>
      <ns0:c r="E671" s="31"/>
      <ns0:c r="F671" s="32"/>
      <ns0:c r="G671" s="29"/>
      <ns0:c r="H671" s="29"/>
      <ns0:c r="I671" s="29"/>
      <ns0:c r="J671" s="29"/>
      <ns0:c r="K671" s="29"/>
    </ns0:row>
    <ns0:row r="672" ht="28" customHeight="1">
      <ns0:c r="A672" s="29"/>
      <ns0:c r="B672" s="30"/>
      <ns0:c r="C672" s="28"/>
      <ns0:c r="D672" s="29"/>
      <ns0:c r="E672" s="31"/>
      <ns0:c r="F672" s="32"/>
      <ns0:c r="G672" s="29"/>
      <ns0:c r="H672" s="29"/>
      <ns0:c r="I672" s="29"/>
      <ns0:c r="J672" s="29"/>
      <ns0:c r="K672" s="29"/>
    </ns0:row>
    <ns0:row r="673" ht="28" customHeight="1">
      <ns0:c r="A673" s="29"/>
      <ns0:c r="B673" s="30"/>
      <ns0:c r="C673" s="28"/>
      <ns0:c r="D673" s="29"/>
      <ns0:c r="E673" s="31"/>
      <ns0:c r="F673" s="32"/>
      <ns0:c r="G673" s="29"/>
      <ns0:c r="H673" s="29"/>
      <ns0:c r="I673" s="29"/>
      <ns0:c r="J673" s="29"/>
      <ns0:c r="K673" s="29"/>
    </ns0:row>
    <ns0:row r="674" ht="28" customHeight="1">
      <ns0:c r="A674" s="29"/>
      <ns0:c r="B674" s="30"/>
      <ns0:c r="C674" s="28"/>
      <ns0:c r="D674" s="29"/>
      <ns0:c r="E674" s="31"/>
      <ns0:c r="F674" s="32"/>
      <ns0:c r="G674" s="29"/>
      <ns0:c r="H674" s="29"/>
      <ns0:c r="I674" s="29"/>
      <ns0:c r="J674" s="29"/>
      <ns0:c r="K674" s="29"/>
    </ns0:row>
    <ns0:row r="675" ht="28" customHeight="1">
      <ns0:c r="A675" s="29"/>
      <ns0:c r="B675" s="30"/>
      <ns0:c r="C675" s="28"/>
      <ns0:c r="D675" s="29"/>
      <ns0:c r="E675" s="31"/>
      <ns0:c r="F675" s="32"/>
      <ns0:c r="G675" s="29"/>
      <ns0:c r="H675" s="29"/>
      <ns0:c r="I675" s="29"/>
      <ns0:c r="J675" s="29"/>
      <ns0:c r="K675" s="29"/>
    </ns0:row>
    <ns0:row r="676" ht="28" customHeight="1">
      <ns0:c r="A676" s="29"/>
      <ns0:c r="B676" s="30"/>
      <ns0:c r="C676" s="28"/>
      <ns0:c r="D676" s="29"/>
      <ns0:c r="E676" s="31"/>
      <ns0:c r="F676" s="32"/>
      <ns0:c r="G676" s="29"/>
      <ns0:c r="H676" s="29"/>
      <ns0:c r="I676" s="29"/>
      <ns0:c r="J676" s="29"/>
      <ns0:c r="K676" s="29"/>
    </ns0:row>
    <ns0:row r="677" ht="28" customHeight="1">
      <ns0:c r="A677" s="29"/>
      <ns0:c r="B677" s="30"/>
      <ns0:c r="C677" s="28"/>
      <ns0:c r="D677" s="29"/>
      <ns0:c r="E677" s="31"/>
      <ns0:c r="F677" s="32"/>
      <ns0:c r="G677" s="29"/>
      <ns0:c r="H677" s="29"/>
      <ns0:c r="I677" s="29"/>
      <ns0:c r="J677" s="29"/>
      <ns0:c r="K677" s="29"/>
    </ns0:row>
    <ns0:row r="678" ht="28" customHeight="1">
      <ns0:c r="A678" s="29"/>
      <ns0:c r="B678" s="30"/>
      <ns0:c r="C678" s="28"/>
      <ns0:c r="D678" s="29"/>
      <ns0:c r="E678" s="31"/>
      <ns0:c r="F678" s="32"/>
      <ns0:c r="G678" s="29"/>
      <ns0:c r="H678" s="29"/>
      <ns0:c r="I678" s="29"/>
      <ns0:c r="J678" s="29"/>
      <ns0:c r="K678" s="29"/>
    </ns0:row>
    <ns0:row r="679" ht="28" customHeight="1">
      <ns0:c r="A679" s="29"/>
      <ns0:c r="B679" s="30"/>
      <ns0:c r="C679" s="28"/>
      <ns0:c r="D679" s="29"/>
      <ns0:c r="E679" s="31"/>
      <ns0:c r="F679" s="32"/>
      <ns0:c r="G679" s="29"/>
      <ns0:c r="H679" s="29"/>
      <ns0:c r="I679" s="29"/>
      <ns0:c r="J679" s="29"/>
      <ns0:c r="K679" s="29"/>
    </ns0:row>
    <ns0:row r="680" ht="28" customHeight="1">
      <ns0:c r="A680" s="29"/>
      <ns0:c r="B680" s="30"/>
      <ns0:c r="C680" s="28"/>
      <ns0:c r="D680" s="29"/>
      <ns0:c r="E680" s="31"/>
      <ns0:c r="F680" s="32"/>
      <ns0:c r="G680" s="29"/>
      <ns0:c r="H680" s="29"/>
      <ns0:c r="I680" s="29"/>
      <ns0:c r="J680" s="29"/>
      <ns0:c r="K680" s="29"/>
    </ns0:row>
    <ns0:row r="681" ht="28" customHeight="1">
      <ns0:c r="A681" s="29"/>
      <ns0:c r="B681" s="30"/>
      <ns0:c r="C681" s="28"/>
      <ns0:c r="D681" s="29"/>
      <ns0:c r="E681" s="31"/>
      <ns0:c r="F681" s="32"/>
      <ns0:c r="G681" s="29"/>
      <ns0:c r="H681" s="29"/>
      <ns0:c r="I681" s="29"/>
      <ns0:c r="J681" s="29"/>
      <ns0:c r="K681" s="29"/>
    </ns0:row>
    <ns0:row r="682" ht="28" customHeight="1">
      <ns0:c r="A682" s="29"/>
      <ns0:c r="B682" s="30"/>
      <ns0:c r="C682" s="28"/>
      <ns0:c r="D682" s="29"/>
      <ns0:c r="E682" s="31"/>
      <ns0:c r="F682" s="32"/>
      <ns0:c r="G682" s="29"/>
      <ns0:c r="H682" s="29"/>
      <ns0:c r="I682" s="29"/>
      <ns0:c r="J682" s="29"/>
      <ns0:c r="K682" s="29"/>
    </ns0:row>
    <ns0:row r="683" ht="28" customHeight="1">
      <ns0:c r="A683" s="29"/>
      <ns0:c r="B683" s="30"/>
      <ns0:c r="C683" s="28"/>
      <ns0:c r="D683" s="29"/>
      <ns0:c r="E683" s="31"/>
      <ns0:c r="F683" s="32"/>
      <ns0:c r="G683" s="29"/>
      <ns0:c r="H683" s="29"/>
      <ns0:c r="I683" s="29"/>
      <ns0:c r="J683" s="29"/>
      <ns0:c r="K683" s="29"/>
    </ns0:row>
    <ns0:row r="684" ht="28" customHeight="1">
      <ns0:c r="A684" s="29"/>
      <ns0:c r="B684" s="30"/>
      <ns0:c r="C684" s="28"/>
      <ns0:c r="D684" s="29"/>
      <ns0:c r="E684" s="31"/>
      <ns0:c r="F684" s="32"/>
      <ns0:c r="G684" s="29"/>
      <ns0:c r="H684" s="29"/>
      <ns0:c r="I684" s="29"/>
      <ns0:c r="J684" s="29"/>
      <ns0:c r="K684" s="29"/>
    </ns0:row>
    <ns0:row r="685" ht="28" customHeight="1">
      <ns0:c r="A685" s="29"/>
      <ns0:c r="B685" s="30"/>
      <ns0:c r="C685" s="28"/>
      <ns0:c r="D685" s="29"/>
      <ns0:c r="E685" s="31"/>
      <ns0:c r="F685" s="32"/>
      <ns0:c r="G685" s="29"/>
      <ns0:c r="H685" s="29"/>
      <ns0:c r="I685" s="29"/>
      <ns0:c r="J685" s="29"/>
      <ns0:c r="K685" s="29"/>
    </ns0:row>
    <ns0:row r="686" ht="28" customHeight="1">
      <ns0:c r="A686" s="29"/>
      <ns0:c r="B686" s="30"/>
      <ns0:c r="C686" s="28"/>
      <ns0:c r="D686" s="29"/>
      <ns0:c r="E686" s="31"/>
      <ns0:c r="F686" s="32"/>
      <ns0:c r="G686" s="29"/>
      <ns0:c r="H686" s="29"/>
      <ns0:c r="I686" s="29"/>
      <ns0:c r="J686" s="29"/>
      <ns0:c r="K686" s="29"/>
    </ns0:row>
    <ns0:row r="687" ht="28" customHeight="1">
      <ns0:c r="A687" s="29"/>
      <ns0:c r="B687" s="30"/>
      <ns0:c r="C687" s="28"/>
      <ns0:c r="D687" s="29"/>
      <ns0:c r="E687" s="31"/>
      <ns0:c r="F687" s="32"/>
      <ns0:c r="G687" s="29"/>
      <ns0:c r="H687" s="29"/>
      <ns0:c r="I687" s="29"/>
      <ns0:c r="J687" s="29"/>
      <ns0:c r="K687" s="29"/>
    </ns0:row>
    <ns0:row r="688" ht="28" customHeight="1">
      <ns0:c r="A688" s="29"/>
      <ns0:c r="B688" s="30"/>
      <ns0:c r="C688" s="28"/>
      <ns0:c r="D688" s="29"/>
      <ns0:c r="E688" s="31"/>
      <ns0:c r="F688" s="32"/>
      <ns0:c r="G688" s="29"/>
      <ns0:c r="H688" s="29"/>
      <ns0:c r="I688" s="29"/>
      <ns0:c r="J688" s="29"/>
      <ns0:c r="K688" s="29"/>
    </ns0:row>
    <ns0:row r="689" ht="28" customHeight="1">
      <ns0:c r="A689" s="29"/>
      <ns0:c r="B689" s="30"/>
      <ns0:c r="C689" s="28"/>
      <ns0:c r="D689" s="29"/>
      <ns0:c r="E689" s="31"/>
      <ns0:c r="F689" s="32"/>
      <ns0:c r="G689" s="29"/>
      <ns0:c r="H689" s="29"/>
      <ns0:c r="I689" s="29"/>
      <ns0:c r="J689" s="29"/>
      <ns0:c r="K689" s="29"/>
    </ns0:row>
    <ns0:row r="690" ht="28" customHeight="1">
      <ns0:c r="A690" s="29"/>
      <ns0:c r="B690" s="30"/>
      <ns0:c r="C690" s="28"/>
      <ns0:c r="D690" s="29"/>
      <ns0:c r="E690" s="31"/>
      <ns0:c r="F690" s="32"/>
      <ns0:c r="G690" s="29"/>
      <ns0:c r="H690" s="29"/>
      <ns0:c r="I690" s="29"/>
      <ns0:c r="J690" s="29"/>
      <ns0:c r="K690" s="29"/>
    </ns0:row>
    <ns0:row r="691" ht="28" customHeight="1">
      <ns0:c r="A691" s="29"/>
      <ns0:c r="B691" s="30"/>
      <ns0:c r="C691" s="28"/>
      <ns0:c r="D691" s="29"/>
      <ns0:c r="E691" s="31"/>
      <ns0:c r="F691" s="32"/>
      <ns0:c r="G691" s="29"/>
      <ns0:c r="H691" s="29"/>
      <ns0:c r="I691" s="29"/>
      <ns0:c r="J691" s="29"/>
      <ns0:c r="K691" s="29"/>
    </ns0:row>
    <ns0:row r="692" ht="28" customHeight="1">
      <ns0:c r="A692" s="29"/>
      <ns0:c r="B692" s="30"/>
      <ns0:c r="C692" s="28"/>
      <ns0:c r="D692" s="29"/>
      <ns0:c r="E692" s="31"/>
      <ns0:c r="F692" s="32"/>
      <ns0:c r="G692" s="29"/>
      <ns0:c r="H692" s="29"/>
      <ns0:c r="I692" s="29"/>
      <ns0:c r="J692" s="29"/>
      <ns0:c r="K692" s="29"/>
    </ns0:row>
    <ns0:row r="693" ht="28" customHeight="1">
      <ns0:c r="A693" s="29"/>
      <ns0:c r="B693" s="30"/>
      <ns0:c r="C693" s="28"/>
      <ns0:c r="D693" s="29"/>
      <ns0:c r="E693" s="31"/>
      <ns0:c r="F693" s="32"/>
      <ns0:c r="G693" s="29"/>
      <ns0:c r="H693" s="29"/>
      <ns0:c r="I693" s="29"/>
      <ns0:c r="J693" s="29"/>
      <ns0:c r="K693" s="29"/>
    </ns0:row>
    <ns0:row r="694" ht="28" customHeight="1">
      <ns0:c r="A694" s="29"/>
      <ns0:c r="B694" s="30"/>
      <ns0:c r="C694" s="28"/>
      <ns0:c r="D694" s="29"/>
      <ns0:c r="E694" s="31"/>
      <ns0:c r="F694" s="32"/>
      <ns0:c r="G694" s="29"/>
      <ns0:c r="H694" s="29"/>
      <ns0:c r="I694" s="29"/>
      <ns0:c r="J694" s="29"/>
      <ns0:c r="K694" s="29"/>
    </ns0:row>
    <ns0:row r="695" ht="28" customHeight="1">
      <ns0:c r="A695" s="29"/>
      <ns0:c r="B695" s="30"/>
      <ns0:c r="C695" s="28"/>
      <ns0:c r="D695" s="29"/>
      <ns0:c r="E695" s="31"/>
      <ns0:c r="F695" s="32"/>
      <ns0:c r="G695" s="29"/>
      <ns0:c r="H695" s="29"/>
      <ns0:c r="I695" s="29"/>
      <ns0:c r="J695" s="29"/>
      <ns0:c r="K695" s="29"/>
    </ns0:row>
    <ns0:row r="696" ht="28" customHeight="1">
      <ns0:c r="A696" s="29"/>
      <ns0:c r="B696" s="30"/>
      <ns0:c r="C696" s="28"/>
      <ns0:c r="D696" s="29"/>
      <ns0:c r="E696" s="31"/>
      <ns0:c r="F696" s="32"/>
      <ns0:c r="G696" s="29"/>
      <ns0:c r="H696" s="29"/>
      <ns0:c r="I696" s="29"/>
      <ns0:c r="J696" s="29"/>
      <ns0:c r="K696" s="29"/>
    </ns0:row>
    <ns0:row r="697" ht="28" customHeight="1">
      <ns0:c r="A697" s="29"/>
      <ns0:c r="B697" s="30"/>
      <ns0:c r="C697" s="28"/>
      <ns0:c r="D697" s="29"/>
      <ns0:c r="E697" s="31"/>
      <ns0:c r="F697" s="32"/>
      <ns0:c r="G697" s="29"/>
      <ns0:c r="H697" s="29"/>
      <ns0:c r="I697" s="29"/>
      <ns0:c r="J697" s="29"/>
      <ns0:c r="K697" s="29"/>
    </ns0:row>
    <ns0:row r="698" ht="28" customHeight="1">
      <ns0:c r="A698" s="29"/>
      <ns0:c r="B698" s="30"/>
      <ns0:c r="C698" s="28"/>
      <ns0:c r="D698" s="29"/>
      <ns0:c r="E698" s="31"/>
      <ns0:c r="F698" s="32"/>
      <ns0:c r="G698" s="29"/>
      <ns0:c r="H698" s="29"/>
      <ns0:c r="I698" s="29"/>
      <ns0:c r="J698" s="29"/>
      <ns0:c r="K698" s="29"/>
    </ns0:row>
    <ns0:row r="699" ht="28" customHeight="1">
      <ns0:c r="A699" s="29"/>
      <ns0:c r="B699" s="30"/>
      <ns0:c r="C699" s="28"/>
      <ns0:c r="D699" s="29"/>
      <ns0:c r="E699" s="31"/>
      <ns0:c r="F699" s="32"/>
      <ns0:c r="G699" s="29"/>
      <ns0:c r="H699" s="29"/>
      <ns0:c r="I699" s="29"/>
      <ns0:c r="J699" s="29"/>
      <ns0:c r="K699" s="29"/>
    </ns0:row>
    <ns0:row r="700" ht="28" customHeight="1">
      <ns0:c r="A700" s="29"/>
      <ns0:c r="B700" s="30"/>
      <ns0:c r="C700" s="28"/>
      <ns0:c r="D700" s="29"/>
      <ns0:c r="E700" s="31"/>
      <ns0:c r="F700" s="32"/>
      <ns0:c r="G700" s="29"/>
      <ns0:c r="H700" s="29"/>
      <ns0:c r="I700" s="29"/>
      <ns0:c r="J700" s="29"/>
      <ns0:c r="K700" s="29"/>
    </ns0:row>
    <ns0:row r="701" ht="28" customHeight="1">
      <ns0:c r="A701" s="29"/>
      <ns0:c r="B701" s="30"/>
      <ns0:c r="C701" s="28"/>
      <ns0:c r="D701" s="29"/>
      <ns0:c r="E701" s="31"/>
      <ns0:c r="F701" s="32"/>
      <ns0:c r="G701" s="29"/>
      <ns0:c r="H701" s="29"/>
      <ns0:c r="I701" s="29"/>
      <ns0:c r="J701" s="29"/>
      <ns0:c r="K701" s="29"/>
    </ns0:row>
    <ns0:row r="702" ht="28" customHeight="1">
      <ns0:c r="A702" s="29"/>
      <ns0:c r="B702" s="30"/>
      <ns0:c r="C702" s="28"/>
      <ns0:c r="D702" s="29"/>
      <ns0:c r="E702" s="31"/>
      <ns0:c r="F702" s="32"/>
      <ns0:c r="G702" s="29"/>
      <ns0:c r="H702" s="29"/>
      <ns0:c r="I702" s="29"/>
      <ns0:c r="J702" s="29"/>
      <ns0:c r="K702" s="29"/>
    </ns0:row>
    <ns0:row r="703" ht="28" customHeight="1">
      <ns0:c r="A703" s="29"/>
      <ns0:c r="B703" s="30"/>
      <ns0:c r="C703" s="28"/>
      <ns0:c r="D703" s="29"/>
      <ns0:c r="E703" s="31"/>
      <ns0:c r="F703" s="32"/>
      <ns0:c r="G703" s="29"/>
      <ns0:c r="H703" s="29"/>
      <ns0:c r="I703" s="29"/>
      <ns0:c r="J703" s="29"/>
      <ns0:c r="K703" s="29"/>
    </ns0:row>
    <ns0:row r="704" ht="28" customHeight="1">
      <ns0:c r="A704" s="29"/>
      <ns0:c r="B704" s="30"/>
      <ns0:c r="C704" s="28"/>
      <ns0:c r="D704" s="29"/>
      <ns0:c r="E704" s="31"/>
      <ns0:c r="F704" s="32"/>
      <ns0:c r="G704" s="29"/>
      <ns0:c r="H704" s="29"/>
      <ns0:c r="I704" s="29"/>
      <ns0:c r="J704" s="29"/>
      <ns0:c r="K704" s="29"/>
    </ns0:row>
    <ns0:row r="705" ht="28" customHeight="1">
      <ns0:c r="A705" s="29"/>
      <ns0:c r="B705" s="30"/>
      <ns0:c r="C705" s="28"/>
      <ns0:c r="D705" s="29"/>
      <ns0:c r="E705" s="31"/>
      <ns0:c r="F705" s="32"/>
      <ns0:c r="G705" s="29"/>
      <ns0:c r="H705" s="29"/>
      <ns0:c r="I705" s="29"/>
      <ns0:c r="J705" s="29"/>
      <ns0:c r="K705" s="29"/>
    </ns0:row>
    <ns0:row r="706" ht="28" customHeight="1">
      <ns0:c r="A706" s="29"/>
      <ns0:c r="B706" s="30"/>
      <ns0:c r="C706" s="28"/>
      <ns0:c r="D706" s="29"/>
      <ns0:c r="E706" s="31"/>
      <ns0:c r="F706" s="32"/>
      <ns0:c r="G706" s="29"/>
      <ns0:c r="H706" s="29"/>
      <ns0:c r="I706" s="29"/>
      <ns0:c r="J706" s="29"/>
      <ns0:c r="K706" s="29"/>
    </ns0:row>
    <ns0:row r="707" ht="28" customHeight="1">
      <ns0:c r="A707" s="29"/>
      <ns0:c r="B707" s="30"/>
      <ns0:c r="C707" s="28"/>
      <ns0:c r="D707" s="29"/>
      <ns0:c r="E707" s="31"/>
      <ns0:c r="F707" s="32"/>
      <ns0:c r="G707" s="29"/>
      <ns0:c r="H707" s="29"/>
      <ns0:c r="I707" s="29"/>
      <ns0:c r="J707" s="29"/>
      <ns0:c r="K707" s="29"/>
    </ns0:row>
    <ns0:row r="708" ht="28" customHeight="1">
      <ns0:c r="A708" s="29"/>
      <ns0:c r="B708" s="30"/>
      <ns0:c r="C708" s="28"/>
      <ns0:c r="D708" s="29"/>
      <ns0:c r="E708" s="31"/>
      <ns0:c r="F708" s="32"/>
      <ns0:c r="G708" s="29"/>
      <ns0:c r="H708" s="29"/>
      <ns0:c r="I708" s="29"/>
      <ns0:c r="J708" s="29"/>
      <ns0:c r="K708" s="29"/>
    </ns0:row>
    <ns0:row r="709" ht="28" customHeight="1">
      <ns0:c r="A709" s="29"/>
      <ns0:c r="B709" s="30"/>
      <ns0:c r="C709" s="28"/>
      <ns0:c r="D709" s="29"/>
      <ns0:c r="E709" s="31"/>
      <ns0:c r="F709" s="32"/>
      <ns0:c r="G709" s="29"/>
      <ns0:c r="H709" s="29"/>
      <ns0:c r="I709" s="29"/>
      <ns0:c r="J709" s="29"/>
      <ns0:c r="K709" s="29"/>
    </ns0:row>
    <ns0:row r="710" ht="28" customHeight="1">
      <ns0:c r="A710" s="29"/>
      <ns0:c r="B710" s="30"/>
      <ns0:c r="C710" s="28"/>
      <ns0:c r="D710" s="29"/>
      <ns0:c r="E710" s="31"/>
      <ns0:c r="F710" s="32"/>
      <ns0:c r="G710" s="29"/>
      <ns0:c r="H710" s="29"/>
      <ns0:c r="I710" s="29"/>
      <ns0:c r="J710" s="29"/>
      <ns0:c r="K710" s="29"/>
    </ns0:row>
    <ns0:row r="711" ht="28" customHeight="1">
      <ns0:c r="A711" s="29"/>
      <ns0:c r="B711" s="30"/>
      <ns0:c r="C711" s="28"/>
      <ns0:c r="D711" s="29"/>
      <ns0:c r="E711" s="31"/>
      <ns0:c r="F711" s="32"/>
      <ns0:c r="G711" s="29"/>
      <ns0:c r="H711" s="29"/>
      <ns0:c r="I711" s="29"/>
      <ns0:c r="J711" s="29"/>
      <ns0:c r="K711" s="29"/>
    </ns0:row>
    <ns0:row r="712" ht="28" customHeight="1">
      <ns0:c r="A712" s="29"/>
      <ns0:c r="B712" s="30"/>
      <ns0:c r="C712" s="28"/>
      <ns0:c r="D712" s="29"/>
      <ns0:c r="E712" s="31"/>
      <ns0:c r="F712" s="32"/>
      <ns0:c r="G712" s="29"/>
      <ns0:c r="H712" s="29"/>
      <ns0:c r="I712" s="29"/>
      <ns0:c r="J712" s="29"/>
      <ns0:c r="K712" s="29"/>
    </ns0:row>
    <ns0:row r="713" ht="28" customHeight="1">
      <ns0:c r="A713" s="29"/>
      <ns0:c r="B713" s="30"/>
      <ns0:c r="C713" s="28"/>
      <ns0:c r="D713" s="29"/>
      <ns0:c r="E713" s="31"/>
      <ns0:c r="F713" s="32"/>
      <ns0:c r="G713" s="29"/>
      <ns0:c r="H713" s="29"/>
      <ns0:c r="I713" s="29"/>
      <ns0:c r="J713" s="29"/>
      <ns0:c r="K713" s="29"/>
    </ns0:row>
    <ns0:row r="714" ht="28" customHeight="1">
      <ns0:c r="A714" s="29"/>
      <ns0:c r="B714" s="30"/>
      <ns0:c r="C714" s="28"/>
      <ns0:c r="D714" s="29"/>
      <ns0:c r="E714" s="31"/>
      <ns0:c r="F714" s="32"/>
      <ns0:c r="G714" s="29"/>
      <ns0:c r="H714" s="29"/>
      <ns0:c r="I714" s="29"/>
      <ns0:c r="J714" s="29"/>
      <ns0:c r="K714" s="29"/>
    </ns0:row>
    <ns0:row r="715" ht="28" customHeight="1">
      <ns0:c r="A715" s="29"/>
      <ns0:c r="B715" s="30"/>
      <ns0:c r="C715" s="28"/>
      <ns0:c r="D715" s="29"/>
      <ns0:c r="E715" s="31"/>
      <ns0:c r="F715" s="32"/>
      <ns0:c r="G715" s="29"/>
      <ns0:c r="H715" s="29"/>
      <ns0:c r="I715" s="29"/>
      <ns0:c r="J715" s="29"/>
      <ns0:c r="K715" s="29"/>
    </ns0:row>
    <ns0:row r="716" ht="28" customHeight="1">
      <ns0:c r="A716" s="29"/>
      <ns0:c r="B716" s="30"/>
      <ns0:c r="C716" s="28"/>
      <ns0:c r="D716" s="29"/>
      <ns0:c r="E716" s="31"/>
      <ns0:c r="F716" s="32"/>
      <ns0:c r="G716" s="29"/>
      <ns0:c r="H716" s="29"/>
      <ns0:c r="I716" s="29"/>
      <ns0:c r="J716" s="29"/>
      <ns0:c r="K716" s="29"/>
    </ns0:row>
    <ns0:row r="717" ht="28" customHeight="1">
      <ns0:c r="A717" s="29"/>
      <ns0:c r="B717" s="30"/>
      <ns0:c r="C717" s="28"/>
      <ns0:c r="D717" s="29"/>
      <ns0:c r="E717" s="31"/>
      <ns0:c r="F717" s="32"/>
      <ns0:c r="G717" s="29"/>
      <ns0:c r="H717" s="29"/>
      <ns0:c r="I717" s="29"/>
      <ns0:c r="J717" s="29"/>
      <ns0:c r="K717" s="29"/>
    </ns0:row>
    <ns0:row r="718" ht="28" customHeight="1">
      <ns0:c r="A718" s="29"/>
      <ns0:c r="B718" s="30"/>
      <ns0:c r="C718" s="28"/>
      <ns0:c r="D718" s="29"/>
      <ns0:c r="E718" s="31"/>
      <ns0:c r="F718" s="32"/>
      <ns0:c r="G718" s="29"/>
      <ns0:c r="H718" s="29"/>
      <ns0:c r="I718" s="29"/>
      <ns0:c r="J718" s="29"/>
      <ns0:c r="K718" s="29"/>
    </ns0:row>
    <ns0:row r="719" ht="28" customHeight="1">
      <ns0:c r="A719" s="29"/>
      <ns0:c r="B719" s="30"/>
      <ns0:c r="C719" s="28"/>
      <ns0:c r="D719" s="29"/>
      <ns0:c r="E719" s="31"/>
      <ns0:c r="F719" s="32"/>
      <ns0:c r="G719" s="29"/>
      <ns0:c r="H719" s="29"/>
      <ns0:c r="I719" s="29"/>
      <ns0:c r="J719" s="29"/>
      <ns0:c r="K719" s="29"/>
    </ns0:row>
    <ns0:row r="720" ht="28" customHeight="1">
      <ns0:c r="A720" s="29"/>
      <ns0:c r="B720" s="30"/>
      <ns0:c r="C720" s="28"/>
      <ns0:c r="D720" s="29"/>
      <ns0:c r="E720" s="31"/>
      <ns0:c r="F720" s="32"/>
      <ns0:c r="G720" s="29"/>
      <ns0:c r="H720" s="29"/>
      <ns0:c r="I720" s="29"/>
      <ns0:c r="J720" s="29"/>
      <ns0:c r="K720" s="29"/>
    </ns0:row>
    <ns0:row r="721" ht="28" customHeight="1">
      <ns0:c r="A721" s="29"/>
      <ns0:c r="B721" s="30"/>
      <ns0:c r="C721" s="28"/>
      <ns0:c r="D721" s="29"/>
      <ns0:c r="E721" s="31"/>
      <ns0:c r="F721" s="32"/>
      <ns0:c r="G721" s="29"/>
      <ns0:c r="H721" s="29"/>
      <ns0:c r="I721" s="29"/>
      <ns0:c r="J721" s="29"/>
      <ns0:c r="K721" s="29"/>
    </ns0:row>
    <ns0:row r="722" ht="28" customHeight="1">
      <ns0:c r="A722" s="29"/>
      <ns0:c r="B722" s="30"/>
      <ns0:c r="C722" s="28"/>
      <ns0:c r="D722" s="29"/>
      <ns0:c r="E722" s="31"/>
      <ns0:c r="F722" s="32"/>
      <ns0:c r="G722" s="29"/>
      <ns0:c r="H722" s="29"/>
      <ns0:c r="I722" s="29"/>
      <ns0:c r="J722" s="29"/>
      <ns0:c r="K722" s="29"/>
    </ns0:row>
    <ns0:row r="723" ht="28" customHeight="1">
      <ns0:c r="A723" s="29"/>
      <ns0:c r="B723" s="30"/>
      <ns0:c r="C723" s="28"/>
      <ns0:c r="D723" s="29"/>
      <ns0:c r="E723" s="31"/>
      <ns0:c r="F723" s="32"/>
      <ns0:c r="G723" s="29"/>
      <ns0:c r="H723" s="29"/>
      <ns0:c r="I723" s="29"/>
      <ns0:c r="J723" s="29"/>
      <ns0:c r="K723" s="29"/>
    </ns0:row>
    <ns0:row r="724" ht="28" customHeight="1">
      <ns0:c r="A724" s="29"/>
      <ns0:c r="B724" s="30"/>
      <ns0:c r="C724" s="28"/>
      <ns0:c r="D724" s="29"/>
      <ns0:c r="E724" s="31"/>
      <ns0:c r="F724" s="32"/>
      <ns0:c r="G724" s="29"/>
      <ns0:c r="H724" s="29"/>
      <ns0:c r="I724" s="29"/>
      <ns0:c r="J724" s="29"/>
      <ns0:c r="K724" s="29"/>
    </ns0:row>
    <ns0:row r="725" ht="28" customHeight="1">
      <ns0:c r="A725" s="29"/>
      <ns0:c r="B725" s="30"/>
      <ns0:c r="C725" s="28"/>
      <ns0:c r="D725" s="29"/>
      <ns0:c r="E725" s="31"/>
      <ns0:c r="F725" s="32"/>
      <ns0:c r="G725" s="29"/>
      <ns0:c r="H725" s="29"/>
      <ns0:c r="I725" s="29"/>
      <ns0:c r="J725" s="29"/>
      <ns0:c r="K725" s="29"/>
    </ns0:row>
    <ns0:row r="726" ht="28" customHeight="1">
      <ns0:c r="A726" s="29"/>
      <ns0:c r="B726" s="30"/>
      <ns0:c r="C726" s="28"/>
      <ns0:c r="D726" s="29"/>
      <ns0:c r="E726" s="31"/>
      <ns0:c r="F726" s="32"/>
      <ns0:c r="G726" s="29"/>
      <ns0:c r="H726" s="29"/>
      <ns0:c r="I726" s="29"/>
      <ns0:c r="J726" s="29"/>
      <ns0:c r="K726" s="29"/>
    </ns0:row>
    <ns0:row r="727" ht="28" customHeight="1">
      <ns0:c r="A727" s="29"/>
      <ns0:c r="B727" s="30"/>
      <ns0:c r="C727" s="28"/>
      <ns0:c r="D727" s="29"/>
      <ns0:c r="E727" s="31"/>
      <ns0:c r="F727" s="32"/>
      <ns0:c r="G727" s="29"/>
      <ns0:c r="H727" s="29"/>
      <ns0:c r="I727" s="29"/>
      <ns0:c r="J727" s="29"/>
      <ns0:c r="K727" s="29"/>
    </ns0:row>
    <ns0:row r="728" ht="28" customHeight="1">
      <ns0:c r="A728" s="29"/>
      <ns0:c r="B728" s="30"/>
      <ns0:c r="C728" s="28"/>
      <ns0:c r="D728" s="29"/>
      <ns0:c r="E728" s="31"/>
      <ns0:c r="F728" s="32"/>
      <ns0:c r="G728" s="29"/>
      <ns0:c r="H728" s="29"/>
      <ns0:c r="I728" s="29"/>
      <ns0:c r="J728" s="29"/>
      <ns0:c r="K728" s="29"/>
    </ns0:row>
    <ns0:row r="729" ht="28" customHeight="1">
      <ns0:c r="A729" s="29"/>
      <ns0:c r="B729" s="30"/>
      <ns0:c r="C729" s="28"/>
      <ns0:c r="D729" s="29"/>
      <ns0:c r="E729" s="31"/>
      <ns0:c r="F729" s="32"/>
      <ns0:c r="G729" s="29"/>
      <ns0:c r="H729" s="29"/>
      <ns0:c r="I729" s="29"/>
      <ns0:c r="J729" s="29"/>
      <ns0:c r="K729" s="29"/>
    </ns0:row>
    <ns0:row r="730" ht="28" customHeight="1">
      <ns0:c r="A730" s="29"/>
      <ns0:c r="B730" s="30"/>
      <ns0:c r="C730" s="28"/>
      <ns0:c r="D730" s="29"/>
      <ns0:c r="E730" s="31"/>
      <ns0:c r="F730" s="32"/>
      <ns0:c r="G730" s="29"/>
      <ns0:c r="H730" s="29"/>
      <ns0:c r="I730" s="29"/>
      <ns0:c r="J730" s="29"/>
      <ns0:c r="K730" s="29"/>
    </ns0:row>
    <ns0:row r="731" ht="28" customHeight="1">
      <ns0:c r="A731" s="29"/>
      <ns0:c r="B731" s="30"/>
      <ns0:c r="C731" s="28"/>
      <ns0:c r="D731" s="29"/>
      <ns0:c r="E731" s="31"/>
      <ns0:c r="F731" s="32"/>
      <ns0:c r="G731" s="29"/>
      <ns0:c r="H731" s="29"/>
      <ns0:c r="I731" s="29"/>
      <ns0:c r="J731" s="29"/>
      <ns0:c r="K731" s="29"/>
    </ns0:row>
    <ns0:row r="732" ht="28" customHeight="1">
      <ns0:c r="A732" s="29"/>
      <ns0:c r="B732" s="30"/>
      <ns0:c r="C732" s="28"/>
      <ns0:c r="D732" s="29"/>
      <ns0:c r="E732" s="31"/>
      <ns0:c r="F732" s="32"/>
      <ns0:c r="G732" s="29"/>
      <ns0:c r="H732" s="29"/>
      <ns0:c r="I732" s="29"/>
      <ns0:c r="J732" s="29"/>
      <ns0:c r="K732" s="29"/>
    </ns0:row>
    <ns0:row r="733" ht="28" customHeight="1">
      <ns0:c r="A733" s="29"/>
      <ns0:c r="B733" s="30"/>
      <ns0:c r="C733" s="28"/>
      <ns0:c r="D733" s="29"/>
      <ns0:c r="E733" s="31"/>
      <ns0:c r="F733" s="32"/>
      <ns0:c r="G733" s="29"/>
      <ns0:c r="H733" s="29"/>
      <ns0:c r="I733" s="29"/>
      <ns0:c r="J733" s="29"/>
      <ns0:c r="K733" s="29"/>
    </ns0:row>
    <ns0:row r="734" ht="28" customHeight="1">
      <ns0:c r="A734" s="29"/>
      <ns0:c r="B734" s="30"/>
      <ns0:c r="C734" s="28"/>
      <ns0:c r="D734" s="29"/>
      <ns0:c r="E734" s="31"/>
      <ns0:c r="F734" s="32"/>
      <ns0:c r="G734" s="29"/>
      <ns0:c r="H734" s="29"/>
      <ns0:c r="I734" s="29"/>
      <ns0:c r="J734" s="29"/>
      <ns0:c r="K734" s="29"/>
    </ns0:row>
    <ns0:row r="735" ht="28" customHeight="1">
      <ns0:c r="A735" s="29"/>
      <ns0:c r="B735" s="30"/>
      <ns0:c r="C735" s="28"/>
      <ns0:c r="D735" s="29"/>
      <ns0:c r="E735" s="31"/>
      <ns0:c r="F735" s="32"/>
      <ns0:c r="G735" s="29"/>
      <ns0:c r="H735" s="29"/>
      <ns0:c r="I735" s="29"/>
      <ns0:c r="J735" s="29"/>
      <ns0:c r="K735" s="29"/>
    </ns0:row>
    <ns0:row r="736" ht="28" customHeight="1">
      <ns0:c r="A736" s="29"/>
      <ns0:c r="B736" s="30"/>
      <ns0:c r="C736" s="28"/>
      <ns0:c r="D736" s="29"/>
      <ns0:c r="E736" s="31"/>
      <ns0:c r="F736" s="32"/>
      <ns0:c r="G736" s="29"/>
      <ns0:c r="H736" s="29"/>
      <ns0:c r="I736" s="29"/>
      <ns0:c r="J736" s="29"/>
      <ns0:c r="K736" s="29"/>
    </ns0:row>
    <ns0:row r="737" ht="28" customHeight="1">
      <ns0:c r="A737" s="29"/>
      <ns0:c r="B737" s="30"/>
      <ns0:c r="C737" s="28"/>
      <ns0:c r="D737" s="29"/>
      <ns0:c r="E737" s="31"/>
      <ns0:c r="F737" s="32"/>
      <ns0:c r="G737" s="29"/>
      <ns0:c r="H737" s="29"/>
      <ns0:c r="I737" s="29"/>
      <ns0:c r="J737" s="29"/>
      <ns0:c r="K737" s="29"/>
    </ns0:row>
    <ns0:row r="738" ht="28" customHeight="1">
      <ns0:c r="A738" s="29"/>
      <ns0:c r="B738" s="30"/>
      <ns0:c r="C738" s="28"/>
      <ns0:c r="D738" s="29"/>
      <ns0:c r="E738" s="31"/>
      <ns0:c r="F738" s="32"/>
      <ns0:c r="G738" s="29"/>
      <ns0:c r="H738" s="29"/>
      <ns0:c r="I738" s="29"/>
      <ns0:c r="J738" s="29"/>
      <ns0:c r="K738" s="29"/>
    </ns0:row>
    <ns0:row r="739" ht="28" customHeight="1">
      <ns0:c r="A739" s="29"/>
      <ns0:c r="B739" s="30"/>
      <ns0:c r="C739" s="28"/>
      <ns0:c r="D739" s="29"/>
      <ns0:c r="E739" s="31"/>
      <ns0:c r="F739" s="32"/>
      <ns0:c r="G739" s="29"/>
      <ns0:c r="H739" s="29"/>
      <ns0:c r="I739" s="29"/>
      <ns0:c r="J739" s="29"/>
      <ns0:c r="K739" s="29"/>
    </ns0:row>
    <ns0:row r="740" ht="28" customHeight="1">
      <ns0:c r="A740" s="29"/>
      <ns0:c r="B740" s="30"/>
      <ns0:c r="C740" s="28"/>
      <ns0:c r="D740" s="29"/>
      <ns0:c r="E740" s="31"/>
      <ns0:c r="F740" s="32"/>
      <ns0:c r="G740" s="29"/>
      <ns0:c r="H740" s="29"/>
      <ns0:c r="I740" s="29"/>
      <ns0:c r="J740" s="29"/>
      <ns0:c r="K740" s="29"/>
    </ns0:row>
    <ns0:row r="741" ht="28" customHeight="1">
      <ns0:c r="A741" s="29"/>
      <ns0:c r="B741" s="30"/>
      <ns0:c r="C741" s="28"/>
      <ns0:c r="D741" s="29"/>
      <ns0:c r="E741" s="31"/>
      <ns0:c r="F741" s="32"/>
      <ns0:c r="G741" s="29"/>
      <ns0:c r="H741" s="29"/>
      <ns0:c r="I741" s="29"/>
      <ns0:c r="J741" s="29"/>
      <ns0:c r="K741" s="29"/>
    </ns0:row>
    <ns0:row r="742" ht="28" customHeight="1">
      <ns0:c r="A742" s="29"/>
      <ns0:c r="B742" s="30"/>
      <ns0:c r="C742" s="28"/>
      <ns0:c r="D742" s="29"/>
      <ns0:c r="E742" s="31"/>
      <ns0:c r="F742" s="32"/>
      <ns0:c r="G742" s="29"/>
      <ns0:c r="H742" s="29"/>
      <ns0:c r="I742" s="29"/>
      <ns0:c r="J742" s="29"/>
      <ns0:c r="K742" s="29"/>
    </ns0:row>
    <ns0:row r="743" ht="28" customHeight="1">
      <ns0:c r="A743" s="29"/>
      <ns0:c r="B743" s="30"/>
      <ns0:c r="C743" s="28"/>
      <ns0:c r="D743" s="29"/>
      <ns0:c r="E743" s="31"/>
      <ns0:c r="F743" s="32"/>
      <ns0:c r="G743" s="29"/>
      <ns0:c r="H743" s="29"/>
      <ns0:c r="I743" s="29"/>
      <ns0:c r="J743" s="29"/>
      <ns0:c r="K743" s="29"/>
    </ns0:row>
    <ns0:row r="744" ht="28" customHeight="1">
      <ns0:c r="A744" s="29"/>
      <ns0:c r="B744" s="30"/>
      <ns0:c r="C744" s="28"/>
      <ns0:c r="D744" s="29"/>
      <ns0:c r="E744" s="31"/>
      <ns0:c r="F744" s="32"/>
      <ns0:c r="G744" s="29"/>
      <ns0:c r="H744" s="29"/>
      <ns0:c r="I744" s="29"/>
      <ns0:c r="J744" s="29"/>
      <ns0:c r="K744" s="29"/>
    </ns0:row>
    <ns0:row r="745" ht="28" customHeight="1">
      <ns0:c r="A745" s="29"/>
      <ns0:c r="B745" s="30"/>
      <ns0:c r="C745" s="28"/>
      <ns0:c r="D745" s="29"/>
      <ns0:c r="E745" s="31"/>
      <ns0:c r="F745" s="32"/>
      <ns0:c r="G745" s="29"/>
      <ns0:c r="H745" s="29"/>
      <ns0:c r="I745" s="29"/>
      <ns0:c r="J745" s="29"/>
      <ns0:c r="K745" s="29"/>
    </ns0:row>
    <ns0:row r="746" ht="28" customHeight="1">
      <ns0:c r="A746" s="29"/>
      <ns0:c r="B746" s="30"/>
      <ns0:c r="C746" s="28"/>
      <ns0:c r="D746" s="29"/>
      <ns0:c r="E746" s="31"/>
      <ns0:c r="F746" s="32"/>
      <ns0:c r="G746" s="29"/>
      <ns0:c r="H746" s="29"/>
      <ns0:c r="I746" s="29"/>
      <ns0:c r="J746" s="29"/>
      <ns0:c r="K746" s="29"/>
    </ns0:row>
    <ns0:row r="747" ht="28" customHeight="1">
      <ns0:c r="A747" s="29"/>
      <ns0:c r="B747" s="30"/>
      <ns0:c r="C747" s="28"/>
      <ns0:c r="D747" s="29"/>
      <ns0:c r="E747" s="31"/>
      <ns0:c r="F747" s="32"/>
      <ns0:c r="G747" s="29"/>
      <ns0:c r="H747" s="29"/>
      <ns0:c r="I747" s="29"/>
      <ns0:c r="J747" s="29"/>
      <ns0:c r="K747" s="29"/>
    </ns0:row>
    <ns0:row r="748" ht="28" customHeight="1">
      <ns0:c r="A748" s="29"/>
      <ns0:c r="B748" s="30"/>
      <ns0:c r="C748" s="28"/>
      <ns0:c r="D748" s="29"/>
      <ns0:c r="E748" s="31"/>
      <ns0:c r="F748" s="32"/>
      <ns0:c r="G748" s="29"/>
      <ns0:c r="H748" s="29"/>
      <ns0:c r="I748" s="29"/>
      <ns0:c r="J748" s="29"/>
      <ns0:c r="K748" s="29"/>
    </ns0:row>
    <ns0:row r="749" ht="28" customHeight="1">
      <ns0:c r="A749" s="29"/>
      <ns0:c r="B749" s="30"/>
      <ns0:c r="C749" s="28"/>
      <ns0:c r="D749" s="29"/>
      <ns0:c r="E749" s="31"/>
      <ns0:c r="F749" s="32"/>
      <ns0:c r="G749" s="29"/>
      <ns0:c r="H749" s="29"/>
      <ns0:c r="I749" s="29"/>
      <ns0:c r="J749" s="29"/>
      <ns0:c r="K749" s="29"/>
    </ns0:row>
    <ns0:row r="750" ht="28" customHeight="1">
      <ns0:c r="A750" s="29"/>
      <ns0:c r="B750" s="30"/>
      <ns0:c r="C750" s="28"/>
      <ns0:c r="D750" s="29"/>
      <ns0:c r="E750" s="31"/>
      <ns0:c r="F750" s="32"/>
      <ns0:c r="G750" s="29"/>
      <ns0:c r="H750" s="29"/>
      <ns0:c r="I750" s="29"/>
      <ns0:c r="J750" s="29"/>
      <ns0:c r="K750" s="29"/>
    </ns0:row>
    <ns0:row r="751" ht="28" customHeight="1">
      <ns0:c r="A751" s="29"/>
      <ns0:c r="B751" s="30"/>
      <ns0:c r="C751" s="28"/>
      <ns0:c r="D751" s="29"/>
      <ns0:c r="E751" s="31"/>
      <ns0:c r="F751" s="32"/>
      <ns0:c r="G751" s="29"/>
      <ns0:c r="H751" s="29"/>
      <ns0:c r="I751" s="29"/>
      <ns0:c r="J751" s="29"/>
      <ns0:c r="K751" s="29"/>
    </ns0:row>
    <ns0:row r="752" ht="28" customHeight="1">
      <ns0:c r="A752" s="29"/>
      <ns0:c r="B752" s="30"/>
      <ns0:c r="C752" s="28"/>
      <ns0:c r="D752" s="29"/>
      <ns0:c r="E752" s="31"/>
      <ns0:c r="F752" s="32"/>
      <ns0:c r="G752" s="29"/>
      <ns0:c r="H752" s="29"/>
      <ns0:c r="I752" s="29"/>
      <ns0:c r="J752" s="29"/>
      <ns0:c r="K752" s="29"/>
    </ns0:row>
    <ns0:row r="753" ht="28" customHeight="1">
      <ns0:c r="A753" s="29"/>
      <ns0:c r="B753" s="30"/>
      <ns0:c r="C753" s="28"/>
      <ns0:c r="D753" s="29"/>
      <ns0:c r="E753" s="31"/>
      <ns0:c r="F753" s="32"/>
      <ns0:c r="G753" s="29"/>
      <ns0:c r="H753" s="29"/>
      <ns0:c r="I753" s="29"/>
      <ns0:c r="J753" s="29"/>
      <ns0:c r="K753" s="29"/>
    </ns0:row>
    <ns0:row r="754" ht="28" customHeight="1">
      <ns0:c r="A754" s="29"/>
      <ns0:c r="B754" s="30"/>
      <ns0:c r="C754" s="28"/>
      <ns0:c r="D754" s="29"/>
      <ns0:c r="E754" s="31"/>
      <ns0:c r="F754" s="32"/>
      <ns0:c r="G754" s="29"/>
      <ns0:c r="H754" s="29"/>
      <ns0:c r="I754" s="29"/>
      <ns0:c r="J754" s="29"/>
      <ns0:c r="K754" s="29"/>
    </ns0:row>
    <ns0:row r="755" ht="28" customHeight="1">
      <ns0:c r="A755" s="29"/>
      <ns0:c r="B755" s="30"/>
      <ns0:c r="C755" s="28"/>
      <ns0:c r="D755" s="29"/>
      <ns0:c r="E755" s="31"/>
      <ns0:c r="F755" s="32"/>
      <ns0:c r="G755" s="29"/>
      <ns0:c r="H755" s="29"/>
      <ns0:c r="I755" s="29"/>
      <ns0:c r="J755" s="29"/>
      <ns0:c r="K755" s="29"/>
    </ns0:row>
    <ns0:row r="756" ht="28" customHeight="1">
      <ns0:c r="A756" s="29"/>
      <ns0:c r="B756" s="30"/>
      <ns0:c r="C756" s="28"/>
      <ns0:c r="D756" s="29"/>
      <ns0:c r="E756" s="31"/>
      <ns0:c r="F756" s="32"/>
      <ns0:c r="G756" s="29"/>
      <ns0:c r="H756" s="29"/>
      <ns0:c r="I756" s="29"/>
      <ns0:c r="J756" s="29"/>
      <ns0:c r="K756" s="29"/>
    </ns0:row>
    <ns0:row r="757" ht="28" customHeight="1">
      <ns0:c r="A757" s="29"/>
      <ns0:c r="B757" s="30"/>
      <ns0:c r="C757" s="28"/>
      <ns0:c r="D757" s="29"/>
      <ns0:c r="E757" s="31"/>
      <ns0:c r="F757" s="32"/>
      <ns0:c r="G757" s="29"/>
      <ns0:c r="H757" s="29"/>
      <ns0:c r="I757" s="29"/>
      <ns0:c r="J757" s="29"/>
      <ns0:c r="K757" s="29"/>
    </ns0:row>
    <ns0:row r="758" ht="28" customHeight="1">
      <ns0:c r="A758" s="29"/>
      <ns0:c r="B758" s="30"/>
      <ns0:c r="C758" s="28"/>
      <ns0:c r="D758" s="29"/>
      <ns0:c r="E758" s="31"/>
      <ns0:c r="F758" s="32"/>
      <ns0:c r="G758" s="29"/>
      <ns0:c r="H758" s="29"/>
      <ns0:c r="I758" s="29"/>
      <ns0:c r="J758" s="29"/>
      <ns0:c r="K758" s="29"/>
    </ns0:row>
    <ns0:row r="759" ht="28" customHeight="1">
      <ns0:c r="A759" s="29"/>
      <ns0:c r="B759" s="30"/>
      <ns0:c r="C759" s="28"/>
      <ns0:c r="D759" s="29"/>
      <ns0:c r="E759" s="31"/>
      <ns0:c r="F759" s="32"/>
      <ns0:c r="G759" s="29"/>
      <ns0:c r="H759" s="29"/>
      <ns0:c r="I759" s="29"/>
      <ns0:c r="J759" s="29"/>
      <ns0:c r="K759" s="29"/>
    </ns0:row>
    <ns0:row r="760" ht="28" customHeight="1">
      <ns0:c r="A760" s="29"/>
      <ns0:c r="B760" s="30"/>
      <ns0:c r="C760" s="28"/>
      <ns0:c r="D760" s="29"/>
      <ns0:c r="E760" s="31"/>
      <ns0:c r="F760" s="32"/>
      <ns0:c r="G760" s="29"/>
      <ns0:c r="H760" s="29"/>
      <ns0:c r="I760" s="29"/>
      <ns0:c r="J760" s="29"/>
      <ns0:c r="K760" s="29"/>
    </ns0:row>
    <ns0:row r="761" ht="28" customHeight="1">
      <ns0:c r="A761" s="29"/>
      <ns0:c r="B761" s="30"/>
      <ns0:c r="C761" s="28"/>
      <ns0:c r="D761" s="29"/>
      <ns0:c r="E761" s="31"/>
      <ns0:c r="F761" s="32"/>
      <ns0:c r="G761" s="29"/>
      <ns0:c r="H761" s="29"/>
      <ns0:c r="I761" s="29"/>
      <ns0:c r="J761" s="29"/>
      <ns0:c r="K761" s="29"/>
    </ns0:row>
    <ns0:row r="762" ht="28" customHeight="1">
      <ns0:c r="A762" s="29"/>
      <ns0:c r="B762" s="30"/>
      <ns0:c r="C762" s="28"/>
      <ns0:c r="D762" s="29"/>
      <ns0:c r="E762" s="31"/>
      <ns0:c r="F762" s="32"/>
      <ns0:c r="G762" s="29"/>
      <ns0:c r="H762" s="29"/>
      <ns0:c r="I762" s="29"/>
      <ns0:c r="J762" s="29"/>
      <ns0:c r="K762" s="29"/>
    </ns0:row>
    <ns0:row r="763" ht="28" customHeight="1">
      <ns0:c r="A763" s="29"/>
      <ns0:c r="B763" s="30"/>
      <ns0:c r="C763" s="28"/>
      <ns0:c r="D763" s="29"/>
      <ns0:c r="E763" s="31"/>
      <ns0:c r="F763" s="32"/>
      <ns0:c r="G763" s="29"/>
      <ns0:c r="H763" s="29"/>
      <ns0:c r="I763" s="29"/>
      <ns0:c r="J763" s="29"/>
      <ns0:c r="K763" s="29"/>
    </ns0:row>
    <ns0:row r="764" ht="28" customHeight="1">
      <ns0:c r="A764" s="29"/>
      <ns0:c r="B764" s="30"/>
      <ns0:c r="C764" s="28"/>
      <ns0:c r="D764" s="29"/>
      <ns0:c r="E764" s="31"/>
      <ns0:c r="F764" s="32"/>
      <ns0:c r="G764" s="29"/>
      <ns0:c r="H764" s="29"/>
      <ns0:c r="I764" s="29"/>
      <ns0:c r="J764" s="29"/>
      <ns0:c r="K764" s="29"/>
    </ns0:row>
    <ns0:row r="765" ht="28" customHeight="1">
      <ns0:c r="A765" s="29"/>
      <ns0:c r="B765" s="30"/>
      <ns0:c r="C765" s="28"/>
      <ns0:c r="D765" s="29"/>
      <ns0:c r="E765" s="31"/>
      <ns0:c r="F765" s="32"/>
      <ns0:c r="G765" s="29"/>
      <ns0:c r="H765" s="29"/>
      <ns0:c r="I765" s="29"/>
      <ns0:c r="J765" s="29"/>
      <ns0:c r="K765" s="29"/>
    </ns0:row>
    <ns0:row r="766" ht="28" customHeight="1">
      <ns0:c r="A766" s="29"/>
      <ns0:c r="B766" s="30"/>
      <ns0:c r="C766" s="28"/>
      <ns0:c r="D766" s="29"/>
      <ns0:c r="E766" s="31"/>
      <ns0:c r="F766" s="32"/>
      <ns0:c r="G766" s="29"/>
      <ns0:c r="H766" s="29"/>
      <ns0:c r="I766" s="29"/>
      <ns0:c r="J766" s="29"/>
      <ns0:c r="K766" s="29"/>
    </ns0:row>
    <ns0:row r="767" ht="28" customHeight="1">
      <ns0:c r="A767" s="29"/>
      <ns0:c r="B767" s="30"/>
      <ns0:c r="C767" s="28"/>
      <ns0:c r="D767" s="29"/>
      <ns0:c r="E767" s="31"/>
      <ns0:c r="F767" s="32"/>
      <ns0:c r="G767" s="29"/>
      <ns0:c r="H767" s="29"/>
      <ns0:c r="I767" s="29"/>
      <ns0:c r="J767" s="29"/>
      <ns0:c r="K767" s="29"/>
    </ns0:row>
    <ns0:row r="768" ht="28" customHeight="1">
      <ns0:c r="A768" s="29"/>
      <ns0:c r="B768" s="30"/>
      <ns0:c r="C768" s="28"/>
      <ns0:c r="D768" s="29"/>
      <ns0:c r="E768" s="31"/>
      <ns0:c r="F768" s="32"/>
      <ns0:c r="G768" s="29"/>
      <ns0:c r="H768" s="29"/>
      <ns0:c r="I768" s="29"/>
      <ns0:c r="J768" s="29"/>
      <ns0:c r="K768" s="29"/>
    </ns0:row>
    <ns0:row r="769" ht="28" customHeight="1">
      <ns0:c r="A769" s="29"/>
      <ns0:c r="B769" s="30"/>
      <ns0:c r="C769" s="28"/>
      <ns0:c r="D769" s="29"/>
      <ns0:c r="E769" s="31"/>
      <ns0:c r="F769" s="32"/>
      <ns0:c r="G769" s="29"/>
      <ns0:c r="H769" s="29"/>
      <ns0:c r="I769" s="29"/>
      <ns0:c r="J769" s="29"/>
      <ns0:c r="K769" s="29"/>
    </ns0:row>
    <ns0:row r="770" ht="28" customHeight="1">
      <ns0:c r="A770" s="29"/>
      <ns0:c r="B770" s="30"/>
      <ns0:c r="C770" s="28"/>
      <ns0:c r="D770" s="29"/>
      <ns0:c r="E770" s="31"/>
      <ns0:c r="F770" s="32"/>
      <ns0:c r="G770" s="29"/>
      <ns0:c r="H770" s="29"/>
      <ns0:c r="I770" s="29"/>
      <ns0:c r="J770" s="29"/>
      <ns0:c r="K770" s="29"/>
    </ns0:row>
    <ns0:row r="771" ht="28" customHeight="1">
      <ns0:c r="A771" s="29"/>
      <ns0:c r="B771" s="30"/>
      <ns0:c r="C771" s="28"/>
      <ns0:c r="D771" s="29"/>
      <ns0:c r="E771" s="31"/>
      <ns0:c r="F771" s="32"/>
      <ns0:c r="G771" s="29"/>
      <ns0:c r="H771" s="29"/>
      <ns0:c r="I771" s="29"/>
      <ns0:c r="J771" s="29"/>
      <ns0:c r="K771" s="29"/>
    </ns0:row>
    <ns0:row r="772" ht="28" customHeight="1">
      <ns0:c r="A772" s="29"/>
      <ns0:c r="B772" s="30"/>
      <ns0:c r="C772" s="28"/>
      <ns0:c r="D772" s="29"/>
      <ns0:c r="E772" s="31"/>
      <ns0:c r="F772" s="32"/>
      <ns0:c r="G772" s="29"/>
      <ns0:c r="H772" s="29"/>
      <ns0:c r="I772" s="29"/>
      <ns0:c r="J772" s="29"/>
      <ns0:c r="K772" s="29"/>
    </ns0:row>
    <ns0:row r="773" ht="28" customHeight="1">
      <ns0:c r="A773" s="29"/>
      <ns0:c r="B773" s="30"/>
      <ns0:c r="C773" s="28"/>
      <ns0:c r="D773" s="29"/>
      <ns0:c r="E773" s="31"/>
      <ns0:c r="F773" s="32"/>
      <ns0:c r="G773" s="29"/>
      <ns0:c r="H773" s="29"/>
      <ns0:c r="I773" s="29"/>
      <ns0:c r="J773" s="29"/>
      <ns0:c r="K773" s="29"/>
    </ns0:row>
    <ns0:row r="774" ht="28" customHeight="1">
      <ns0:c r="A774" s="29"/>
      <ns0:c r="B774" s="30"/>
      <ns0:c r="C774" s="28"/>
      <ns0:c r="D774" s="29"/>
      <ns0:c r="E774" s="31"/>
      <ns0:c r="F774" s="32"/>
      <ns0:c r="G774" s="29"/>
      <ns0:c r="H774" s="29"/>
      <ns0:c r="I774" s="29"/>
      <ns0:c r="J774" s="29"/>
      <ns0:c r="K774" s="29"/>
    </ns0:row>
    <ns0:row r="775" ht="28" customHeight="1">
      <ns0:c r="A775" s="29"/>
      <ns0:c r="B775" s="30"/>
      <ns0:c r="C775" s="28"/>
      <ns0:c r="D775" s="29"/>
      <ns0:c r="E775" s="31"/>
      <ns0:c r="F775" s="32"/>
      <ns0:c r="G775" s="29"/>
      <ns0:c r="H775" s="29"/>
      <ns0:c r="I775" s="29"/>
      <ns0:c r="J775" s="29"/>
      <ns0:c r="K775" s="29"/>
    </ns0:row>
    <ns0:row r="776" ht="28" customHeight="1">
      <ns0:c r="A776" s="29"/>
      <ns0:c r="B776" s="30"/>
      <ns0:c r="C776" s="28"/>
      <ns0:c r="D776" s="29"/>
      <ns0:c r="E776" s="31"/>
      <ns0:c r="F776" s="32"/>
      <ns0:c r="G776" s="29"/>
      <ns0:c r="H776" s="29"/>
      <ns0:c r="I776" s="29"/>
      <ns0:c r="J776" s="29"/>
      <ns0:c r="K776" s="29"/>
    </ns0:row>
    <ns0:row r="777" ht="28" customHeight="1">
      <ns0:c r="A777" s="29"/>
      <ns0:c r="B777" s="30"/>
      <ns0:c r="C777" s="28"/>
      <ns0:c r="D777" s="29"/>
      <ns0:c r="E777" s="31"/>
      <ns0:c r="F777" s="32"/>
      <ns0:c r="G777" s="29"/>
      <ns0:c r="H777" s="29"/>
      <ns0:c r="I777" s="29"/>
      <ns0:c r="J777" s="29"/>
      <ns0:c r="K777" s="29"/>
    </ns0:row>
    <ns0:row r="778" ht="28" customHeight="1">
      <ns0:c r="A778" s="29"/>
      <ns0:c r="B778" s="30"/>
      <ns0:c r="C778" s="28"/>
      <ns0:c r="D778" s="29"/>
      <ns0:c r="E778" s="31"/>
      <ns0:c r="F778" s="32"/>
      <ns0:c r="G778" s="29"/>
      <ns0:c r="H778" s="29"/>
      <ns0:c r="I778" s="29"/>
      <ns0:c r="J778" s="29"/>
      <ns0:c r="K778" s="29"/>
    </ns0:row>
    <ns0:row r="779" ht="28" customHeight="1">
      <ns0:c r="A779" s="29"/>
      <ns0:c r="B779" s="30"/>
      <ns0:c r="C779" s="28"/>
      <ns0:c r="D779" s="29"/>
      <ns0:c r="E779" s="31"/>
      <ns0:c r="F779" s="32"/>
      <ns0:c r="G779" s="29"/>
      <ns0:c r="H779" s="29"/>
      <ns0:c r="I779" s="29"/>
      <ns0:c r="J779" s="29"/>
      <ns0:c r="K779" s="29"/>
    </ns0:row>
    <ns0:row r="780" ht="28" customHeight="1">
      <ns0:c r="A780" s="29"/>
      <ns0:c r="B780" s="30"/>
      <ns0:c r="C780" s="28"/>
      <ns0:c r="D780" s="29"/>
      <ns0:c r="E780" s="31"/>
      <ns0:c r="F780" s="32"/>
      <ns0:c r="G780" s="29"/>
      <ns0:c r="H780" s="29"/>
      <ns0:c r="I780" s="29"/>
      <ns0:c r="J780" s="29"/>
      <ns0:c r="K780" s="29"/>
    </ns0:row>
    <ns0:row r="781" ht="28" customHeight="1">
      <ns0:c r="A781" s="29"/>
      <ns0:c r="B781" s="30"/>
      <ns0:c r="C781" s="28"/>
      <ns0:c r="D781" s="29"/>
      <ns0:c r="E781" s="31"/>
      <ns0:c r="F781" s="32"/>
      <ns0:c r="G781" s="29"/>
      <ns0:c r="H781" s="29"/>
      <ns0:c r="I781" s="29"/>
      <ns0:c r="J781" s="29"/>
      <ns0:c r="K781" s="29"/>
    </ns0:row>
    <ns0:row r="782" ht="28" customHeight="1">
      <ns0:c r="A782" s="29"/>
      <ns0:c r="B782" s="30"/>
      <ns0:c r="C782" s="28"/>
      <ns0:c r="D782" s="29"/>
      <ns0:c r="E782" s="31"/>
      <ns0:c r="F782" s="32"/>
      <ns0:c r="G782" s="29"/>
      <ns0:c r="H782" s="29"/>
      <ns0:c r="I782" s="29"/>
      <ns0:c r="J782" s="29"/>
      <ns0:c r="K782" s="29"/>
    </ns0:row>
    <ns0:row r="783" ht="28" customHeight="1">
      <ns0:c r="A783" s="29"/>
      <ns0:c r="B783" s="30"/>
      <ns0:c r="C783" s="28"/>
      <ns0:c r="D783" s="29"/>
      <ns0:c r="E783" s="31"/>
      <ns0:c r="F783" s="32"/>
      <ns0:c r="G783" s="29"/>
      <ns0:c r="H783" s="29"/>
      <ns0:c r="I783" s="29"/>
      <ns0:c r="J783" s="29"/>
      <ns0:c r="K783" s="29"/>
    </ns0:row>
    <ns0:row r="784" ht="28" customHeight="1">
      <ns0:c r="A784" s="29"/>
      <ns0:c r="B784" s="30"/>
      <ns0:c r="C784" s="28"/>
      <ns0:c r="D784" s="29"/>
      <ns0:c r="E784" s="31"/>
      <ns0:c r="F784" s="32"/>
      <ns0:c r="G784" s="29"/>
      <ns0:c r="H784" s="29"/>
      <ns0:c r="I784" s="29"/>
      <ns0:c r="J784" s="29"/>
      <ns0:c r="K784" s="29"/>
    </ns0:row>
    <ns0:row r="785" ht="28" customHeight="1">
      <ns0:c r="A785" s="29"/>
      <ns0:c r="B785" s="30"/>
      <ns0:c r="C785" s="28"/>
      <ns0:c r="D785" s="29"/>
      <ns0:c r="E785" s="31"/>
      <ns0:c r="F785" s="32"/>
      <ns0:c r="G785" s="29"/>
      <ns0:c r="H785" s="29"/>
      <ns0:c r="I785" s="29"/>
      <ns0:c r="J785" s="29"/>
      <ns0:c r="K785" s="29"/>
    </ns0:row>
    <ns0:row r="786" ht="28" customHeight="1">
      <ns0:c r="A786" s="29"/>
      <ns0:c r="B786" s="30"/>
      <ns0:c r="C786" s="28"/>
      <ns0:c r="D786" s="29"/>
      <ns0:c r="E786" s="31"/>
      <ns0:c r="F786" s="32"/>
      <ns0:c r="G786" s="29"/>
      <ns0:c r="H786" s="29"/>
      <ns0:c r="I786" s="29"/>
      <ns0:c r="J786" s="29"/>
      <ns0:c r="K786" s="29"/>
    </ns0:row>
    <ns0:row r="787" ht="28" customHeight="1">
      <ns0:c r="A787" s="29"/>
      <ns0:c r="B787" s="30"/>
      <ns0:c r="C787" s="28"/>
      <ns0:c r="D787" s="29"/>
      <ns0:c r="E787" s="31"/>
      <ns0:c r="F787" s="32"/>
      <ns0:c r="G787" s="29"/>
      <ns0:c r="H787" s="29"/>
      <ns0:c r="I787" s="29"/>
      <ns0:c r="J787" s="29"/>
      <ns0:c r="K787" s="29"/>
    </ns0:row>
    <ns0:row r="788" ht="28" customHeight="1">
      <ns0:c r="A788" s="29"/>
      <ns0:c r="B788" s="30"/>
      <ns0:c r="C788" s="28"/>
      <ns0:c r="D788" s="29"/>
      <ns0:c r="E788" s="31"/>
      <ns0:c r="F788" s="32"/>
      <ns0:c r="G788" s="29"/>
      <ns0:c r="H788" s="29"/>
      <ns0:c r="I788" s="29"/>
      <ns0:c r="J788" s="29"/>
      <ns0:c r="K788" s="29"/>
    </ns0:row>
    <ns0:row r="789" ht="28" customHeight="1">
      <ns0:c r="A789" s="29"/>
      <ns0:c r="B789" s="30"/>
      <ns0:c r="C789" s="28"/>
      <ns0:c r="D789" s="29"/>
      <ns0:c r="E789" s="31"/>
      <ns0:c r="F789" s="32"/>
      <ns0:c r="G789" s="29"/>
      <ns0:c r="H789" s="29"/>
      <ns0:c r="I789" s="29"/>
      <ns0:c r="J789" s="29"/>
      <ns0:c r="K789" s="29"/>
    </ns0:row>
    <ns0:row r="790" ht="28" customHeight="1">
      <ns0:c r="A790" s="29"/>
      <ns0:c r="B790" s="30"/>
      <ns0:c r="C790" s="28"/>
      <ns0:c r="D790" s="29"/>
      <ns0:c r="E790" s="31"/>
      <ns0:c r="F790" s="32"/>
      <ns0:c r="G790" s="29"/>
      <ns0:c r="H790" s="29"/>
      <ns0:c r="I790" s="29"/>
      <ns0:c r="J790" s="29"/>
      <ns0:c r="K790" s="29"/>
    </ns0:row>
    <ns0:row r="791" ht="28" customHeight="1">
      <ns0:c r="A791" s="29"/>
      <ns0:c r="B791" s="30"/>
      <ns0:c r="C791" s="28"/>
      <ns0:c r="D791" s="29"/>
      <ns0:c r="E791" s="31"/>
      <ns0:c r="F791" s="32"/>
      <ns0:c r="G791" s="29"/>
      <ns0:c r="H791" s="29"/>
      <ns0:c r="I791" s="29"/>
      <ns0:c r="J791" s="29"/>
      <ns0:c r="K791" s="29"/>
    </ns0:row>
    <ns0:row r="792" ht="28" customHeight="1">
      <ns0:c r="A792" s="29"/>
      <ns0:c r="B792" s="30"/>
      <ns0:c r="C792" s="28"/>
      <ns0:c r="D792" s="29"/>
      <ns0:c r="E792" s="31"/>
      <ns0:c r="F792" s="32"/>
      <ns0:c r="G792" s="29"/>
      <ns0:c r="H792" s="29"/>
      <ns0:c r="I792" s="29"/>
      <ns0:c r="J792" s="29"/>
      <ns0:c r="K792" s="29"/>
    </ns0:row>
    <ns0:row r="793" ht="28" customHeight="1">
      <ns0:c r="A793" s="29"/>
      <ns0:c r="B793" s="30"/>
      <ns0:c r="C793" s="28"/>
      <ns0:c r="D793" s="29"/>
      <ns0:c r="E793" s="31"/>
      <ns0:c r="F793" s="32"/>
      <ns0:c r="G793" s="29"/>
      <ns0:c r="H793" s="29"/>
      <ns0:c r="I793" s="29"/>
      <ns0:c r="J793" s="29"/>
      <ns0:c r="K793" s="29"/>
    </ns0:row>
    <ns0:row r="794" ht="28" customHeight="1">
      <ns0:c r="A794" s="29"/>
      <ns0:c r="B794" s="30"/>
      <ns0:c r="C794" s="28"/>
      <ns0:c r="D794" s="29"/>
      <ns0:c r="E794" s="31"/>
      <ns0:c r="F794" s="32"/>
      <ns0:c r="G794" s="29"/>
      <ns0:c r="H794" s="29"/>
      <ns0:c r="I794" s="29"/>
      <ns0:c r="J794" s="29"/>
      <ns0:c r="K794" s="29"/>
    </ns0:row>
    <ns0:row r="795" ht="28" customHeight="1">
      <ns0:c r="A795" s="29"/>
      <ns0:c r="B795" s="30"/>
      <ns0:c r="C795" s="28"/>
      <ns0:c r="D795" s="29"/>
      <ns0:c r="E795" s="31"/>
      <ns0:c r="F795" s="32"/>
      <ns0:c r="G795" s="29"/>
      <ns0:c r="H795" s="29"/>
      <ns0:c r="I795" s="29"/>
      <ns0:c r="J795" s="29"/>
      <ns0:c r="K795" s="29"/>
    </ns0:row>
    <ns0:row r="796" ht="28" customHeight="1">
      <ns0:c r="A796" s="29"/>
      <ns0:c r="B796" s="30"/>
      <ns0:c r="C796" s="28"/>
      <ns0:c r="D796" s="29"/>
      <ns0:c r="E796" s="31"/>
      <ns0:c r="F796" s="32"/>
      <ns0:c r="G796" s="29"/>
      <ns0:c r="H796" s="29"/>
      <ns0:c r="I796" s="29"/>
      <ns0:c r="J796" s="29"/>
      <ns0:c r="K796" s="29"/>
    </ns0:row>
    <ns0:row r="797" ht="28" customHeight="1">
      <ns0:c r="A797" s="29"/>
      <ns0:c r="B797" s="30"/>
      <ns0:c r="C797" s="28"/>
      <ns0:c r="D797" s="29"/>
      <ns0:c r="E797" s="31"/>
      <ns0:c r="F797" s="32"/>
      <ns0:c r="G797" s="29"/>
      <ns0:c r="H797" s="29"/>
      <ns0:c r="I797" s="29"/>
      <ns0:c r="J797" s="29"/>
      <ns0:c r="K797" s="29"/>
    </ns0:row>
    <ns0:row r="798" ht="28" customHeight="1">
      <ns0:c r="A798" s="29"/>
      <ns0:c r="B798" s="30"/>
      <ns0:c r="C798" s="28"/>
      <ns0:c r="D798" s="29"/>
      <ns0:c r="E798" s="31"/>
      <ns0:c r="F798" s="32"/>
      <ns0:c r="G798" s="29"/>
      <ns0:c r="H798" s="29"/>
      <ns0:c r="I798" s="29"/>
      <ns0:c r="J798" s="29"/>
      <ns0:c r="K798" s="29"/>
    </ns0:row>
    <ns0:row r="799" ht="28" customHeight="1">
      <ns0:c r="A799" s="29"/>
      <ns0:c r="B799" s="30"/>
      <ns0:c r="C799" s="28"/>
      <ns0:c r="D799" s="29"/>
      <ns0:c r="E799" s="31"/>
      <ns0:c r="F799" s="32"/>
      <ns0:c r="G799" s="29"/>
      <ns0:c r="H799" s="29"/>
      <ns0:c r="I799" s="29"/>
      <ns0:c r="J799" s="29"/>
      <ns0:c r="K799" s="29"/>
    </ns0:row>
    <ns0:row r="800" ht="28" customHeight="1">
      <ns0:c r="A800" s="29"/>
      <ns0:c r="B800" s="30"/>
      <ns0:c r="C800" s="28"/>
      <ns0:c r="D800" s="29"/>
      <ns0:c r="E800" s="31"/>
      <ns0:c r="F800" s="32"/>
      <ns0:c r="G800" s="29"/>
      <ns0:c r="H800" s="29"/>
      <ns0:c r="I800" s="29"/>
      <ns0:c r="J800" s="29"/>
      <ns0:c r="K800" s="29"/>
    </ns0:row>
    <ns0:row r="801" ht="28" customHeight="1">
      <ns0:c r="A801" s="29"/>
      <ns0:c r="B801" s="30"/>
      <ns0:c r="C801" s="28"/>
      <ns0:c r="D801" s="29"/>
      <ns0:c r="E801" s="31"/>
      <ns0:c r="F801" s="32"/>
      <ns0:c r="G801" s="29"/>
      <ns0:c r="H801" s="29"/>
      <ns0:c r="I801" s="29"/>
      <ns0:c r="J801" s="29"/>
      <ns0:c r="K801" s="29"/>
    </ns0:row>
    <ns0:row r="802" ht="28" customHeight="1">
      <ns0:c r="A802" s="29"/>
      <ns0:c r="B802" s="30"/>
      <ns0:c r="C802" s="28"/>
      <ns0:c r="D802" s="29"/>
      <ns0:c r="E802" s="31"/>
      <ns0:c r="F802" s="32"/>
      <ns0:c r="G802" s="29"/>
      <ns0:c r="H802" s="29"/>
      <ns0:c r="I802" s="29"/>
      <ns0:c r="J802" s="29"/>
      <ns0:c r="K802" s="29"/>
    </ns0:row>
    <ns0:row r="803" ht="28" customHeight="1">
      <ns0:c r="A803" s="29"/>
      <ns0:c r="B803" s="30"/>
      <ns0:c r="C803" s="28"/>
      <ns0:c r="D803" s="29"/>
      <ns0:c r="E803" s="31"/>
      <ns0:c r="F803" s="32"/>
      <ns0:c r="G803" s="29"/>
      <ns0:c r="H803" s="29"/>
      <ns0:c r="I803" s="29"/>
      <ns0:c r="J803" s="29"/>
      <ns0:c r="K803" s="29"/>
    </ns0:row>
    <ns0:row r="804" ht="28" customHeight="1">
      <ns0:c r="A804" s="29"/>
      <ns0:c r="B804" s="30"/>
      <ns0:c r="C804" s="28"/>
      <ns0:c r="D804" s="29"/>
      <ns0:c r="E804" s="31"/>
      <ns0:c r="F804" s="32"/>
      <ns0:c r="G804" s="29"/>
      <ns0:c r="H804" s="29"/>
      <ns0:c r="I804" s="29"/>
      <ns0:c r="J804" s="29"/>
      <ns0:c r="K804" s="29"/>
    </ns0:row>
    <ns0:row r="805" ht="28" customHeight="1">
      <ns0:c r="A805" s="29"/>
      <ns0:c r="B805" s="30"/>
      <ns0:c r="C805" s="28"/>
      <ns0:c r="D805" s="29"/>
      <ns0:c r="E805" s="31"/>
      <ns0:c r="F805" s="32"/>
      <ns0:c r="G805" s="29"/>
      <ns0:c r="H805" s="29"/>
      <ns0:c r="I805" s="29"/>
      <ns0:c r="J805" s="29"/>
      <ns0:c r="K805" s="29"/>
    </ns0:row>
    <ns0:row r="806" ht="28" customHeight="1">
      <ns0:c r="A806" s="29"/>
      <ns0:c r="B806" s="30"/>
      <ns0:c r="C806" s="28"/>
      <ns0:c r="D806" s="29"/>
      <ns0:c r="E806" s="31"/>
      <ns0:c r="F806" s="32"/>
      <ns0:c r="G806" s="29"/>
      <ns0:c r="H806" s="29"/>
      <ns0:c r="I806" s="29"/>
      <ns0:c r="J806" s="29"/>
      <ns0:c r="K806" s="29"/>
    </ns0:row>
    <ns0:row r="807" ht="28" customHeight="1">
      <ns0:c r="A807" s="29"/>
      <ns0:c r="B807" s="30"/>
      <ns0:c r="C807" s="28"/>
      <ns0:c r="D807" s="29"/>
      <ns0:c r="E807" s="31"/>
      <ns0:c r="F807" s="32"/>
      <ns0:c r="G807" s="29"/>
      <ns0:c r="H807" s="29"/>
      <ns0:c r="I807" s="29"/>
      <ns0:c r="J807" s="29"/>
      <ns0:c r="K807" s="29"/>
    </ns0:row>
    <ns0:row r="808" ht="28" customHeight="1">
      <ns0:c r="A808" s="29"/>
      <ns0:c r="B808" s="30"/>
      <ns0:c r="C808" s="28"/>
      <ns0:c r="D808" s="29"/>
      <ns0:c r="E808" s="31"/>
      <ns0:c r="F808" s="32"/>
      <ns0:c r="G808" s="29"/>
      <ns0:c r="H808" s="29"/>
      <ns0:c r="I808" s="29"/>
      <ns0:c r="J808" s="29"/>
      <ns0:c r="K808" s="29"/>
    </ns0:row>
    <ns0:row r="809" ht="28" customHeight="1">
      <ns0:c r="A809" s="29"/>
      <ns0:c r="B809" s="30"/>
      <ns0:c r="C809" s="28"/>
      <ns0:c r="D809" s="29"/>
      <ns0:c r="E809" s="31"/>
      <ns0:c r="F809" s="32"/>
      <ns0:c r="G809" s="29"/>
      <ns0:c r="H809" s="29"/>
      <ns0:c r="I809" s="29"/>
      <ns0:c r="J809" s="29"/>
      <ns0:c r="K809" s="29"/>
    </ns0:row>
    <ns0:row r="810" ht="28" customHeight="1">
      <ns0:c r="A810" s="29"/>
      <ns0:c r="B810" s="30"/>
      <ns0:c r="C810" s="28"/>
      <ns0:c r="D810" s="29"/>
      <ns0:c r="E810" s="31"/>
      <ns0:c r="F810" s="32"/>
      <ns0:c r="G810" s="29"/>
      <ns0:c r="H810" s="29"/>
      <ns0:c r="I810" s="29"/>
      <ns0:c r="J810" s="29"/>
      <ns0:c r="K810" s="29"/>
    </ns0:row>
    <ns0:row r="811" ht="28" customHeight="1">
      <ns0:c r="A811" s="29"/>
      <ns0:c r="B811" s="30"/>
      <ns0:c r="C811" s="28"/>
      <ns0:c r="D811" s="29"/>
      <ns0:c r="E811" s="31"/>
      <ns0:c r="F811" s="32"/>
      <ns0:c r="G811" s="29"/>
      <ns0:c r="H811" s="29"/>
      <ns0:c r="I811" s="29"/>
      <ns0:c r="J811" s="29"/>
      <ns0:c r="K811" s="29"/>
    </ns0:row>
    <ns0:row r="812" ht="28" customHeight="1">
      <ns0:c r="A812" s="29"/>
      <ns0:c r="B812" s="30"/>
      <ns0:c r="C812" s="28"/>
      <ns0:c r="D812" s="29"/>
      <ns0:c r="E812" s="31"/>
      <ns0:c r="F812" s="32"/>
      <ns0:c r="G812" s="29"/>
      <ns0:c r="H812" s="29"/>
      <ns0:c r="I812" s="29"/>
      <ns0:c r="J812" s="29"/>
      <ns0:c r="K812" s="29"/>
    </ns0:row>
    <ns0:row r="813" ht="28" customHeight="1">
      <ns0:c r="A813" s="29"/>
      <ns0:c r="B813" s="30"/>
      <ns0:c r="C813" s="28"/>
      <ns0:c r="D813" s="29"/>
      <ns0:c r="E813" s="31"/>
      <ns0:c r="F813" s="32"/>
      <ns0:c r="G813" s="29"/>
      <ns0:c r="H813" s="29"/>
      <ns0:c r="I813" s="29"/>
      <ns0:c r="J813" s="29"/>
      <ns0:c r="K813" s="29"/>
    </ns0:row>
    <ns0:row r="814" ht="28" customHeight="1">
      <ns0:c r="A814" s="29"/>
      <ns0:c r="B814" s="30"/>
      <ns0:c r="C814" s="28"/>
      <ns0:c r="D814" s="29"/>
      <ns0:c r="E814" s="31"/>
      <ns0:c r="F814" s="32"/>
      <ns0:c r="G814" s="29"/>
      <ns0:c r="H814" s="29"/>
      <ns0:c r="I814" s="29"/>
      <ns0:c r="J814" s="29"/>
      <ns0:c r="K814" s="29"/>
    </ns0:row>
    <ns0:row r="815" ht="28" customHeight="1">
      <ns0:c r="A815" s="29"/>
      <ns0:c r="B815" s="30"/>
      <ns0:c r="C815" s="28"/>
      <ns0:c r="D815" s="29"/>
      <ns0:c r="E815" s="31"/>
      <ns0:c r="F815" s="32"/>
      <ns0:c r="G815" s="29"/>
      <ns0:c r="H815" s="29"/>
      <ns0:c r="I815" s="29"/>
      <ns0:c r="J815" s="29"/>
      <ns0:c r="K815" s="29"/>
    </ns0:row>
    <ns0:row r="816" ht="28" customHeight="1">
      <ns0:c r="A816" s="29"/>
      <ns0:c r="B816" s="30"/>
      <ns0:c r="C816" s="28"/>
      <ns0:c r="D816" s="29"/>
      <ns0:c r="E816" s="31"/>
      <ns0:c r="F816" s="32"/>
      <ns0:c r="G816" s="29"/>
      <ns0:c r="H816" s="29"/>
      <ns0:c r="I816" s="29"/>
      <ns0:c r="J816" s="29"/>
      <ns0:c r="K816" s="29"/>
    </ns0:row>
    <ns0:row r="817" ht="28" customHeight="1">
      <ns0:c r="A817" s="29"/>
      <ns0:c r="B817" s="30"/>
      <ns0:c r="C817" s="28"/>
      <ns0:c r="D817" s="29"/>
      <ns0:c r="E817" s="31"/>
      <ns0:c r="F817" s="32"/>
      <ns0:c r="G817" s="29"/>
      <ns0:c r="H817" s="29"/>
      <ns0:c r="I817" s="29"/>
      <ns0:c r="J817" s="29"/>
      <ns0:c r="K817" s="29"/>
    </ns0:row>
    <ns0:row r="818" ht="28" customHeight="1">
      <ns0:c r="A818" s="29"/>
      <ns0:c r="B818" s="30"/>
      <ns0:c r="C818" s="28"/>
      <ns0:c r="D818" s="29"/>
      <ns0:c r="E818" s="31"/>
      <ns0:c r="F818" s="32"/>
      <ns0:c r="G818" s="29"/>
      <ns0:c r="H818" s="29"/>
      <ns0:c r="I818" s="29"/>
      <ns0:c r="J818" s="29"/>
      <ns0:c r="K818" s="29"/>
    </ns0:row>
    <ns0:row r="819" ht="28" customHeight="1">
      <ns0:c r="A819" s="29"/>
      <ns0:c r="B819" s="30"/>
      <ns0:c r="C819" s="28"/>
      <ns0:c r="D819" s="29"/>
      <ns0:c r="E819" s="31"/>
      <ns0:c r="F819" s="32"/>
      <ns0:c r="G819" s="29"/>
      <ns0:c r="H819" s="29"/>
      <ns0:c r="I819" s="29"/>
      <ns0:c r="J819" s="29"/>
      <ns0:c r="K819" s="29"/>
    </ns0:row>
    <ns0:row r="820" ht="28" customHeight="1">
      <ns0:c r="A820" s="29"/>
      <ns0:c r="B820" s="30"/>
      <ns0:c r="C820" s="28"/>
      <ns0:c r="D820" s="29"/>
      <ns0:c r="E820" s="31"/>
      <ns0:c r="F820" s="32"/>
      <ns0:c r="G820" s="29"/>
      <ns0:c r="H820" s="29"/>
      <ns0:c r="I820" s="29"/>
      <ns0:c r="J820" s="29"/>
      <ns0:c r="K820" s="29"/>
    </ns0:row>
    <ns0:row r="821" ht="28" customHeight="1">
      <ns0:c r="A821" s="29"/>
      <ns0:c r="B821" s="30"/>
      <ns0:c r="C821" s="28"/>
      <ns0:c r="D821" s="29"/>
      <ns0:c r="E821" s="31"/>
      <ns0:c r="F821" s="32"/>
      <ns0:c r="G821" s="29"/>
      <ns0:c r="H821" s="29"/>
      <ns0:c r="I821" s="29"/>
      <ns0:c r="J821" s="29"/>
      <ns0:c r="K821" s="29"/>
    </ns0:row>
    <ns0:row r="822" ht="28" customHeight="1">
      <ns0:c r="A822" s="29"/>
      <ns0:c r="B822" s="30"/>
      <ns0:c r="C822" s="28"/>
      <ns0:c r="D822" s="29"/>
      <ns0:c r="E822" s="31"/>
      <ns0:c r="F822" s="32"/>
      <ns0:c r="G822" s="29"/>
      <ns0:c r="H822" s="29"/>
      <ns0:c r="I822" s="29"/>
      <ns0:c r="J822" s="29"/>
      <ns0:c r="K822" s="29"/>
    </ns0:row>
    <ns0:row r="823" ht="28" customHeight="1">
      <ns0:c r="A823" s="29"/>
      <ns0:c r="B823" s="30"/>
      <ns0:c r="C823" s="28"/>
      <ns0:c r="D823" s="29"/>
      <ns0:c r="E823" s="31"/>
      <ns0:c r="F823" s="32"/>
      <ns0:c r="G823" s="29"/>
      <ns0:c r="H823" s="29"/>
      <ns0:c r="I823" s="29"/>
      <ns0:c r="J823" s="29"/>
      <ns0:c r="K823" s="29"/>
    </ns0:row>
    <ns0:row r="824" ht="28" customHeight="1">
      <ns0:c r="A824" s="29"/>
      <ns0:c r="B824" s="30"/>
      <ns0:c r="C824" s="28"/>
      <ns0:c r="D824" s="29"/>
      <ns0:c r="E824" s="31"/>
      <ns0:c r="F824" s="32"/>
      <ns0:c r="G824" s="29"/>
      <ns0:c r="H824" s="29"/>
      <ns0:c r="I824" s="29"/>
      <ns0:c r="J824" s="29"/>
      <ns0:c r="K824" s="29"/>
    </ns0:row>
    <ns0:row r="825" ht="28" customHeight="1">
      <ns0:c r="A825" s="29"/>
      <ns0:c r="B825" s="30"/>
      <ns0:c r="C825" s="28"/>
      <ns0:c r="D825" s="29"/>
      <ns0:c r="E825" s="31"/>
      <ns0:c r="F825" s="32"/>
      <ns0:c r="G825" s="29"/>
      <ns0:c r="H825" s="29"/>
      <ns0:c r="I825" s="29"/>
      <ns0:c r="J825" s="29"/>
      <ns0:c r="K825" s="29"/>
    </ns0:row>
    <ns0:row r="826" ht="28" customHeight="1">
      <ns0:c r="A826" s="29"/>
      <ns0:c r="B826" s="30"/>
      <ns0:c r="C826" s="28"/>
      <ns0:c r="D826" s="29"/>
      <ns0:c r="E826" s="31"/>
      <ns0:c r="F826" s="32"/>
      <ns0:c r="G826" s="29"/>
      <ns0:c r="H826" s="29"/>
      <ns0:c r="I826" s="29"/>
      <ns0:c r="J826" s="29"/>
      <ns0:c r="K826" s="29"/>
    </ns0:row>
    <ns0:row r="827" ht="28" customHeight="1">
      <ns0:c r="A827" s="29"/>
      <ns0:c r="B827" s="30"/>
      <ns0:c r="C827" s="28"/>
      <ns0:c r="D827" s="29"/>
      <ns0:c r="E827" s="31"/>
      <ns0:c r="F827" s="32"/>
      <ns0:c r="G827" s="29"/>
      <ns0:c r="H827" s="29"/>
      <ns0:c r="I827" s="29"/>
      <ns0:c r="J827" s="29"/>
      <ns0:c r="K827" s="29"/>
    </ns0:row>
    <ns0:row r="828" ht="28" customHeight="1">
      <ns0:c r="A828" s="29"/>
      <ns0:c r="B828" s="30"/>
      <ns0:c r="C828" s="28"/>
      <ns0:c r="D828" s="29"/>
      <ns0:c r="E828" s="31"/>
      <ns0:c r="F828" s="32"/>
      <ns0:c r="G828" s="29"/>
      <ns0:c r="H828" s="29"/>
      <ns0:c r="I828" s="29"/>
      <ns0:c r="J828" s="29"/>
      <ns0:c r="K828" s="29"/>
    </ns0:row>
    <ns0:row r="829" ht="28" customHeight="1">
      <ns0:c r="A829" s="29"/>
      <ns0:c r="B829" s="30"/>
      <ns0:c r="C829" s="28"/>
      <ns0:c r="D829" s="29"/>
      <ns0:c r="E829" s="31"/>
      <ns0:c r="F829" s="32"/>
      <ns0:c r="G829" s="29"/>
      <ns0:c r="H829" s="29"/>
      <ns0:c r="I829" s="29"/>
      <ns0:c r="J829" s="29"/>
      <ns0:c r="K829" s="29"/>
    </ns0:row>
    <ns0:row r="830" ht="28" customHeight="1">
      <ns0:c r="A830" s="29"/>
      <ns0:c r="B830" s="30"/>
      <ns0:c r="C830" s="28"/>
      <ns0:c r="D830" s="29"/>
      <ns0:c r="E830" s="31"/>
      <ns0:c r="F830" s="32"/>
      <ns0:c r="G830" s="29"/>
      <ns0:c r="H830" s="29"/>
      <ns0:c r="I830" s="29"/>
      <ns0:c r="J830" s="29"/>
      <ns0:c r="K830" s="29"/>
    </ns0:row>
    <ns0:row r="831" ht="28" customHeight="1">
      <ns0:c r="A831" s="29"/>
      <ns0:c r="B831" s="30"/>
      <ns0:c r="C831" s="28"/>
      <ns0:c r="D831" s="29"/>
      <ns0:c r="E831" s="31"/>
      <ns0:c r="F831" s="32"/>
      <ns0:c r="G831" s="29"/>
      <ns0:c r="H831" s="29"/>
      <ns0:c r="I831" s="29"/>
      <ns0:c r="J831" s="29"/>
      <ns0:c r="K831" s="29"/>
    </ns0:row>
    <ns0:row r="832" ht="28" customHeight="1">
      <ns0:c r="A832" s="29"/>
      <ns0:c r="B832" s="30"/>
      <ns0:c r="C832" s="28"/>
      <ns0:c r="D832" s="29"/>
      <ns0:c r="E832" s="31"/>
      <ns0:c r="F832" s="32"/>
      <ns0:c r="G832" s="29"/>
      <ns0:c r="H832" s="29"/>
      <ns0:c r="I832" s="29"/>
      <ns0:c r="J832" s="29"/>
      <ns0:c r="K832" s="29"/>
    </ns0:row>
    <ns0:row r="833" ht="28" customHeight="1">
      <ns0:c r="A833" s="29"/>
      <ns0:c r="B833" s="30"/>
      <ns0:c r="C833" s="28"/>
      <ns0:c r="D833" s="29"/>
      <ns0:c r="E833" s="31"/>
      <ns0:c r="F833" s="32"/>
      <ns0:c r="G833" s="29"/>
      <ns0:c r="H833" s="29"/>
      <ns0:c r="I833" s="29"/>
      <ns0:c r="J833" s="29"/>
      <ns0:c r="K833" s="29"/>
    </ns0:row>
    <ns0:row r="834" ht="28" customHeight="1">
      <ns0:c r="A834" s="29"/>
      <ns0:c r="B834" s="30"/>
      <ns0:c r="C834" s="28"/>
      <ns0:c r="D834" s="29"/>
      <ns0:c r="E834" s="31"/>
      <ns0:c r="F834" s="32"/>
      <ns0:c r="G834" s="29"/>
      <ns0:c r="H834" s="29"/>
      <ns0:c r="I834" s="29"/>
      <ns0:c r="J834" s="29"/>
      <ns0:c r="K834" s="29"/>
    </ns0:row>
    <ns0:row r="835" ht="28" customHeight="1">
      <ns0:c r="A835" s="29"/>
      <ns0:c r="B835" s="30"/>
      <ns0:c r="C835" s="28"/>
      <ns0:c r="D835" s="29"/>
      <ns0:c r="E835" s="31"/>
      <ns0:c r="F835" s="32"/>
      <ns0:c r="G835" s="29"/>
      <ns0:c r="H835" s="29"/>
      <ns0:c r="I835" s="29"/>
      <ns0:c r="J835" s="29"/>
      <ns0:c r="K835" s="29"/>
    </ns0:row>
    <ns0:row r="836" ht="28" customHeight="1">
      <ns0:c r="A836" s="29"/>
      <ns0:c r="B836" s="30"/>
      <ns0:c r="C836" s="28"/>
      <ns0:c r="D836" s="29"/>
      <ns0:c r="E836" s="31"/>
      <ns0:c r="F836" s="32"/>
      <ns0:c r="G836" s="29"/>
      <ns0:c r="H836" s="29"/>
      <ns0:c r="I836" s="29"/>
      <ns0:c r="J836" s="29"/>
      <ns0:c r="K836" s="29"/>
    </ns0:row>
    <ns0:row r="837" ht="28" customHeight="1">
      <ns0:c r="A837" s="29"/>
      <ns0:c r="B837" s="30"/>
      <ns0:c r="C837" s="28"/>
      <ns0:c r="D837" s="29"/>
      <ns0:c r="E837" s="31"/>
      <ns0:c r="F837" s="32"/>
      <ns0:c r="G837" s="29"/>
      <ns0:c r="H837" s="29"/>
      <ns0:c r="I837" s="29"/>
      <ns0:c r="J837" s="29"/>
      <ns0:c r="K837" s="29"/>
    </ns0:row>
    <ns0:row r="838" ht="28" customHeight="1">
      <ns0:c r="A838" s="29"/>
      <ns0:c r="B838" s="30"/>
      <ns0:c r="C838" s="28"/>
      <ns0:c r="D838" s="29"/>
      <ns0:c r="E838" s="31"/>
      <ns0:c r="F838" s="32"/>
      <ns0:c r="G838" s="29"/>
      <ns0:c r="H838" s="29"/>
      <ns0:c r="I838" s="29"/>
      <ns0:c r="J838" s="29"/>
      <ns0:c r="K838" s="29"/>
    </ns0:row>
    <ns0:row r="839" ht="28" customHeight="1">
      <ns0:c r="A839" s="29"/>
      <ns0:c r="B839" s="30"/>
      <ns0:c r="C839" s="28"/>
      <ns0:c r="D839" s="29"/>
      <ns0:c r="E839" s="31"/>
      <ns0:c r="F839" s="32"/>
      <ns0:c r="G839" s="29"/>
      <ns0:c r="H839" s="29"/>
      <ns0:c r="I839" s="29"/>
      <ns0:c r="J839" s="29"/>
      <ns0:c r="K839" s="29"/>
    </ns0:row>
    <ns0:row r="840" ht="28" customHeight="1">
      <ns0:c r="A840" s="29"/>
      <ns0:c r="B840" s="30"/>
      <ns0:c r="C840" s="28"/>
      <ns0:c r="D840" s="29"/>
      <ns0:c r="E840" s="31"/>
      <ns0:c r="F840" s="32"/>
      <ns0:c r="G840" s="29"/>
      <ns0:c r="H840" s="29"/>
      <ns0:c r="I840" s="29"/>
      <ns0:c r="J840" s="29"/>
      <ns0:c r="K840" s="29"/>
    </ns0:row>
    <ns0:row r="841" ht="28" customHeight="1">
      <ns0:c r="A841" s="29"/>
      <ns0:c r="B841" s="30"/>
      <ns0:c r="C841" s="28"/>
      <ns0:c r="D841" s="29"/>
      <ns0:c r="E841" s="31"/>
      <ns0:c r="F841" s="32"/>
      <ns0:c r="G841" s="29"/>
      <ns0:c r="H841" s="29"/>
      <ns0:c r="I841" s="29"/>
      <ns0:c r="J841" s="29"/>
      <ns0:c r="K841" s="29"/>
    </ns0:row>
    <ns0:row r="842" ht="28" customHeight="1">
      <ns0:c r="A842" s="29"/>
      <ns0:c r="B842" s="30"/>
      <ns0:c r="C842" s="28"/>
      <ns0:c r="D842" s="29"/>
      <ns0:c r="E842" s="31"/>
      <ns0:c r="F842" s="32"/>
      <ns0:c r="G842" s="29"/>
      <ns0:c r="H842" s="29"/>
      <ns0:c r="I842" s="29"/>
      <ns0:c r="J842" s="29"/>
      <ns0:c r="K842" s="29"/>
    </ns0:row>
    <ns0:row r="843" ht="28" customHeight="1">
      <ns0:c r="A843" s="29"/>
      <ns0:c r="B843" s="30"/>
      <ns0:c r="C843" s="28"/>
      <ns0:c r="D843" s="29"/>
      <ns0:c r="E843" s="31"/>
      <ns0:c r="F843" s="32"/>
      <ns0:c r="G843" s="29"/>
      <ns0:c r="H843" s="29"/>
      <ns0:c r="I843" s="29"/>
      <ns0:c r="J843" s="29"/>
      <ns0:c r="K843" s="29"/>
    </ns0:row>
    <ns0:row r="844" ht="28" customHeight="1">
      <ns0:c r="A844" s="29"/>
      <ns0:c r="B844" s="30"/>
      <ns0:c r="C844" s="28"/>
      <ns0:c r="D844" s="29"/>
      <ns0:c r="E844" s="31"/>
      <ns0:c r="F844" s="32"/>
      <ns0:c r="G844" s="29"/>
      <ns0:c r="H844" s="29"/>
      <ns0:c r="I844" s="29"/>
      <ns0:c r="J844" s="29"/>
      <ns0:c r="K844" s="29"/>
    </ns0:row>
    <ns0:row r="845" ht="28" customHeight="1">
      <ns0:c r="A845" s="29"/>
      <ns0:c r="B845" s="30"/>
      <ns0:c r="C845" s="28"/>
      <ns0:c r="D845" s="29"/>
      <ns0:c r="E845" s="31"/>
      <ns0:c r="F845" s="32"/>
      <ns0:c r="G845" s="29"/>
      <ns0:c r="H845" s="29"/>
      <ns0:c r="I845" s="29"/>
      <ns0:c r="J845" s="29"/>
      <ns0:c r="K845" s="29"/>
    </ns0:row>
    <ns0:row r="846" ht="28" customHeight="1">
      <ns0:c r="A846" s="29"/>
      <ns0:c r="B846" s="30"/>
      <ns0:c r="C846" s="28"/>
      <ns0:c r="D846" s="29"/>
      <ns0:c r="E846" s="31"/>
      <ns0:c r="F846" s="32"/>
      <ns0:c r="G846" s="29"/>
      <ns0:c r="H846" s="29"/>
      <ns0:c r="I846" s="29"/>
      <ns0:c r="J846" s="29"/>
      <ns0:c r="K846" s="29"/>
    </ns0:row>
    <ns0:row r="847" ht="28" customHeight="1">
      <ns0:c r="A847" s="29"/>
      <ns0:c r="B847" s="30"/>
      <ns0:c r="C847" s="28"/>
      <ns0:c r="D847" s="29"/>
      <ns0:c r="E847" s="31"/>
      <ns0:c r="F847" s="32"/>
      <ns0:c r="G847" s="29"/>
      <ns0:c r="H847" s="29"/>
      <ns0:c r="I847" s="29"/>
      <ns0:c r="J847" s="29"/>
      <ns0:c r="K847" s="29"/>
    </ns0:row>
    <ns0:row r="848" ht="28" customHeight="1">
      <ns0:c r="A848" s="29"/>
      <ns0:c r="B848" s="30"/>
      <ns0:c r="C848" s="28"/>
      <ns0:c r="D848" s="29"/>
      <ns0:c r="E848" s="31"/>
      <ns0:c r="F848" s="32"/>
      <ns0:c r="G848" s="29"/>
      <ns0:c r="H848" s="29"/>
      <ns0:c r="I848" s="29"/>
      <ns0:c r="J848" s="29"/>
      <ns0:c r="K848" s="29"/>
    </ns0:row>
    <ns0:row r="849" ht="28" customHeight="1">
      <ns0:c r="A849" s="29"/>
      <ns0:c r="B849" s="30"/>
      <ns0:c r="C849" s="28"/>
      <ns0:c r="D849" s="29"/>
      <ns0:c r="E849" s="31"/>
      <ns0:c r="F849" s="32"/>
      <ns0:c r="G849" s="29"/>
      <ns0:c r="H849" s="29"/>
      <ns0:c r="I849" s="29"/>
      <ns0:c r="J849" s="29"/>
      <ns0:c r="K849" s="29"/>
    </ns0:row>
    <ns0:row r="850" ht="28" customHeight="1">
      <ns0:c r="A850" s="29"/>
      <ns0:c r="B850" s="30"/>
      <ns0:c r="C850" s="28"/>
      <ns0:c r="D850" s="29"/>
      <ns0:c r="E850" s="31"/>
      <ns0:c r="F850" s="32"/>
      <ns0:c r="G850" s="29"/>
      <ns0:c r="H850" s="29"/>
      <ns0:c r="I850" s="29"/>
      <ns0:c r="J850" s="29"/>
      <ns0:c r="K850" s="29"/>
    </ns0:row>
    <ns0:row r="851" ht="28" customHeight="1">
      <ns0:c r="A851" s="29"/>
      <ns0:c r="B851" s="30"/>
      <ns0:c r="C851" s="28"/>
      <ns0:c r="D851" s="29"/>
      <ns0:c r="E851" s="31"/>
      <ns0:c r="F851" s="32"/>
      <ns0:c r="G851" s="29"/>
      <ns0:c r="H851" s="29"/>
      <ns0:c r="I851" s="29"/>
      <ns0:c r="J851" s="29"/>
      <ns0:c r="K851" s="29"/>
    </ns0:row>
    <ns0:row r="852" ht="28" customHeight="1">
      <ns0:c r="A852" s="29"/>
      <ns0:c r="B852" s="30"/>
      <ns0:c r="C852" s="28"/>
      <ns0:c r="D852" s="29"/>
      <ns0:c r="E852" s="31"/>
      <ns0:c r="F852" s="32"/>
      <ns0:c r="G852" s="29"/>
      <ns0:c r="H852" s="29"/>
      <ns0:c r="I852" s="29"/>
      <ns0:c r="J852" s="29"/>
      <ns0:c r="K852" s="29"/>
    </ns0:row>
    <ns0:row r="853" ht="28" customHeight="1">
      <ns0:c r="A853" s="29"/>
      <ns0:c r="B853" s="30"/>
      <ns0:c r="C853" s="28"/>
      <ns0:c r="D853" s="29"/>
      <ns0:c r="E853" s="31"/>
      <ns0:c r="F853" s="32"/>
      <ns0:c r="G853" s="29"/>
      <ns0:c r="H853" s="29"/>
      <ns0:c r="I853" s="29"/>
      <ns0:c r="J853" s="29"/>
      <ns0:c r="K853" s="29"/>
    </ns0:row>
    <ns0:row r="854" ht="28" customHeight="1">
      <ns0:c r="A854" s="29"/>
      <ns0:c r="B854" s="30"/>
      <ns0:c r="C854" s="28"/>
      <ns0:c r="D854" s="29"/>
      <ns0:c r="E854" s="31"/>
      <ns0:c r="F854" s="32"/>
      <ns0:c r="G854" s="29"/>
      <ns0:c r="H854" s="29"/>
      <ns0:c r="I854" s="29"/>
      <ns0:c r="J854" s="29"/>
      <ns0:c r="K854" s="29"/>
    </ns0:row>
    <ns0:row r="855" ht="28" customHeight="1">
      <ns0:c r="A855" s="29"/>
      <ns0:c r="B855" s="30"/>
      <ns0:c r="C855" s="28"/>
      <ns0:c r="D855" s="29"/>
      <ns0:c r="E855" s="31"/>
      <ns0:c r="F855" s="32"/>
      <ns0:c r="G855" s="29"/>
      <ns0:c r="H855" s="29"/>
      <ns0:c r="I855" s="29"/>
      <ns0:c r="J855" s="29"/>
      <ns0:c r="K855" s="29"/>
    </ns0:row>
    <ns0:row r="856" ht="28" customHeight="1">
      <ns0:c r="A856" s="29"/>
      <ns0:c r="B856" s="30"/>
      <ns0:c r="C856" s="28"/>
      <ns0:c r="D856" s="29"/>
      <ns0:c r="E856" s="31"/>
      <ns0:c r="F856" s="32"/>
      <ns0:c r="G856" s="29"/>
      <ns0:c r="H856" s="29"/>
      <ns0:c r="I856" s="29"/>
      <ns0:c r="J856" s="29"/>
      <ns0:c r="K856" s="29"/>
    </ns0:row>
    <ns0:row r="857" ht="28" customHeight="1">
      <ns0:c r="A857" s="29"/>
      <ns0:c r="B857" s="30"/>
      <ns0:c r="C857" s="28"/>
      <ns0:c r="D857" s="29"/>
      <ns0:c r="E857" s="31"/>
      <ns0:c r="F857" s="32"/>
      <ns0:c r="G857" s="29"/>
      <ns0:c r="H857" s="29"/>
      <ns0:c r="I857" s="29"/>
      <ns0:c r="J857" s="29"/>
      <ns0:c r="K857" s="29"/>
    </ns0:row>
    <ns0:row r="858" ht="28" customHeight="1">
      <ns0:c r="A858" s="29"/>
      <ns0:c r="B858" s="30"/>
      <ns0:c r="C858" s="28"/>
      <ns0:c r="D858" s="29"/>
      <ns0:c r="E858" s="31"/>
      <ns0:c r="F858" s="32"/>
      <ns0:c r="G858" s="29"/>
      <ns0:c r="H858" s="29"/>
      <ns0:c r="I858" s="29"/>
      <ns0:c r="J858" s="29"/>
      <ns0:c r="K858" s="29"/>
    </ns0:row>
    <ns0:row r="859" ht="28" customHeight="1">
      <ns0:c r="A859" s="29"/>
      <ns0:c r="B859" s="30"/>
      <ns0:c r="C859" s="28"/>
      <ns0:c r="D859" s="29"/>
      <ns0:c r="E859" s="31"/>
      <ns0:c r="F859" s="32"/>
      <ns0:c r="G859" s="29"/>
      <ns0:c r="H859" s="29"/>
      <ns0:c r="I859" s="29"/>
      <ns0:c r="J859" s="29"/>
      <ns0:c r="K859" s="29"/>
    </ns0:row>
    <ns0:row r="860" ht="28" customHeight="1">
      <ns0:c r="A860" s="29"/>
      <ns0:c r="B860" s="30"/>
      <ns0:c r="C860" s="28"/>
      <ns0:c r="D860" s="29"/>
      <ns0:c r="E860" s="31"/>
      <ns0:c r="F860" s="32"/>
      <ns0:c r="G860" s="29"/>
      <ns0:c r="H860" s="29"/>
      <ns0:c r="I860" s="29"/>
      <ns0:c r="J860" s="29"/>
      <ns0:c r="K860" s="29"/>
    </ns0:row>
    <ns0:row r="861" ht="28" customHeight="1">
      <ns0:c r="A861" s="29"/>
      <ns0:c r="B861" s="30"/>
      <ns0:c r="C861" s="28"/>
      <ns0:c r="D861" s="29"/>
      <ns0:c r="E861" s="31"/>
      <ns0:c r="F861" s="32"/>
      <ns0:c r="G861" s="29"/>
      <ns0:c r="H861" s="29"/>
      <ns0:c r="I861" s="29"/>
      <ns0:c r="J861" s="29"/>
      <ns0:c r="K861" s="29"/>
    </ns0:row>
    <ns0:row r="862" ht="28" customHeight="1">
      <ns0:c r="A862" s="29"/>
      <ns0:c r="B862" s="30"/>
      <ns0:c r="C862" s="28"/>
      <ns0:c r="D862" s="29"/>
      <ns0:c r="E862" s="31"/>
      <ns0:c r="F862" s="32"/>
      <ns0:c r="G862" s="29"/>
      <ns0:c r="H862" s="29"/>
      <ns0:c r="I862" s="29"/>
      <ns0:c r="J862" s="29"/>
      <ns0:c r="K862" s="29"/>
    </ns0:row>
    <ns0:row r="863" ht="28" customHeight="1">
      <ns0:c r="A863" s="29"/>
      <ns0:c r="B863" s="30"/>
      <ns0:c r="C863" s="28"/>
      <ns0:c r="D863" s="29"/>
      <ns0:c r="E863" s="31"/>
      <ns0:c r="F863" s="32"/>
      <ns0:c r="G863" s="29"/>
      <ns0:c r="H863" s="29"/>
      <ns0:c r="I863" s="29"/>
      <ns0:c r="J863" s="29"/>
      <ns0:c r="K863" s="29"/>
    </ns0:row>
    <ns0:row r="864" ht="28" customHeight="1">
      <ns0:c r="A864" s="29"/>
      <ns0:c r="B864" s="30"/>
      <ns0:c r="C864" s="28"/>
      <ns0:c r="D864" s="29"/>
      <ns0:c r="E864" s="31"/>
      <ns0:c r="F864" s="32"/>
      <ns0:c r="G864" s="29"/>
      <ns0:c r="H864" s="29"/>
      <ns0:c r="I864" s="29"/>
      <ns0:c r="J864" s="29"/>
      <ns0:c r="K864" s="29"/>
    </ns0:row>
    <ns0:row r="865" ht="28" customHeight="1">
      <ns0:c r="A865" s="29"/>
      <ns0:c r="B865" s="30"/>
      <ns0:c r="C865" s="28"/>
      <ns0:c r="D865" s="29"/>
      <ns0:c r="E865" s="31"/>
      <ns0:c r="F865" s="32"/>
      <ns0:c r="G865" s="29"/>
      <ns0:c r="H865" s="29"/>
      <ns0:c r="I865" s="29"/>
      <ns0:c r="J865" s="29"/>
      <ns0:c r="K865" s="29"/>
    </ns0:row>
    <ns0:row r="866" ht="28" customHeight="1">
      <ns0:c r="A866" s="29"/>
      <ns0:c r="B866" s="30"/>
      <ns0:c r="C866" s="28"/>
      <ns0:c r="D866" s="29"/>
      <ns0:c r="E866" s="31"/>
      <ns0:c r="F866" s="32"/>
      <ns0:c r="G866" s="29"/>
      <ns0:c r="H866" s="29"/>
      <ns0:c r="I866" s="29"/>
      <ns0:c r="J866" s="29"/>
      <ns0:c r="K866" s="29"/>
    </ns0:row>
    <ns0:row r="867" ht="28" customHeight="1">
      <ns0:c r="A867" s="29"/>
      <ns0:c r="B867" s="30"/>
      <ns0:c r="C867" s="28"/>
      <ns0:c r="D867" s="29"/>
      <ns0:c r="E867" s="31"/>
      <ns0:c r="F867" s="32"/>
      <ns0:c r="G867" s="29"/>
      <ns0:c r="H867" s="29"/>
      <ns0:c r="I867" s="29"/>
      <ns0:c r="J867" s="29"/>
      <ns0:c r="K867" s="29"/>
    </ns0:row>
    <ns0:row r="868" ht="28" customHeight="1">
      <ns0:c r="A868" s="29"/>
      <ns0:c r="B868" s="30"/>
      <ns0:c r="C868" s="28"/>
      <ns0:c r="D868" s="29"/>
      <ns0:c r="E868" s="31"/>
      <ns0:c r="F868" s="32"/>
      <ns0:c r="G868" s="29"/>
      <ns0:c r="H868" s="29"/>
      <ns0:c r="I868" s="29"/>
      <ns0:c r="J868" s="29"/>
      <ns0:c r="K868" s="29"/>
    </ns0:row>
    <ns0:row r="869" ht="28" customHeight="1">
      <ns0:c r="A869" s="29"/>
      <ns0:c r="B869" s="30"/>
      <ns0:c r="C869" s="28"/>
      <ns0:c r="D869" s="29"/>
      <ns0:c r="E869" s="31"/>
      <ns0:c r="F869" s="32"/>
      <ns0:c r="G869" s="29"/>
      <ns0:c r="H869" s="29"/>
      <ns0:c r="I869" s="29"/>
      <ns0:c r="J869" s="29"/>
      <ns0:c r="K869" s="29"/>
    </ns0:row>
    <ns0:row r="870" ht="28" customHeight="1">
      <ns0:c r="A870" s="29"/>
      <ns0:c r="B870" s="30"/>
      <ns0:c r="C870" s="28"/>
      <ns0:c r="D870" s="29"/>
      <ns0:c r="E870" s="31"/>
      <ns0:c r="F870" s="32"/>
      <ns0:c r="G870" s="29"/>
      <ns0:c r="H870" s="29"/>
      <ns0:c r="I870" s="29"/>
      <ns0:c r="J870" s="29"/>
      <ns0:c r="K870" s="29"/>
    </ns0:row>
    <ns0:row r="871" ht="28" customHeight="1">
      <ns0:c r="A871" s="29"/>
      <ns0:c r="B871" s="30"/>
      <ns0:c r="C871" s="28"/>
      <ns0:c r="D871" s="29"/>
      <ns0:c r="E871" s="31"/>
      <ns0:c r="F871" s="32"/>
      <ns0:c r="G871" s="29"/>
      <ns0:c r="H871" s="29"/>
      <ns0:c r="I871" s="29"/>
      <ns0:c r="J871" s="29"/>
      <ns0:c r="K871" s="29"/>
    </ns0:row>
    <ns0:row r="872" ht="28" customHeight="1">
      <ns0:c r="A872" s="29"/>
      <ns0:c r="B872" s="30"/>
      <ns0:c r="C872" s="28"/>
      <ns0:c r="D872" s="29"/>
      <ns0:c r="E872" s="31"/>
      <ns0:c r="F872" s="32"/>
      <ns0:c r="G872" s="29"/>
      <ns0:c r="H872" s="29"/>
      <ns0:c r="I872" s="29"/>
      <ns0:c r="J872" s="29"/>
      <ns0:c r="K872" s="29"/>
    </ns0:row>
    <ns0:row r="873" ht="28" customHeight="1">
      <ns0:c r="A873" s="29"/>
      <ns0:c r="B873" s="30"/>
      <ns0:c r="C873" s="28"/>
      <ns0:c r="D873" s="29"/>
      <ns0:c r="E873" s="31"/>
      <ns0:c r="F873" s="32"/>
      <ns0:c r="G873" s="29"/>
      <ns0:c r="H873" s="29"/>
      <ns0:c r="I873" s="29"/>
      <ns0:c r="J873" s="29"/>
      <ns0:c r="K873" s="29"/>
    </ns0:row>
    <ns0:row r="874" ht="28" customHeight="1">
      <ns0:c r="A874" s="29"/>
      <ns0:c r="B874" s="30"/>
      <ns0:c r="C874" s="28"/>
      <ns0:c r="D874" s="29"/>
      <ns0:c r="E874" s="31"/>
      <ns0:c r="F874" s="32"/>
      <ns0:c r="G874" s="29"/>
      <ns0:c r="H874" s="29"/>
      <ns0:c r="I874" s="29"/>
      <ns0:c r="J874" s="29"/>
      <ns0:c r="K874" s="29"/>
    </ns0:row>
    <ns0:row r="875" ht="28" customHeight="1">
      <ns0:c r="A875" s="29"/>
      <ns0:c r="B875" s="30"/>
      <ns0:c r="C875" s="28"/>
      <ns0:c r="D875" s="29"/>
      <ns0:c r="E875" s="31"/>
      <ns0:c r="F875" s="32"/>
      <ns0:c r="G875" s="29"/>
      <ns0:c r="H875" s="29"/>
      <ns0:c r="I875" s="29"/>
      <ns0:c r="J875" s="29"/>
      <ns0:c r="K875" s="29"/>
    </ns0:row>
    <ns0:row r="876" ht="28" customHeight="1">
      <ns0:c r="A876" s="29"/>
      <ns0:c r="B876" s="30"/>
      <ns0:c r="C876" s="28"/>
      <ns0:c r="D876" s="29"/>
      <ns0:c r="E876" s="31"/>
      <ns0:c r="F876" s="32"/>
      <ns0:c r="G876" s="29"/>
      <ns0:c r="H876" s="29"/>
      <ns0:c r="I876" s="29"/>
      <ns0:c r="J876" s="29"/>
      <ns0:c r="K876" s="29"/>
    </ns0:row>
    <ns0:row r="877" ht="28" customHeight="1">
      <ns0:c r="A877" s="29"/>
      <ns0:c r="B877" s="30"/>
      <ns0:c r="C877" s="28"/>
      <ns0:c r="D877" s="29"/>
      <ns0:c r="E877" s="31"/>
      <ns0:c r="F877" s="32"/>
      <ns0:c r="G877" s="29"/>
      <ns0:c r="H877" s="29"/>
      <ns0:c r="I877" s="29"/>
      <ns0:c r="J877" s="29"/>
      <ns0:c r="K877" s="29"/>
    </ns0:row>
    <ns0:row r="878" ht="28" customHeight="1">
      <ns0:c r="A878" s="29"/>
      <ns0:c r="B878" s="30"/>
      <ns0:c r="C878" s="28"/>
      <ns0:c r="D878" s="29"/>
      <ns0:c r="E878" s="31"/>
      <ns0:c r="F878" s="32"/>
      <ns0:c r="G878" s="29"/>
      <ns0:c r="H878" s="29"/>
      <ns0:c r="I878" s="29"/>
      <ns0:c r="J878" s="29"/>
      <ns0:c r="K878" s="29"/>
    </ns0:row>
    <ns0:row r="879" ht="28" customHeight="1">
      <ns0:c r="A879" s="29"/>
      <ns0:c r="B879" s="30"/>
      <ns0:c r="C879" s="28"/>
      <ns0:c r="D879" s="29"/>
      <ns0:c r="E879" s="31"/>
      <ns0:c r="F879" s="32"/>
      <ns0:c r="G879" s="29"/>
      <ns0:c r="H879" s="29"/>
      <ns0:c r="I879" s="29"/>
      <ns0:c r="J879" s="29"/>
      <ns0:c r="K879" s="29"/>
    </ns0:row>
    <ns0:row r="880" ht="28" customHeight="1">
      <ns0:c r="A880" s="29"/>
      <ns0:c r="B880" s="30"/>
      <ns0:c r="C880" s="28"/>
      <ns0:c r="D880" s="29"/>
      <ns0:c r="E880" s="31"/>
      <ns0:c r="F880" s="32"/>
      <ns0:c r="G880" s="29"/>
      <ns0:c r="H880" s="29"/>
      <ns0:c r="I880" s="29"/>
      <ns0:c r="J880" s="29"/>
      <ns0:c r="K880" s="29"/>
    </ns0:row>
    <ns0:row r="881" ht="28" customHeight="1">
      <ns0:c r="A881" s="29"/>
      <ns0:c r="B881" s="30"/>
      <ns0:c r="C881" s="28"/>
      <ns0:c r="D881" s="29"/>
      <ns0:c r="E881" s="31"/>
      <ns0:c r="F881" s="32"/>
      <ns0:c r="G881" s="29"/>
      <ns0:c r="H881" s="29"/>
      <ns0:c r="I881" s="29"/>
      <ns0:c r="J881" s="29"/>
      <ns0:c r="K881" s="29"/>
    </ns0:row>
    <ns0:row r="882" ht="28" customHeight="1">
      <ns0:c r="A882" s="29"/>
      <ns0:c r="B882" s="30"/>
      <ns0:c r="C882" s="28"/>
      <ns0:c r="D882" s="29"/>
      <ns0:c r="E882" s="31"/>
      <ns0:c r="F882" s="32"/>
      <ns0:c r="G882" s="29"/>
      <ns0:c r="H882" s="29"/>
      <ns0:c r="I882" s="29"/>
      <ns0:c r="J882" s="29"/>
      <ns0:c r="K882" s="29"/>
    </ns0:row>
    <ns0:row r="883" ht="28" customHeight="1">
      <ns0:c r="A883" s="29"/>
      <ns0:c r="B883" s="30"/>
      <ns0:c r="C883" s="28"/>
      <ns0:c r="D883" s="29"/>
      <ns0:c r="E883" s="31"/>
      <ns0:c r="F883" s="32"/>
      <ns0:c r="G883" s="29"/>
      <ns0:c r="H883" s="29"/>
      <ns0:c r="I883" s="29"/>
      <ns0:c r="J883" s="29"/>
      <ns0:c r="K883" s="29"/>
    </ns0:row>
    <ns0:row r="884" ht="28" customHeight="1">
      <ns0:c r="A884" s="29"/>
      <ns0:c r="B884" s="30"/>
      <ns0:c r="C884" s="28"/>
      <ns0:c r="D884" s="29"/>
      <ns0:c r="E884" s="31"/>
      <ns0:c r="F884" s="32"/>
      <ns0:c r="G884" s="29"/>
      <ns0:c r="H884" s="29"/>
      <ns0:c r="I884" s="29"/>
      <ns0:c r="J884" s="29"/>
      <ns0:c r="K884" s="29"/>
    </ns0:row>
    <ns0:row r="885" ht="28" customHeight="1">
      <ns0:c r="A885" s="29"/>
      <ns0:c r="B885" s="30"/>
      <ns0:c r="C885" s="28"/>
      <ns0:c r="D885" s="29"/>
      <ns0:c r="E885" s="31"/>
      <ns0:c r="F885" s="32"/>
      <ns0:c r="G885" s="29"/>
      <ns0:c r="H885" s="29"/>
      <ns0:c r="I885" s="29"/>
      <ns0:c r="J885" s="29"/>
      <ns0:c r="K885" s="29"/>
    </ns0:row>
    <ns0:row r="886" ht="28" customHeight="1">
      <ns0:c r="A886" s="29"/>
      <ns0:c r="B886" s="30"/>
      <ns0:c r="C886" s="28"/>
      <ns0:c r="D886" s="29"/>
      <ns0:c r="E886" s="31"/>
      <ns0:c r="F886" s="32"/>
      <ns0:c r="G886" s="29"/>
      <ns0:c r="H886" s="29"/>
      <ns0:c r="I886" s="29"/>
      <ns0:c r="J886" s="29"/>
      <ns0:c r="K886" s="29"/>
    </ns0:row>
    <ns0:row r="887" ht="28" customHeight="1">
      <ns0:c r="A887" s="29"/>
      <ns0:c r="B887" s="30"/>
      <ns0:c r="C887" s="28"/>
      <ns0:c r="D887" s="29"/>
      <ns0:c r="E887" s="31"/>
      <ns0:c r="F887" s="32"/>
      <ns0:c r="G887" s="29"/>
      <ns0:c r="H887" s="29"/>
      <ns0:c r="I887" s="29"/>
      <ns0:c r="J887" s="29"/>
      <ns0:c r="K887" s="29"/>
    </ns0:row>
    <ns0:row r="888" ht="28" customHeight="1">
      <ns0:c r="A888" s="29"/>
      <ns0:c r="B888" s="30"/>
      <ns0:c r="C888" s="28"/>
      <ns0:c r="D888" s="29"/>
      <ns0:c r="E888" s="31"/>
      <ns0:c r="F888" s="32"/>
      <ns0:c r="G888" s="29"/>
      <ns0:c r="H888" s="29"/>
      <ns0:c r="I888" s="29"/>
      <ns0:c r="J888" s="29"/>
      <ns0:c r="K888" s="29"/>
    </ns0:row>
    <ns0:row r="889" ht="28" customHeight="1">
      <ns0:c r="A889" s="29"/>
      <ns0:c r="B889" s="30"/>
      <ns0:c r="C889" s="28"/>
      <ns0:c r="D889" s="29"/>
      <ns0:c r="E889" s="31"/>
      <ns0:c r="F889" s="32"/>
      <ns0:c r="G889" s="29"/>
      <ns0:c r="H889" s="29"/>
      <ns0:c r="I889" s="29"/>
      <ns0:c r="J889" s="29"/>
      <ns0:c r="K889" s="29"/>
    </ns0:row>
    <ns0:row r="890" ht="28" customHeight="1">
      <ns0:c r="A890" s="29"/>
      <ns0:c r="B890" s="30"/>
      <ns0:c r="C890" s="28"/>
      <ns0:c r="D890" s="29"/>
      <ns0:c r="E890" s="31"/>
      <ns0:c r="F890" s="32"/>
      <ns0:c r="G890" s="29"/>
      <ns0:c r="H890" s="29"/>
      <ns0:c r="I890" s="29"/>
      <ns0:c r="J890" s="29"/>
      <ns0:c r="K890" s="29"/>
    </ns0:row>
    <ns0:row r="891" ht="28" customHeight="1">
      <ns0:c r="A891" s="29"/>
      <ns0:c r="B891" s="30"/>
      <ns0:c r="C891" s="28"/>
      <ns0:c r="D891" s="29"/>
      <ns0:c r="E891" s="31"/>
      <ns0:c r="F891" s="32"/>
      <ns0:c r="G891" s="29"/>
      <ns0:c r="H891" s="29"/>
      <ns0:c r="I891" s="29"/>
      <ns0:c r="J891" s="29"/>
      <ns0:c r="K891" s="29"/>
    </ns0:row>
    <ns0:row r="892" ht="28" customHeight="1">
      <ns0:c r="A892" s="29"/>
      <ns0:c r="B892" s="30"/>
      <ns0:c r="C892" s="28"/>
      <ns0:c r="D892" s="29"/>
      <ns0:c r="E892" s="31"/>
      <ns0:c r="F892" s="32"/>
      <ns0:c r="G892" s="29"/>
      <ns0:c r="H892" s="29"/>
      <ns0:c r="I892" s="29"/>
      <ns0:c r="J892" s="29"/>
      <ns0:c r="K892" s="29"/>
    </ns0:row>
    <ns0:row r="893" ht="28" customHeight="1">
      <ns0:c r="A893" s="29"/>
      <ns0:c r="B893" s="30"/>
      <ns0:c r="C893" s="28"/>
      <ns0:c r="D893" s="29"/>
      <ns0:c r="E893" s="31"/>
      <ns0:c r="F893" s="32"/>
      <ns0:c r="G893" s="29"/>
      <ns0:c r="H893" s="29"/>
      <ns0:c r="I893" s="29"/>
      <ns0:c r="J893" s="29"/>
      <ns0:c r="K893" s="29"/>
    </ns0:row>
    <ns0:row r="894" ht="28" customHeight="1">
      <ns0:c r="A894" s="29"/>
      <ns0:c r="B894" s="30"/>
      <ns0:c r="C894" s="28"/>
      <ns0:c r="D894" s="29"/>
      <ns0:c r="E894" s="31"/>
      <ns0:c r="F894" s="32"/>
      <ns0:c r="G894" s="29"/>
      <ns0:c r="H894" s="29"/>
      <ns0:c r="I894" s="29"/>
      <ns0:c r="J894" s="29"/>
      <ns0:c r="K894" s="29"/>
    </ns0:row>
    <ns0:row r="895" ht="28" customHeight="1">
      <ns0:c r="A895" s="29"/>
      <ns0:c r="B895" s="30"/>
      <ns0:c r="C895" s="28"/>
      <ns0:c r="D895" s="29"/>
      <ns0:c r="E895" s="31"/>
      <ns0:c r="F895" s="32"/>
      <ns0:c r="G895" s="29"/>
      <ns0:c r="H895" s="29"/>
      <ns0:c r="I895" s="29"/>
      <ns0:c r="J895" s="29"/>
      <ns0:c r="K895" s="29"/>
    </ns0:row>
    <ns0:row r="896" ht="28" customHeight="1">
      <ns0:c r="A896" s="29"/>
      <ns0:c r="B896" s="30"/>
      <ns0:c r="C896" s="28"/>
      <ns0:c r="D896" s="29"/>
      <ns0:c r="E896" s="31"/>
      <ns0:c r="F896" s="32"/>
      <ns0:c r="G896" s="29"/>
      <ns0:c r="H896" s="29"/>
      <ns0:c r="I896" s="29"/>
      <ns0:c r="J896" s="29"/>
      <ns0:c r="K896" s="29"/>
    </ns0:row>
    <ns0:row r="897" ht="28" customHeight="1">
      <ns0:c r="A897" s="29"/>
      <ns0:c r="B897" s="30"/>
      <ns0:c r="C897" s="28"/>
      <ns0:c r="D897" s="29"/>
      <ns0:c r="E897" s="31"/>
      <ns0:c r="F897" s="32"/>
      <ns0:c r="G897" s="29"/>
      <ns0:c r="H897" s="29"/>
      <ns0:c r="I897" s="29"/>
      <ns0:c r="J897" s="29"/>
      <ns0:c r="K897" s="29"/>
    </ns0:row>
    <ns0:row r="898" ht="28" customHeight="1">
      <ns0:c r="A898" s="29"/>
      <ns0:c r="B898" s="30"/>
      <ns0:c r="C898" s="28"/>
      <ns0:c r="D898" s="29"/>
      <ns0:c r="E898" s="31"/>
      <ns0:c r="F898" s="32"/>
      <ns0:c r="G898" s="29"/>
      <ns0:c r="H898" s="29"/>
      <ns0:c r="I898" s="29"/>
      <ns0:c r="J898" s="29"/>
      <ns0:c r="K898" s="29"/>
    </ns0:row>
    <ns0:row r="899" ht="28" customHeight="1">
      <ns0:c r="A899" s="29"/>
      <ns0:c r="B899" s="30"/>
      <ns0:c r="C899" s="28"/>
      <ns0:c r="D899" s="29"/>
      <ns0:c r="E899" s="31"/>
      <ns0:c r="F899" s="32"/>
      <ns0:c r="G899" s="29"/>
      <ns0:c r="H899" s="29"/>
      <ns0:c r="I899" s="29"/>
      <ns0:c r="J899" s="29"/>
      <ns0:c r="K899" s="29"/>
    </ns0:row>
    <ns0:row r="900" ht="28" customHeight="1">
      <ns0:c r="A900" s="29"/>
      <ns0:c r="B900" s="30"/>
      <ns0:c r="C900" s="28"/>
      <ns0:c r="D900" s="29"/>
      <ns0:c r="E900" s="31"/>
      <ns0:c r="F900" s="32"/>
      <ns0:c r="G900" s="29"/>
      <ns0:c r="H900" s="29"/>
      <ns0:c r="I900" s="29"/>
      <ns0:c r="J900" s="29"/>
      <ns0:c r="K900" s="29"/>
    </ns0:row>
    <ns0:row r="901" ht="28" customHeight="1">
      <ns0:c r="A901" s="29"/>
      <ns0:c r="B901" s="30"/>
      <ns0:c r="C901" s="28"/>
      <ns0:c r="D901" s="29"/>
      <ns0:c r="E901" s="31"/>
      <ns0:c r="F901" s="32"/>
      <ns0:c r="G901" s="29"/>
      <ns0:c r="H901" s="29"/>
      <ns0:c r="I901" s="29"/>
      <ns0:c r="J901" s="29"/>
      <ns0:c r="K901" s="29"/>
    </ns0:row>
    <ns0:row r="902" ht="28" customHeight="1">
      <ns0:c r="A902" s="29"/>
      <ns0:c r="B902" s="30"/>
      <ns0:c r="C902" s="28"/>
      <ns0:c r="D902" s="29"/>
      <ns0:c r="E902" s="31"/>
      <ns0:c r="F902" s="32"/>
      <ns0:c r="G902" s="29"/>
      <ns0:c r="H902" s="29"/>
      <ns0:c r="I902" s="29"/>
      <ns0:c r="J902" s="29"/>
      <ns0:c r="K902" s="29"/>
    </ns0:row>
    <ns0:row r="903" ht="28" customHeight="1">
      <ns0:c r="A903" s="29"/>
      <ns0:c r="B903" s="30"/>
      <ns0:c r="C903" s="28"/>
      <ns0:c r="D903" s="29"/>
      <ns0:c r="E903" s="31"/>
      <ns0:c r="F903" s="32"/>
      <ns0:c r="G903" s="29"/>
      <ns0:c r="H903" s="29"/>
      <ns0:c r="I903" s="29"/>
      <ns0:c r="J903" s="29"/>
      <ns0:c r="K903" s="29"/>
    </ns0:row>
    <ns0:row r="904" ht="28" customHeight="1">
      <ns0:c r="A904" s="29"/>
      <ns0:c r="B904" s="30"/>
      <ns0:c r="C904" s="28"/>
      <ns0:c r="D904" s="29"/>
      <ns0:c r="E904" s="31"/>
      <ns0:c r="F904" s="32"/>
      <ns0:c r="G904" s="29"/>
      <ns0:c r="H904" s="29"/>
      <ns0:c r="I904" s="29"/>
      <ns0:c r="J904" s="29"/>
      <ns0:c r="K904" s="29"/>
    </ns0:row>
    <ns0:row r="905" ht="28" customHeight="1">
      <ns0:c r="A905" s="29"/>
      <ns0:c r="B905" s="30"/>
      <ns0:c r="C905" s="28"/>
      <ns0:c r="D905" s="29"/>
      <ns0:c r="E905" s="31"/>
      <ns0:c r="F905" s="32"/>
      <ns0:c r="G905" s="29"/>
      <ns0:c r="H905" s="29"/>
      <ns0:c r="I905" s="29"/>
      <ns0:c r="J905" s="29"/>
      <ns0:c r="K905" s="29"/>
    </ns0:row>
    <ns0:row r="906" ht="28" customHeight="1">
      <ns0:c r="A906" s="29"/>
      <ns0:c r="B906" s="30"/>
      <ns0:c r="C906" s="28"/>
      <ns0:c r="D906" s="29"/>
      <ns0:c r="E906" s="31"/>
      <ns0:c r="F906" s="32"/>
      <ns0:c r="G906" s="29"/>
      <ns0:c r="H906" s="29"/>
      <ns0:c r="I906" s="29"/>
      <ns0:c r="J906" s="29"/>
      <ns0:c r="K906" s="29"/>
    </ns0:row>
    <ns0:row r="907" ht="28" customHeight="1">
      <ns0:c r="A907" s="29"/>
      <ns0:c r="B907" s="30"/>
      <ns0:c r="C907" s="28"/>
      <ns0:c r="D907" s="29"/>
      <ns0:c r="E907" s="31"/>
      <ns0:c r="F907" s="32"/>
      <ns0:c r="G907" s="29"/>
      <ns0:c r="H907" s="29"/>
      <ns0:c r="I907" s="29"/>
      <ns0:c r="J907" s="29"/>
      <ns0:c r="K907" s="29"/>
    </ns0:row>
    <ns0:row r="908" ht="28" customHeight="1">
      <ns0:c r="A908" s="29"/>
      <ns0:c r="B908" s="30"/>
      <ns0:c r="C908" s="28"/>
      <ns0:c r="D908" s="29"/>
      <ns0:c r="E908" s="31"/>
      <ns0:c r="F908" s="32"/>
      <ns0:c r="G908" s="29"/>
      <ns0:c r="H908" s="29"/>
      <ns0:c r="I908" s="29"/>
      <ns0:c r="J908" s="29"/>
      <ns0:c r="K908" s="29"/>
    </ns0:row>
    <ns0:row r="909" ht="28" customHeight="1">
      <ns0:c r="A909" s="29"/>
      <ns0:c r="B909" s="30"/>
      <ns0:c r="C909" s="28"/>
      <ns0:c r="D909" s="29"/>
      <ns0:c r="E909" s="31"/>
      <ns0:c r="F909" s="32"/>
      <ns0:c r="G909" s="29"/>
      <ns0:c r="H909" s="29"/>
      <ns0:c r="I909" s="29"/>
      <ns0:c r="J909" s="29"/>
      <ns0:c r="K909" s="29"/>
    </ns0:row>
    <ns0:row r="910" ht="28" customHeight="1">
      <ns0:c r="A910" s="29"/>
      <ns0:c r="B910" s="30"/>
      <ns0:c r="C910" s="28"/>
      <ns0:c r="D910" s="29"/>
      <ns0:c r="E910" s="31"/>
      <ns0:c r="F910" s="32"/>
      <ns0:c r="G910" s="29"/>
      <ns0:c r="H910" s="29"/>
      <ns0:c r="I910" s="29"/>
      <ns0:c r="J910" s="29"/>
      <ns0:c r="K910" s="29"/>
    </ns0:row>
    <ns0:row r="911" ht="28" customHeight="1">
      <ns0:c r="A911" s="29"/>
      <ns0:c r="B911" s="30"/>
      <ns0:c r="C911" s="28"/>
      <ns0:c r="D911" s="29"/>
      <ns0:c r="E911" s="31"/>
      <ns0:c r="F911" s="32"/>
      <ns0:c r="G911" s="29"/>
      <ns0:c r="H911" s="29"/>
      <ns0:c r="I911" s="29"/>
      <ns0:c r="J911" s="29"/>
      <ns0:c r="K911" s="29"/>
    </ns0:row>
    <ns0:row r="912" ht="28" customHeight="1">
      <ns0:c r="A912" s="29"/>
      <ns0:c r="B912" s="30"/>
      <ns0:c r="C912" s="28"/>
      <ns0:c r="D912" s="29"/>
      <ns0:c r="E912" s="31"/>
      <ns0:c r="F912" s="32"/>
      <ns0:c r="G912" s="29"/>
      <ns0:c r="H912" s="29"/>
      <ns0:c r="I912" s="29"/>
      <ns0:c r="J912" s="29"/>
      <ns0:c r="K912" s="29"/>
    </ns0:row>
    <ns0:row r="913" ht="28" customHeight="1">
      <ns0:c r="A913" s="29"/>
      <ns0:c r="B913" s="30"/>
      <ns0:c r="C913" s="28"/>
      <ns0:c r="D913" s="29"/>
      <ns0:c r="E913" s="31"/>
      <ns0:c r="F913" s="32"/>
      <ns0:c r="G913" s="29"/>
      <ns0:c r="H913" s="29"/>
      <ns0:c r="I913" s="29"/>
      <ns0:c r="J913" s="29"/>
      <ns0:c r="K913" s="29"/>
    </ns0:row>
    <ns0:row r="914" ht="28" customHeight="1">
      <ns0:c r="A914" s="29"/>
      <ns0:c r="B914" s="30"/>
      <ns0:c r="C914" s="28"/>
      <ns0:c r="D914" s="29"/>
      <ns0:c r="E914" s="31"/>
      <ns0:c r="F914" s="32"/>
      <ns0:c r="G914" s="29"/>
      <ns0:c r="H914" s="29"/>
      <ns0:c r="I914" s="29"/>
      <ns0:c r="J914" s="29"/>
      <ns0:c r="K914" s="29"/>
    </ns0:row>
    <ns0:row r="915" ht="28" customHeight="1">
      <ns0:c r="A915" s="29"/>
      <ns0:c r="B915" s="30"/>
      <ns0:c r="C915" s="28"/>
      <ns0:c r="D915" s="29"/>
      <ns0:c r="E915" s="31"/>
      <ns0:c r="F915" s="32"/>
      <ns0:c r="G915" s="29"/>
      <ns0:c r="H915" s="29"/>
      <ns0:c r="I915" s="29"/>
      <ns0:c r="J915" s="29"/>
      <ns0:c r="K915" s="29"/>
    </ns0:row>
    <ns0:row r="916" ht="28" customHeight="1">
      <ns0:c r="A916" s="29"/>
      <ns0:c r="B916" s="30"/>
      <ns0:c r="C916" s="28"/>
      <ns0:c r="D916" s="29"/>
      <ns0:c r="E916" s="31"/>
      <ns0:c r="F916" s="32"/>
      <ns0:c r="G916" s="29"/>
      <ns0:c r="H916" s="29"/>
      <ns0:c r="I916" s="29"/>
      <ns0:c r="J916" s="29"/>
      <ns0:c r="K916" s="29"/>
    </ns0:row>
    <ns0:row r="917" ht="28" customHeight="1">
      <ns0:c r="A917" s="29"/>
      <ns0:c r="B917" s="30"/>
      <ns0:c r="C917" s="28"/>
      <ns0:c r="D917" s="29"/>
      <ns0:c r="E917" s="31"/>
      <ns0:c r="F917" s="32"/>
      <ns0:c r="G917" s="29"/>
      <ns0:c r="H917" s="29"/>
      <ns0:c r="I917" s="29"/>
      <ns0:c r="J917" s="29"/>
      <ns0:c r="K917" s="29"/>
    </ns0:row>
    <ns0:row r="918" ht="28" customHeight="1">
      <ns0:c r="A918" s="29"/>
      <ns0:c r="B918" s="30"/>
      <ns0:c r="C918" s="28"/>
      <ns0:c r="D918" s="29"/>
      <ns0:c r="E918" s="31"/>
      <ns0:c r="F918" s="32"/>
      <ns0:c r="G918" s="29"/>
      <ns0:c r="H918" s="29"/>
      <ns0:c r="I918" s="29"/>
      <ns0:c r="J918" s="29"/>
      <ns0:c r="K918" s="29"/>
    </ns0:row>
    <ns0:row r="919" ht="28" customHeight="1">
      <ns0:c r="A919" s="29"/>
      <ns0:c r="B919" s="30"/>
      <ns0:c r="C919" s="28"/>
      <ns0:c r="D919" s="29"/>
      <ns0:c r="E919" s="31"/>
      <ns0:c r="F919" s="32"/>
      <ns0:c r="G919" s="29"/>
      <ns0:c r="H919" s="29"/>
      <ns0:c r="I919" s="29"/>
      <ns0:c r="J919" s="29"/>
      <ns0:c r="K919" s="29"/>
    </ns0:row>
    <ns0:row r="920" ht="28" customHeight="1">
      <ns0:c r="A920" s="29"/>
      <ns0:c r="B920" s="30"/>
      <ns0:c r="C920" s="28"/>
      <ns0:c r="D920" s="29"/>
      <ns0:c r="E920" s="31"/>
      <ns0:c r="F920" s="32"/>
      <ns0:c r="G920" s="29"/>
      <ns0:c r="H920" s="29"/>
      <ns0:c r="I920" s="29"/>
      <ns0:c r="J920" s="29"/>
      <ns0:c r="K920" s="29"/>
    </ns0:row>
    <ns0:row r="921" ht="28" customHeight="1">
      <ns0:c r="A921" s="29"/>
      <ns0:c r="B921" s="30"/>
      <ns0:c r="C921" s="28"/>
      <ns0:c r="D921" s="29"/>
      <ns0:c r="E921" s="31"/>
      <ns0:c r="F921" s="32"/>
      <ns0:c r="G921" s="29"/>
      <ns0:c r="H921" s="29"/>
      <ns0:c r="I921" s="29"/>
      <ns0:c r="J921" s="29"/>
      <ns0:c r="K921" s="29"/>
    </ns0:row>
    <ns0:row r="922" ht="28" customHeight="1">
      <ns0:c r="A922" s="29"/>
      <ns0:c r="B922" s="30"/>
      <ns0:c r="C922" s="28"/>
      <ns0:c r="D922" s="29"/>
      <ns0:c r="E922" s="31"/>
      <ns0:c r="F922" s="32"/>
      <ns0:c r="G922" s="29"/>
      <ns0:c r="H922" s="29"/>
      <ns0:c r="I922" s="29"/>
      <ns0:c r="J922" s="29"/>
      <ns0:c r="K922" s="29"/>
    </ns0:row>
    <ns0:row r="923" ht="28" customHeight="1">
      <ns0:c r="A923" s="29"/>
      <ns0:c r="B923" s="30"/>
      <ns0:c r="C923" s="28"/>
      <ns0:c r="D923" s="29"/>
      <ns0:c r="E923" s="31"/>
      <ns0:c r="F923" s="32"/>
      <ns0:c r="G923" s="29"/>
      <ns0:c r="H923" s="29"/>
      <ns0:c r="I923" s="29"/>
      <ns0:c r="J923" s="29"/>
      <ns0:c r="K923" s="29"/>
    </ns0:row>
    <ns0:row r="924" ht="28" customHeight="1">
      <ns0:c r="A924" s="29"/>
      <ns0:c r="B924" s="30"/>
      <ns0:c r="C924" s="28"/>
      <ns0:c r="D924" s="29"/>
      <ns0:c r="E924" s="31"/>
      <ns0:c r="F924" s="32"/>
      <ns0:c r="G924" s="29"/>
      <ns0:c r="H924" s="29"/>
      <ns0:c r="I924" s="29"/>
      <ns0:c r="J924" s="29"/>
      <ns0:c r="K924" s="29"/>
    </ns0:row>
    <ns0:row r="925" ht="28" customHeight="1">
      <ns0:c r="A925" s="29"/>
      <ns0:c r="B925" s="30"/>
      <ns0:c r="C925" s="28"/>
      <ns0:c r="D925" s="29"/>
      <ns0:c r="E925" s="31"/>
      <ns0:c r="F925" s="32"/>
      <ns0:c r="G925" s="29"/>
      <ns0:c r="H925" s="29"/>
      <ns0:c r="I925" s="29"/>
      <ns0:c r="J925" s="29"/>
      <ns0:c r="K925" s="29"/>
    </ns0:row>
    <ns0:row r="926" ht="28" customHeight="1">
      <ns0:c r="A926" s="29"/>
      <ns0:c r="B926" s="30"/>
      <ns0:c r="C926" s="28"/>
      <ns0:c r="D926" s="29"/>
      <ns0:c r="E926" s="31"/>
      <ns0:c r="F926" s="32"/>
      <ns0:c r="G926" s="29"/>
      <ns0:c r="H926" s="29"/>
      <ns0:c r="I926" s="29"/>
      <ns0:c r="J926" s="29"/>
      <ns0:c r="K926" s="29"/>
    </ns0:row>
    <ns0:row r="927" ht="28" customHeight="1">
      <ns0:c r="A927" s="29"/>
      <ns0:c r="B927" s="30"/>
      <ns0:c r="C927" s="28"/>
      <ns0:c r="D927" s="29"/>
      <ns0:c r="E927" s="31"/>
      <ns0:c r="F927" s="32"/>
      <ns0:c r="G927" s="29"/>
      <ns0:c r="H927" s="29"/>
      <ns0:c r="I927" s="29"/>
      <ns0:c r="J927" s="29"/>
      <ns0:c r="K927" s="29"/>
    </ns0:row>
    <ns0:row r="928" ht="28" customHeight="1">
      <ns0:c r="A928" s="29"/>
      <ns0:c r="B928" s="30"/>
      <ns0:c r="C928" s="28"/>
      <ns0:c r="D928" s="29"/>
      <ns0:c r="E928" s="31"/>
      <ns0:c r="F928" s="32"/>
      <ns0:c r="G928" s="29"/>
      <ns0:c r="H928" s="29"/>
      <ns0:c r="I928" s="29"/>
      <ns0:c r="J928" s="29"/>
      <ns0:c r="K928" s="29"/>
    </ns0:row>
    <ns0:row r="929" ht="28" customHeight="1">
      <ns0:c r="A929" s="29"/>
      <ns0:c r="B929" s="30"/>
      <ns0:c r="C929" s="28"/>
      <ns0:c r="D929" s="29"/>
      <ns0:c r="E929" s="31"/>
      <ns0:c r="F929" s="32"/>
      <ns0:c r="G929" s="29"/>
      <ns0:c r="H929" s="29"/>
      <ns0:c r="I929" s="29"/>
      <ns0:c r="J929" s="29"/>
      <ns0:c r="K929" s="29"/>
    </ns0:row>
    <ns0:row r="930" ht="28" customHeight="1">
      <ns0:c r="A930" s="29"/>
      <ns0:c r="B930" s="30"/>
      <ns0:c r="C930" s="28"/>
      <ns0:c r="D930" s="29"/>
      <ns0:c r="E930" s="31"/>
      <ns0:c r="F930" s="32"/>
      <ns0:c r="G930" s="29"/>
      <ns0:c r="H930" s="29"/>
      <ns0:c r="I930" s="29"/>
      <ns0:c r="J930" s="29"/>
      <ns0:c r="K930" s="29"/>
    </ns0:row>
    <ns0:row r="931" ht="28" customHeight="1">
      <ns0:c r="A931" s="29"/>
      <ns0:c r="B931" s="30"/>
      <ns0:c r="C931" s="28"/>
      <ns0:c r="D931" s="29"/>
      <ns0:c r="E931" s="31"/>
      <ns0:c r="F931" s="32"/>
      <ns0:c r="G931" s="29"/>
      <ns0:c r="H931" s="29"/>
      <ns0:c r="I931" s="29"/>
      <ns0:c r="J931" s="29"/>
      <ns0:c r="K931" s="29"/>
    </ns0:row>
    <ns0:row r="932" ht="28" customHeight="1">
      <ns0:c r="A932" s="29"/>
      <ns0:c r="B932" s="30"/>
      <ns0:c r="C932" s="28"/>
      <ns0:c r="D932" s="29"/>
      <ns0:c r="E932" s="31"/>
      <ns0:c r="F932" s="32"/>
      <ns0:c r="G932" s="29"/>
      <ns0:c r="H932" s="29"/>
      <ns0:c r="I932" s="29"/>
      <ns0:c r="J932" s="29"/>
      <ns0:c r="K932" s="29"/>
    </ns0:row>
    <ns0:row r="933" ht="28" customHeight="1">
      <ns0:c r="A933" s="29"/>
      <ns0:c r="B933" s="30"/>
      <ns0:c r="C933" s="28"/>
      <ns0:c r="D933" s="29"/>
      <ns0:c r="E933" s="31"/>
      <ns0:c r="F933" s="32"/>
      <ns0:c r="G933" s="29"/>
      <ns0:c r="H933" s="29"/>
      <ns0:c r="I933" s="29"/>
      <ns0:c r="J933" s="29"/>
      <ns0:c r="K933" s="29"/>
    </ns0:row>
    <ns0:row r="934" ht="28" customHeight="1">
      <ns0:c r="A934" s="29"/>
      <ns0:c r="B934" s="30"/>
      <ns0:c r="C934" s="28"/>
      <ns0:c r="D934" s="29"/>
      <ns0:c r="E934" s="31"/>
      <ns0:c r="F934" s="32"/>
      <ns0:c r="G934" s="29"/>
      <ns0:c r="H934" s="29"/>
      <ns0:c r="I934" s="29"/>
      <ns0:c r="J934" s="29"/>
      <ns0:c r="K934" s="29"/>
    </ns0:row>
    <ns0:row r="935" ht="28" customHeight="1">
      <ns0:c r="A935" s="29"/>
      <ns0:c r="B935" s="30"/>
      <ns0:c r="C935" s="28"/>
      <ns0:c r="D935" s="29"/>
      <ns0:c r="E935" s="31"/>
      <ns0:c r="F935" s="32"/>
      <ns0:c r="G935" s="29"/>
      <ns0:c r="H935" s="29"/>
      <ns0:c r="I935" s="29"/>
      <ns0:c r="J935" s="29"/>
      <ns0:c r="K935" s="29"/>
    </ns0:row>
    <ns0:row r="936" ht="28" customHeight="1">
      <ns0:c r="A936" s="29"/>
      <ns0:c r="B936" s="30"/>
      <ns0:c r="C936" s="28"/>
      <ns0:c r="D936" s="29"/>
      <ns0:c r="E936" s="31"/>
      <ns0:c r="F936" s="32"/>
      <ns0:c r="G936" s="29"/>
      <ns0:c r="H936" s="29"/>
      <ns0:c r="I936" s="29"/>
      <ns0:c r="J936" s="29"/>
      <ns0:c r="K936" s="29"/>
    </ns0:row>
    <ns0:row r="937" ht="28" customHeight="1">
      <ns0:c r="A937" s="29"/>
      <ns0:c r="B937" s="30"/>
      <ns0:c r="C937" s="28"/>
      <ns0:c r="D937" s="29"/>
      <ns0:c r="E937" s="31"/>
      <ns0:c r="F937" s="32"/>
      <ns0:c r="G937" s="29"/>
      <ns0:c r="H937" s="29"/>
      <ns0:c r="I937" s="29"/>
      <ns0:c r="J937" s="29"/>
      <ns0:c r="K937" s="29"/>
    </ns0:row>
    <ns0:row r="938" ht="28" customHeight="1">
      <ns0:c r="A938" s="29"/>
      <ns0:c r="B938" s="30"/>
      <ns0:c r="C938" s="28"/>
      <ns0:c r="D938" s="29"/>
      <ns0:c r="E938" s="31"/>
      <ns0:c r="F938" s="32"/>
      <ns0:c r="G938" s="29"/>
      <ns0:c r="H938" s="29"/>
      <ns0:c r="I938" s="29"/>
      <ns0:c r="J938" s="29"/>
      <ns0:c r="K938" s="29"/>
    </ns0:row>
    <ns0:row r="939" ht="28" customHeight="1">
      <ns0:c r="A939" s="29"/>
      <ns0:c r="B939" s="30"/>
      <ns0:c r="C939" s="28"/>
      <ns0:c r="D939" s="29"/>
      <ns0:c r="E939" s="31"/>
      <ns0:c r="F939" s="32"/>
      <ns0:c r="G939" s="29"/>
      <ns0:c r="H939" s="29"/>
      <ns0:c r="I939" s="29"/>
      <ns0:c r="J939" s="29"/>
      <ns0:c r="K939" s="29"/>
    </ns0:row>
    <ns0:row r="940" ht="28" customHeight="1">
      <ns0:c r="A940" s="29"/>
      <ns0:c r="B940" s="30"/>
      <ns0:c r="C940" s="28"/>
      <ns0:c r="D940" s="29"/>
      <ns0:c r="E940" s="31"/>
      <ns0:c r="F940" s="32"/>
      <ns0:c r="G940" s="29"/>
      <ns0:c r="H940" s="29"/>
      <ns0:c r="I940" s="29"/>
      <ns0:c r="J940" s="29"/>
      <ns0:c r="K940" s="29"/>
    </ns0:row>
    <ns0:row r="941" ht="28" customHeight="1">
      <ns0:c r="A941" s="29"/>
      <ns0:c r="B941" s="30"/>
      <ns0:c r="C941" s="28"/>
      <ns0:c r="D941" s="29"/>
      <ns0:c r="E941" s="31"/>
      <ns0:c r="F941" s="32"/>
      <ns0:c r="G941" s="29"/>
      <ns0:c r="H941" s="29"/>
      <ns0:c r="I941" s="29"/>
      <ns0:c r="J941" s="29"/>
      <ns0:c r="K941" s="29"/>
    </ns0:row>
    <ns0:row r="942" ht="28" customHeight="1">
      <ns0:c r="A942" s="29"/>
      <ns0:c r="B942" s="30"/>
      <ns0:c r="C942" s="28"/>
      <ns0:c r="D942" s="29"/>
      <ns0:c r="E942" s="31"/>
      <ns0:c r="F942" s="32"/>
      <ns0:c r="G942" s="29"/>
      <ns0:c r="H942" s="29"/>
      <ns0:c r="I942" s="29"/>
      <ns0:c r="J942" s="29"/>
      <ns0:c r="K942" s="29"/>
    </ns0:row>
    <ns0:row r="943" ht="28" customHeight="1">
      <ns0:c r="A943" s="29"/>
      <ns0:c r="B943" s="30"/>
      <ns0:c r="C943" s="28"/>
      <ns0:c r="D943" s="29"/>
      <ns0:c r="E943" s="31"/>
      <ns0:c r="F943" s="32"/>
      <ns0:c r="G943" s="29"/>
      <ns0:c r="H943" s="29"/>
      <ns0:c r="I943" s="29"/>
      <ns0:c r="J943" s="29"/>
      <ns0:c r="K943" s="29"/>
    </ns0:row>
    <ns0:row r="944" ht="28" customHeight="1">
      <ns0:c r="A944" s="29"/>
      <ns0:c r="B944" s="30"/>
      <ns0:c r="C944" s="28"/>
      <ns0:c r="D944" s="29"/>
      <ns0:c r="E944" s="31"/>
      <ns0:c r="F944" s="32"/>
      <ns0:c r="G944" s="29"/>
      <ns0:c r="H944" s="29"/>
      <ns0:c r="I944" s="29"/>
      <ns0:c r="J944" s="29"/>
      <ns0:c r="K944" s="29"/>
    </ns0:row>
    <ns0:row r="945" ht="28" customHeight="1">
      <ns0:c r="A945" s="29"/>
      <ns0:c r="B945" s="30"/>
      <ns0:c r="C945" s="28"/>
      <ns0:c r="D945" s="29"/>
      <ns0:c r="E945" s="31"/>
      <ns0:c r="F945" s="32"/>
      <ns0:c r="G945" s="29"/>
      <ns0:c r="H945" s="29"/>
      <ns0:c r="I945" s="29"/>
      <ns0:c r="J945" s="29"/>
      <ns0:c r="K945" s="29"/>
    </ns0:row>
    <ns0:row r="946" ht="28" customHeight="1">
      <ns0:c r="A946" s="29"/>
      <ns0:c r="B946" s="30"/>
      <ns0:c r="C946" s="28"/>
      <ns0:c r="D946" s="29"/>
      <ns0:c r="E946" s="31"/>
      <ns0:c r="F946" s="32"/>
      <ns0:c r="G946" s="29"/>
      <ns0:c r="H946" s="29"/>
      <ns0:c r="I946" s="29"/>
      <ns0:c r="J946" s="29"/>
      <ns0:c r="K946" s="29"/>
    </ns0:row>
    <ns0:row r="947" ht="28" customHeight="1">
      <ns0:c r="A947" s="29"/>
      <ns0:c r="B947" s="30"/>
      <ns0:c r="C947" s="28"/>
      <ns0:c r="D947" s="29"/>
      <ns0:c r="E947" s="31"/>
      <ns0:c r="F947" s="32"/>
      <ns0:c r="G947" s="29"/>
      <ns0:c r="H947" s="29"/>
      <ns0:c r="I947" s="29"/>
      <ns0:c r="J947" s="29"/>
      <ns0:c r="K947" s="29"/>
    </ns0:row>
    <ns0:row r="948" ht="28" customHeight="1">
      <ns0:c r="A948" s="29"/>
      <ns0:c r="B948" s="30"/>
      <ns0:c r="C948" s="28"/>
      <ns0:c r="D948" s="29"/>
      <ns0:c r="E948" s="31"/>
      <ns0:c r="F948" s="32"/>
      <ns0:c r="G948" s="29"/>
      <ns0:c r="H948" s="29"/>
      <ns0:c r="I948" s="29"/>
      <ns0:c r="J948" s="29"/>
      <ns0:c r="K948" s="29"/>
    </ns0:row>
    <ns0:row r="949" ht="28" customHeight="1">
      <ns0:c r="A949" s="29"/>
      <ns0:c r="B949" s="30"/>
      <ns0:c r="C949" s="28"/>
      <ns0:c r="D949" s="29"/>
      <ns0:c r="E949" s="31"/>
      <ns0:c r="F949" s="32"/>
      <ns0:c r="G949" s="29"/>
      <ns0:c r="H949" s="29"/>
      <ns0:c r="I949" s="29"/>
      <ns0:c r="J949" s="29"/>
      <ns0:c r="K949" s="29"/>
    </ns0:row>
    <ns0:row r="950" ht="28" customHeight="1">
      <ns0:c r="A950" s="29"/>
      <ns0:c r="B950" s="30"/>
      <ns0:c r="C950" s="28"/>
      <ns0:c r="D950" s="29"/>
      <ns0:c r="E950" s="31"/>
      <ns0:c r="F950" s="32"/>
      <ns0:c r="G950" s="29"/>
      <ns0:c r="H950" s="29"/>
      <ns0:c r="I950" s="29"/>
      <ns0:c r="J950" s="29"/>
      <ns0:c r="K950" s="29"/>
    </ns0:row>
    <ns0:row r="951" ht="28" customHeight="1">
      <ns0:c r="A951" s="29"/>
      <ns0:c r="B951" s="30"/>
      <ns0:c r="C951" s="28"/>
      <ns0:c r="D951" s="29"/>
      <ns0:c r="E951" s="31"/>
      <ns0:c r="F951" s="32"/>
      <ns0:c r="G951" s="29"/>
      <ns0:c r="H951" s="29"/>
      <ns0:c r="I951" s="29"/>
      <ns0:c r="J951" s="29"/>
      <ns0:c r="K951" s="29"/>
    </ns0:row>
    <ns0:row r="952" ht="28" customHeight="1">
      <ns0:c r="A952" s="29"/>
      <ns0:c r="B952" s="30"/>
      <ns0:c r="C952" s="28"/>
      <ns0:c r="D952" s="29"/>
      <ns0:c r="E952" s="31"/>
      <ns0:c r="F952" s="32"/>
      <ns0:c r="G952" s="29"/>
      <ns0:c r="H952" s="29"/>
      <ns0:c r="I952" s="29"/>
      <ns0:c r="J952" s="29"/>
      <ns0:c r="K952" s="29"/>
    </ns0:row>
    <ns0:row r="953" ht="28" customHeight="1">
      <ns0:c r="A953" s="29"/>
      <ns0:c r="B953" s="30"/>
      <ns0:c r="C953" s="28"/>
      <ns0:c r="D953" s="29"/>
      <ns0:c r="E953" s="31"/>
      <ns0:c r="F953" s="32"/>
      <ns0:c r="G953" s="29"/>
      <ns0:c r="H953" s="29"/>
      <ns0:c r="I953" s="29"/>
      <ns0:c r="J953" s="29"/>
      <ns0:c r="K953" s="29"/>
    </ns0:row>
    <ns0:row r="954" ht="28" customHeight="1">
      <ns0:c r="A954" s="29"/>
      <ns0:c r="B954" s="30"/>
      <ns0:c r="C954" s="28"/>
      <ns0:c r="D954" s="29"/>
      <ns0:c r="E954" s="31"/>
      <ns0:c r="F954" s="32"/>
      <ns0:c r="G954" s="29"/>
      <ns0:c r="H954" s="29"/>
      <ns0:c r="I954" s="29"/>
      <ns0:c r="J954" s="29"/>
      <ns0:c r="K954" s="29"/>
    </ns0:row>
    <ns0:row r="955" ht="28" customHeight="1">
      <ns0:c r="A955" s="29"/>
      <ns0:c r="B955" s="30"/>
      <ns0:c r="C955" s="28"/>
      <ns0:c r="D955" s="29"/>
      <ns0:c r="E955" s="31"/>
      <ns0:c r="F955" s="32"/>
      <ns0:c r="G955" s="29"/>
      <ns0:c r="H955" s="29"/>
      <ns0:c r="I955" s="29"/>
      <ns0:c r="J955" s="29"/>
      <ns0:c r="K955" s="29"/>
    </ns0:row>
    <ns0:row r="956" ht="28" customHeight="1">
      <ns0:c r="A956" s="29"/>
      <ns0:c r="B956" s="30"/>
      <ns0:c r="C956" s="28"/>
      <ns0:c r="D956" s="29"/>
      <ns0:c r="E956" s="31"/>
      <ns0:c r="F956" s="32"/>
      <ns0:c r="G956" s="29"/>
      <ns0:c r="H956" s="29"/>
      <ns0:c r="I956" s="29"/>
      <ns0:c r="J956" s="29"/>
      <ns0:c r="K956" s="29"/>
    </ns0:row>
    <ns0:row r="957" ht="28" customHeight="1">
      <ns0:c r="A957" s="29"/>
      <ns0:c r="B957" s="30"/>
      <ns0:c r="C957" s="28"/>
      <ns0:c r="D957" s="29"/>
      <ns0:c r="E957" s="31"/>
      <ns0:c r="F957" s="32"/>
      <ns0:c r="G957" s="29"/>
      <ns0:c r="H957" s="29"/>
      <ns0:c r="I957" s="29"/>
      <ns0:c r="J957" s="29"/>
      <ns0:c r="K957" s="29"/>
    </ns0:row>
    <ns0:row r="958" ht="28" customHeight="1">
      <ns0:c r="A958" s="29"/>
      <ns0:c r="B958" s="30"/>
      <ns0:c r="C958" s="28"/>
      <ns0:c r="D958" s="29"/>
      <ns0:c r="E958" s="31"/>
      <ns0:c r="F958" s="32"/>
      <ns0:c r="G958" s="29"/>
      <ns0:c r="H958" s="29"/>
      <ns0:c r="I958" s="29"/>
      <ns0:c r="J958" s="29"/>
      <ns0:c r="K958" s="29"/>
    </ns0:row>
    <ns0:row r="959" ht="28" customHeight="1">
      <ns0:c r="A959" s="29"/>
      <ns0:c r="B959" s="30"/>
      <ns0:c r="C959" s="28"/>
      <ns0:c r="D959" s="29"/>
      <ns0:c r="E959" s="31"/>
      <ns0:c r="F959" s="32"/>
      <ns0:c r="G959" s="29"/>
      <ns0:c r="H959" s="29"/>
      <ns0:c r="I959" s="29"/>
      <ns0:c r="J959" s="29"/>
      <ns0:c r="K959" s="29"/>
    </ns0:row>
    <ns0:row r="960" ht="28" customHeight="1">
      <ns0:c r="A960" s="29"/>
      <ns0:c r="B960" s="30"/>
      <ns0:c r="C960" s="28"/>
      <ns0:c r="D960" s="29"/>
      <ns0:c r="E960" s="31"/>
      <ns0:c r="F960" s="32"/>
      <ns0:c r="G960" s="29"/>
      <ns0:c r="H960" s="29"/>
      <ns0:c r="I960" s="29"/>
      <ns0:c r="J960" s="29"/>
      <ns0:c r="K960" s="29"/>
    </ns0:row>
    <ns0:row r="961" ht="28" customHeight="1">
      <ns0:c r="A961" s="29"/>
      <ns0:c r="B961" s="30"/>
      <ns0:c r="C961" s="28"/>
      <ns0:c r="D961" s="29"/>
      <ns0:c r="E961" s="31"/>
      <ns0:c r="F961" s="32"/>
      <ns0:c r="G961" s="29"/>
      <ns0:c r="H961" s="29"/>
      <ns0:c r="I961" s="29"/>
      <ns0:c r="J961" s="29"/>
      <ns0:c r="K961" s="29"/>
    </ns0:row>
    <ns0:row r="962" ht="28" customHeight="1">
      <ns0:c r="A962" s="29"/>
      <ns0:c r="B962" s="30"/>
      <ns0:c r="C962" s="28"/>
      <ns0:c r="D962" s="29"/>
      <ns0:c r="E962" s="31"/>
      <ns0:c r="F962" s="32"/>
      <ns0:c r="G962" s="29"/>
      <ns0:c r="H962" s="29"/>
      <ns0:c r="I962" s="29"/>
      <ns0:c r="J962" s="29"/>
      <ns0:c r="K962" s="29"/>
    </ns0:row>
    <ns0:row r="963" ht="28" customHeight="1">
      <ns0:c r="A963" s="29"/>
      <ns0:c r="B963" s="30"/>
      <ns0:c r="C963" s="28"/>
      <ns0:c r="D963" s="29"/>
      <ns0:c r="E963" s="31"/>
      <ns0:c r="F963" s="32"/>
      <ns0:c r="G963" s="29"/>
      <ns0:c r="H963" s="29"/>
      <ns0:c r="I963" s="29"/>
      <ns0:c r="J963" s="29"/>
      <ns0:c r="K963" s="29"/>
    </ns0:row>
    <ns0:row r="964" ht="28" customHeight="1">
      <ns0:c r="A964" s="29"/>
      <ns0:c r="B964" s="30"/>
      <ns0:c r="C964" s="28"/>
      <ns0:c r="D964" s="29"/>
      <ns0:c r="E964" s="31"/>
      <ns0:c r="F964" s="32"/>
      <ns0:c r="G964" s="29"/>
      <ns0:c r="H964" s="29"/>
      <ns0:c r="I964" s="29"/>
      <ns0:c r="J964" s="29"/>
      <ns0:c r="K964" s="29"/>
    </ns0:row>
    <ns0:row r="965" ht="28" customHeight="1">
      <ns0:c r="A965" s="29"/>
      <ns0:c r="B965" s="30"/>
      <ns0:c r="C965" s="28"/>
      <ns0:c r="D965" s="29"/>
      <ns0:c r="E965" s="31"/>
      <ns0:c r="F965" s="32"/>
      <ns0:c r="G965" s="29"/>
      <ns0:c r="H965" s="29"/>
      <ns0:c r="I965" s="29"/>
      <ns0:c r="J965" s="29"/>
      <ns0:c r="K965" s="29"/>
    </ns0:row>
    <ns0:row r="966" ht="28" customHeight="1">
      <ns0:c r="A966" s="29"/>
      <ns0:c r="B966" s="30"/>
      <ns0:c r="C966" s="28"/>
      <ns0:c r="D966" s="29"/>
      <ns0:c r="E966" s="31"/>
      <ns0:c r="F966" s="32"/>
      <ns0:c r="G966" s="29"/>
      <ns0:c r="H966" s="29"/>
      <ns0:c r="I966" s="29"/>
      <ns0:c r="J966" s="29"/>
      <ns0:c r="K966" s="29"/>
    </ns0:row>
    <ns0:row r="967" ht="28" customHeight="1">
      <ns0:c r="A967" s="29"/>
      <ns0:c r="B967" s="30"/>
      <ns0:c r="C967" s="28"/>
      <ns0:c r="D967" s="29"/>
      <ns0:c r="E967" s="31"/>
      <ns0:c r="F967" s="32"/>
      <ns0:c r="G967" s="29"/>
      <ns0:c r="H967" s="29"/>
      <ns0:c r="I967" s="29"/>
      <ns0:c r="J967" s="29"/>
      <ns0:c r="K967" s="29"/>
    </ns0:row>
    <ns0:row r="968" ht="28" customHeight="1">
      <ns0:c r="A968" s="29"/>
      <ns0:c r="B968" s="30"/>
      <ns0:c r="C968" s="28"/>
      <ns0:c r="D968" s="29"/>
      <ns0:c r="E968" s="31"/>
      <ns0:c r="F968" s="32"/>
      <ns0:c r="G968" s="29"/>
      <ns0:c r="H968" s="29"/>
      <ns0:c r="I968" s="29"/>
      <ns0:c r="J968" s="29"/>
      <ns0:c r="K968" s="29"/>
    </ns0:row>
    <ns0:row r="969" ht="28" customHeight="1">
      <ns0:c r="A969" s="29"/>
      <ns0:c r="B969" s="30"/>
      <ns0:c r="C969" s="28"/>
      <ns0:c r="D969" s="29"/>
      <ns0:c r="E969" s="31"/>
      <ns0:c r="F969" s="32"/>
      <ns0:c r="G969" s="29"/>
      <ns0:c r="H969" s="29"/>
      <ns0:c r="I969" s="29"/>
      <ns0:c r="J969" s="29"/>
      <ns0:c r="K969" s="29"/>
    </ns0:row>
    <ns0:row r="970" ht="28" customHeight="1">
      <ns0:c r="A970" s="29"/>
      <ns0:c r="B970" s="30"/>
      <ns0:c r="C970" s="28"/>
      <ns0:c r="D970" s="29"/>
      <ns0:c r="E970" s="31"/>
      <ns0:c r="F970" s="32"/>
      <ns0:c r="G970" s="29"/>
      <ns0:c r="H970" s="29"/>
      <ns0:c r="I970" s="29"/>
      <ns0:c r="J970" s="29"/>
      <ns0:c r="K970" s="29"/>
    </ns0:row>
    <ns0:row r="971" ht="28" customHeight="1">
      <ns0:c r="A971" s="29"/>
      <ns0:c r="B971" s="30"/>
      <ns0:c r="C971" s="28"/>
      <ns0:c r="D971" s="29"/>
      <ns0:c r="E971" s="31"/>
      <ns0:c r="F971" s="32"/>
      <ns0:c r="G971" s="29"/>
      <ns0:c r="H971" s="29"/>
      <ns0:c r="I971" s="29"/>
      <ns0:c r="J971" s="29"/>
      <ns0:c r="K971" s="29"/>
    </ns0:row>
    <ns0:row r="972" ht="28" customHeight="1">
      <ns0:c r="A972" s="29"/>
      <ns0:c r="B972" s="30"/>
      <ns0:c r="C972" s="28"/>
      <ns0:c r="D972" s="29"/>
      <ns0:c r="E972" s="31"/>
      <ns0:c r="F972" s="32"/>
      <ns0:c r="G972" s="29"/>
      <ns0:c r="H972" s="29"/>
      <ns0:c r="I972" s="29"/>
      <ns0:c r="J972" s="29"/>
      <ns0:c r="K972" s="29"/>
    </ns0:row>
    <ns0:row r="973" ht="28" customHeight="1">
      <ns0:c r="A973" s="29"/>
      <ns0:c r="B973" s="30"/>
      <ns0:c r="C973" s="28"/>
      <ns0:c r="D973" s="29"/>
      <ns0:c r="E973" s="31"/>
      <ns0:c r="F973" s="32"/>
      <ns0:c r="G973" s="29"/>
      <ns0:c r="H973" s="29"/>
      <ns0:c r="I973" s="29"/>
      <ns0:c r="J973" s="29"/>
      <ns0:c r="K973" s="29"/>
    </ns0:row>
    <ns0:row r="974" ht="28" customHeight="1">
      <ns0:c r="A974" s="29"/>
      <ns0:c r="B974" s="30"/>
      <ns0:c r="C974" s="28"/>
      <ns0:c r="D974" s="29"/>
      <ns0:c r="E974" s="31"/>
      <ns0:c r="F974" s="32"/>
      <ns0:c r="G974" s="29"/>
      <ns0:c r="H974" s="29"/>
      <ns0:c r="I974" s="29"/>
      <ns0:c r="J974" s="29"/>
      <ns0:c r="K974" s="29"/>
    </ns0:row>
    <ns0:row r="975" ht="28" customHeight="1">
      <ns0:c r="A975" s="29"/>
      <ns0:c r="B975" s="30"/>
      <ns0:c r="C975" s="28"/>
      <ns0:c r="D975" s="29"/>
      <ns0:c r="E975" s="31"/>
      <ns0:c r="F975" s="32"/>
      <ns0:c r="G975" s="29"/>
      <ns0:c r="H975" s="29"/>
      <ns0:c r="I975" s="29"/>
      <ns0:c r="J975" s="29"/>
      <ns0:c r="K975" s="29"/>
    </ns0:row>
    <ns0:row r="976" ht="28" customHeight="1">
      <ns0:c r="A976" s="29"/>
      <ns0:c r="B976" s="30"/>
      <ns0:c r="C976" s="28"/>
      <ns0:c r="D976" s="29"/>
      <ns0:c r="E976" s="31"/>
      <ns0:c r="F976" s="32"/>
      <ns0:c r="G976" s="29"/>
      <ns0:c r="H976" s="29"/>
      <ns0:c r="I976" s="29"/>
      <ns0:c r="J976" s="29"/>
      <ns0:c r="K976" s="29"/>
    </ns0:row>
    <ns0:row r="977" ht="28" customHeight="1">
      <ns0:c r="A977" s="29"/>
      <ns0:c r="B977" s="30"/>
      <ns0:c r="C977" s="28"/>
      <ns0:c r="D977" s="29"/>
      <ns0:c r="E977" s="31"/>
      <ns0:c r="F977" s="32"/>
      <ns0:c r="G977" s="29"/>
      <ns0:c r="H977" s="29"/>
      <ns0:c r="I977" s="29"/>
      <ns0:c r="J977" s="29"/>
      <ns0:c r="K977" s="29"/>
    </ns0:row>
    <ns0:row r="978" ht="28" customHeight="1">
      <ns0:c r="A978" s="29"/>
      <ns0:c r="B978" s="30"/>
      <ns0:c r="C978" s="28"/>
      <ns0:c r="D978" s="29"/>
      <ns0:c r="E978" s="31"/>
      <ns0:c r="F978" s="32"/>
      <ns0:c r="G978" s="29"/>
      <ns0:c r="H978" s="29"/>
      <ns0:c r="I978" s="29"/>
      <ns0:c r="J978" s="29"/>
      <ns0:c r="K978" s="29"/>
    </ns0:row>
    <ns0:row r="979" ht="28" customHeight="1">
      <ns0:c r="A979" s="29"/>
      <ns0:c r="B979" s="30"/>
      <ns0:c r="C979" s="28"/>
      <ns0:c r="D979" s="29"/>
      <ns0:c r="E979" s="31"/>
      <ns0:c r="F979" s="32"/>
      <ns0:c r="G979" s="29"/>
      <ns0:c r="H979" s="29"/>
      <ns0:c r="I979" s="29"/>
      <ns0:c r="J979" s="29"/>
      <ns0:c r="K979" s="29"/>
    </ns0:row>
    <ns0:row r="980" ht="28" customHeight="1">
      <ns0:c r="A980" s="29"/>
      <ns0:c r="B980" s="30"/>
      <ns0:c r="C980" s="28"/>
      <ns0:c r="D980" s="29"/>
      <ns0:c r="E980" s="31"/>
      <ns0:c r="F980" s="32"/>
      <ns0:c r="G980" s="29"/>
      <ns0:c r="H980" s="29"/>
      <ns0:c r="I980" s="29"/>
      <ns0:c r="J980" s="29"/>
      <ns0:c r="K980" s="29"/>
    </ns0:row>
    <ns0:row r="981" ht="28" customHeight="1">
      <ns0:c r="A981" s="29"/>
      <ns0:c r="B981" s="30"/>
      <ns0:c r="C981" s="28"/>
      <ns0:c r="D981" s="29"/>
      <ns0:c r="E981" s="31"/>
      <ns0:c r="F981" s="32"/>
      <ns0:c r="G981" s="29"/>
      <ns0:c r="H981" s="29"/>
      <ns0:c r="I981" s="29"/>
      <ns0:c r="J981" s="29"/>
      <ns0:c r="K981" s="29"/>
    </ns0:row>
    <ns0:row r="982" ht="28" customHeight="1">
      <ns0:c r="A982" s="29"/>
      <ns0:c r="B982" s="30"/>
      <ns0:c r="C982" s="28"/>
      <ns0:c r="D982" s="29"/>
      <ns0:c r="E982" s="31"/>
      <ns0:c r="F982" s="32"/>
      <ns0:c r="G982" s="29"/>
      <ns0:c r="H982" s="29"/>
      <ns0:c r="I982" s="29"/>
      <ns0:c r="J982" s="29"/>
      <ns0:c r="K982" s="29"/>
    </ns0:row>
    <ns0:row r="983" ht="28" customHeight="1">
      <ns0:c r="A983" s="29"/>
      <ns0:c r="B983" s="30"/>
      <ns0:c r="C983" s="28"/>
      <ns0:c r="D983" s="29"/>
      <ns0:c r="E983" s="31"/>
      <ns0:c r="F983" s="32"/>
      <ns0:c r="G983" s="29"/>
      <ns0:c r="H983" s="29"/>
      <ns0:c r="I983" s="29"/>
      <ns0:c r="J983" s="29"/>
      <ns0:c r="K983" s="29"/>
    </ns0:row>
    <ns0:row r="984" ht="28" customHeight="1">
      <ns0:c r="A984" s="29"/>
      <ns0:c r="B984" s="30"/>
      <ns0:c r="C984" s="28"/>
      <ns0:c r="D984" s="29"/>
      <ns0:c r="E984" s="31"/>
      <ns0:c r="F984" s="32"/>
      <ns0:c r="G984" s="29"/>
      <ns0:c r="H984" s="29"/>
      <ns0:c r="I984" s="29"/>
      <ns0:c r="J984" s="29"/>
      <ns0:c r="K984" s="29"/>
    </ns0:row>
    <ns0:row r="985" ht="28" customHeight="1">
      <ns0:c r="A985" s="29"/>
      <ns0:c r="B985" s="30"/>
      <ns0:c r="C985" s="28"/>
      <ns0:c r="D985" s="29"/>
      <ns0:c r="E985" s="31"/>
      <ns0:c r="F985" s="32"/>
      <ns0:c r="G985" s="29"/>
      <ns0:c r="H985" s="29"/>
      <ns0:c r="I985" s="29"/>
      <ns0:c r="J985" s="29"/>
      <ns0:c r="K985" s="29"/>
    </ns0:row>
    <ns0:row r="986" ht="28" customHeight="1">
      <ns0:c r="A986" s="29"/>
      <ns0:c r="B986" s="30"/>
      <ns0:c r="C986" s="28"/>
      <ns0:c r="D986" s="29"/>
      <ns0:c r="E986" s="31"/>
      <ns0:c r="F986" s="32"/>
      <ns0:c r="G986" s="29"/>
      <ns0:c r="H986" s="29"/>
      <ns0:c r="I986" s="29"/>
      <ns0:c r="J986" s="29"/>
      <ns0:c r="K986" s="29"/>
    </ns0:row>
    <ns0:row r="987" ht="28" customHeight="1">
      <ns0:c r="A987" s="29"/>
      <ns0:c r="B987" s="30"/>
      <ns0:c r="C987" s="28"/>
      <ns0:c r="D987" s="29"/>
      <ns0:c r="E987" s="31"/>
      <ns0:c r="F987" s="32"/>
      <ns0:c r="G987" s="29"/>
      <ns0:c r="H987" s="29"/>
      <ns0:c r="I987" s="29"/>
      <ns0:c r="J987" s="29"/>
      <ns0:c r="K987" s="29"/>
    </ns0:row>
    <ns0:row r="988" ht="28" customHeight="1">
      <ns0:c r="A988" s="29"/>
      <ns0:c r="B988" s="30"/>
      <ns0:c r="C988" s="28"/>
      <ns0:c r="D988" s="29"/>
      <ns0:c r="E988" s="31"/>
      <ns0:c r="F988" s="32"/>
      <ns0:c r="G988" s="29"/>
      <ns0:c r="H988" s="29"/>
      <ns0:c r="I988" s="29"/>
      <ns0:c r="J988" s="29"/>
      <ns0:c r="K988" s="29"/>
    </ns0:row>
    <ns0:row r="989" ht="28" customHeight="1">
      <ns0:c r="A989" s="29"/>
      <ns0:c r="B989" s="30"/>
      <ns0:c r="C989" s="28"/>
      <ns0:c r="D989" s="29"/>
      <ns0:c r="E989" s="31"/>
      <ns0:c r="F989" s="32"/>
      <ns0:c r="G989" s="29"/>
      <ns0:c r="H989" s="29"/>
      <ns0:c r="I989" s="29"/>
      <ns0:c r="J989" s="29"/>
      <ns0:c r="K989" s="29"/>
    </ns0:row>
    <ns0:row r="990" ht="28" customHeight="1">
      <ns0:c r="A990" s="29"/>
      <ns0:c r="B990" s="30"/>
      <ns0:c r="C990" s="28"/>
      <ns0:c r="D990" s="29"/>
      <ns0:c r="E990" s="31"/>
      <ns0:c r="F990" s="32"/>
      <ns0:c r="G990" s="29"/>
      <ns0:c r="H990" s="29"/>
      <ns0:c r="I990" s="29"/>
      <ns0:c r="J990" s="29"/>
      <ns0:c r="K990" s="29"/>
    </ns0:row>
    <ns0:row r="991" ht="28" customHeight="1">
      <ns0:c r="A991" s="29"/>
      <ns0:c r="B991" s="30"/>
      <ns0:c r="C991" s="28"/>
      <ns0:c r="D991" s="29"/>
      <ns0:c r="E991" s="31"/>
      <ns0:c r="F991" s="32"/>
      <ns0:c r="G991" s="29"/>
      <ns0:c r="H991" s="29"/>
      <ns0:c r="I991" s="29"/>
      <ns0:c r="J991" s="29"/>
      <ns0:c r="K991" s="29"/>
    </ns0:row>
    <ns0:row r="992" ht="28" customHeight="1">
      <ns0:c r="A992" s="29"/>
      <ns0:c r="B992" s="30"/>
      <ns0:c r="C992" s="28"/>
      <ns0:c r="D992" s="29"/>
      <ns0:c r="E992" s="31"/>
      <ns0:c r="F992" s="32"/>
      <ns0:c r="G992" s="29"/>
      <ns0:c r="H992" s="29"/>
      <ns0:c r="I992" s="29"/>
      <ns0:c r="J992" s="29"/>
      <ns0:c r="K992" s="29"/>
    </ns0:row>
    <ns0:row r="993" ht="28" customHeight="1">
      <ns0:c r="A993" s="29"/>
      <ns0:c r="B993" s="30"/>
      <ns0:c r="C993" s="28"/>
      <ns0:c r="D993" s="29"/>
      <ns0:c r="E993" s="31"/>
      <ns0:c r="F993" s="32"/>
      <ns0:c r="G993" s="29"/>
      <ns0:c r="H993" s="29"/>
      <ns0:c r="I993" s="29"/>
      <ns0:c r="J993" s="29"/>
      <ns0:c r="K993" s="29"/>
    </ns0:row>
    <ns0:row r="994" ht="28" customHeight="1">
      <ns0:c r="A994" s="29"/>
      <ns0:c r="B994" s="30"/>
      <ns0:c r="C994" s="28"/>
      <ns0:c r="D994" s="29"/>
      <ns0:c r="E994" s="31"/>
      <ns0:c r="F994" s="32"/>
      <ns0:c r="G994" s="29"/>
      <ns0:c r="H994" s="29"/>
      <ns0:c r="I994" s="29"/>
      <ns0:c r="J994" s="29"/>
      <ns0:c r="K994" s="29"/>
    </ns0:row>
    <ns0:row r="995" ht="28" customHeight="1">
      <ns0:c r="A995" s="29"/>
      <ns0:c r="B995" s="30"/>
      <ns0:c r="C995" s="28"/>
      <ns0:c r="D995" s="29"/>
      <ns0:c r="E995" s="31"/>
      <ns0:c r="F995" s="32"/>
      <ns0:c r="G995" s="29"/>
      <ns0:c r="H995" s="29"/>
      <ns0:c r="I995" s="29"/>
      <ns0:c r="J995" s="29"/>
      <ns0:c r="K995" s="29"/>
    </ns0:row>
    <ns0:row r="996" ht="28" customHeight="1">
      <ns0:c r="A996" s="29"/>
      <ns0:c r="B996" s="30"/>
      <ns0:c r="C996" s="28"/>
      <ns0:c r="D996" s="29"/>
      <ns0:c r="E996" s="31"/>
      <ns0:c r="F996" s="32"/>
      <ns0:c r="G996" s="29"/>
      <ns0:c r="H996" s="29"/>
      <ns0:c r="I996" s="29"/>
      <ns0:c r="J996" s="29"/>
      <ns0:c r="K996" s="29"/>
    </ns0:row>
    <ns0:row r="997" ht="28" customHeight="1">
      <ns0:c r="A997" s="29"/>
      <ns0:c r="B997" s="30"/>
      <ns0:c r="C997" s="28"/>
      <ns0:c r="D997" s="29"/>
      <ns0:c r="E997" s="31"/>
      <ns0:c r="F997" s="32"/>
      <ns0:c r="G997" s="29"/>
      <ns0:c r="H997" s="29"/>
      <ns0:c r="I997" s="29"/>
      <ns0:c r="J997" s="29"/>
      <ns0:c r="K997" s="29"/>
    </ns0:row>
    <ns0:row r="998" ht="28" customHeight="1">
      <ns0:c r="A998" s="29"/>
      <ns0:c r="B998" s="30"/>
      <ns0:c r="C998" s="28"/>
      <ns0:c r="D998" s="29"/>
      <ns0:c r="E998" s="31"/>
      <ns0:c r="F998" s="32"/>
      <ns0:c r="G998" s="29"/>
      <ns0:c r="H998" s="29"/>
      <ns0:c r="I998" s="29"/>
      <ns0:c r="J998" s="29"/>
      <ns0:c r="K998" s="29"/>
    </ns0:row>
    <ns0:row r="999" ht="28" customHeight="1">
      <ns0:c r="A999" s="29"/>
      <ns0:c r="B999" s="30"/>
      <ns0:c r="C999" s="28"/>
      <ns0:c r="D999" s="29"/>
      <ns0:c r="E999" s="31"/>
      <ns0:c r="F999" s="32"/>
      <ns0:c r="G999" s="29"/>
      <ns0:c r="H999" s="29"/>
      <ns0:c r="I999" s="29"/>
      <ns0:c r="J999" s="29"/>
      <ns0:c r="K999" s="29"/>
    </ns0:row>
    <ns0:row r="1000" ht="28" customHeight="1">
      <ns0:c r="A1000" s="29"/>
      <ns0:c r="B1000" s="30"/>
      <ns0:c r="C1000" s="28"/>
      <ns0:c r="D1000" s="29"/>
      <ns0:c r="E1000" s="31"/>
      <ns0:c r="F1000" s="32"/>
      <ns0:c r="G1000" s="29"/>
      <ns0:c r="H1000" s="29"/>
      <ns0:c r="I1000" s="29"/>
      <ns0:c r="J1000" s="29"/>
      <ns0:c r="K1000" s="29"/>
    </ns0:row>
    <ns0:row r="1001" ht="28" customHeight="1">
      <ns0:c r="A1001" s="29"/>
      <ns0:c r="B1001" s="30"/>
      <ns0:c r="C1001" s="28"/>
      <ns0:c r="D1001" s="29"/>
      <ns0:c r="E1001" s="31"/>
      <ns0:c r="F1001" s="32"/>
      <ns0:c r="G1001" s="29"/>
      <ns0:c r="H1001" s="29"/>
      <ns0:c r="I1001" s="29"/>
      <ns0:c r="J1001" s="29"/>
      <ns0:c r="K1001" s="29"/>
    </ns0:row>
    <ns0:row r="1002" ht="28" customHeight="1">
      <ns0:c r="A1002" s="29"/>
      <ns0:c r="B1002" s="30"/>
      <ns0:c r="C1002" s="28"/>
      <ns0:c r="D1002" s="29"/>
      <ns0:c r="E1002" s="31"/>
      <ns0:c r="F1002" s="32"/>
      <ns0:c r="G1002" s="29"/>
      <ns0:c r="H1002" s="29"/>
      <ns0:c r="I1002" s="29"/>
      <ns0:c r="J1002" s="29"/>
      <ns0:c r="K1002" s="29"/>
    </ns0:row>
    <ns0:row r="1003" ht="28" customHeight="1">
      <ns0:c r="A1003" s="29"/>
      <ns0:c r="B1003" s="30"/>
      <ns0:c r="C1003" s="28"/>
      <ns0:c r="D1003" s="29"/>
      <ns0:c r="E1003" s="31"/>
      <ns0:c r="F1003" s="32"/>
      <ns0:c r="G1003" s="29"/>
      <ns0:c r="H1003" s="29"/>
      <ns0:c r="I1003" s="29"/>
      <ns0:c r="J1003" s="29"/>
      <ns0:c r="K1003" s="29"/>
    </ns0:row>
    <ns0:row r="1004" ht="28" customHeight="1">
      <ns0:c r="A1004" s="29"/>
      <ns0:c r="B1004" s="30"/>
      <ns0:c r="C1004" s="28"/>
      <ns0:c r="D1004" s="29"/>
      <ns0:c r="E1004" s="31"/>
      <ns0:c r="F1004" s="32"/>
      <ns0:c r="G1004" s="29"/>
      <ns0:c r="H1004" s="29"/>
      <ns0:c r="I1004" s="29"/>
      <ns0:c r="J1004" s="29"/>
      <ns0:c r="K1004" s="29"/>
    </ns0:row>
    <ns0:row r="1005" ht="28" customHeight="1">
      <ns0:c r="A1005" s="29"/>
      <ns0:c r="B1005" s="30"/>
      <ns0:c r="C1005" s="28"/>
      <ns0:c r="D1005" s="29"/>
      <ns0:c r="E1005" s="31"/>
      <ns0:c r="F1005" s="32"/>
      <ns0:c r="G1005" s="29"/>
      <ns0:c r="H1005" s="29"/>
      <ns0:c r="I1005" s="29"/>
      <ns0:c r="J1005" s="29"/>
      <ns0:c r="K1005" s="29"/>
    </ns0:row>
    <ns0:row r="1006" ht="28" customHeight="1">
      <ns0:c r="A1006" s="29"/>
      <ns0:c r="B1006" s="30"/>
      <ns0:c r="C1006" s="28"/>
      <ns0:c r="D1006" s="29"/>
      <ns0:c r="E1006" s="31"/>
      <ns0:c r="F1006" s="32"/>
      <ns0:c r="G1006" s="29"/>
      <ns0:c r="H1006" s="29"/>
      <ns0:c r="I1006" s="29"/>
      <ns0:c r="J1006" s="29"/>
      <ns0:c r="K1006" s="29"/>
    </ns0:row>
    <ns0:row r="1007" ht="28" customHeight="1">
      <ns0:c r="A1007" s="29"/>
      <ns0:c r="B1007" s="30"/>
      <ns0:c r="C1007" s="28"/>
      <ns0:c r="D1007" s="29"/>
      <ns0:c r="E1007" s="31"/>
      <ns0:c r="F1007" s="32"/>
      <ns0:c r="G1007" s="29"/>
      <ns0:c r="H1007" s="29"/>
      <ns0:c r="I1007" s="29"/>
      <ns0:c r="J1007" s="29"/>
      <ns0:c r="K1007" s="29"/>
    </ns0:row>
    <ns0:row r="1008" ht="28" customHeight="1">
      <ns0:c r="A1008" s="29"/>
      <ns0:c r="B1008" s="30"/>
      <ns0:c r="C1008" s="28"/>
      <ns0:c r="D1008" s="29"/>
      <ns0:c r="E1008" s="31"/>
      <ns0:c r="F1008" s="32"/>
      <ns0:c r="G1008" s="29"/>
      <ns0:c r="H1008" s="29"/>
      <ns0:c r="I1008" s="29"/>
      <ns0:c r="J1008" s="29"/>
      <ns0:c r="K1008" s="29"/>
    </ns0:row>
    <ns0:row r="1009" ht="28" customHeight="1">
      <ns0:c r="A1009" s="29"/>
      <ns0:c r="B1009" s="30"/>
      <ns0:c r="C1009" s="28"/>
      <ns0:c r="D1009" s="29"/>
      <ns0:c r="E1009" s="31"/>
      <ns0:c r="F1009" s="32"/>
      <ns0:c r="G1009" s="29"/>
      <ns0:c r="H1009" s="29"/>
      <ns0:c r="I1009" s="29"/>
      <ns0:c r="J1009" s="29"/>
      <ns0:c r="K1009" s="29"/>
    </ns0:row>
    <ns0:row r="1010" ht="28" customHeight="1">
      <ns0:c r="A1010" s="29"/>
      <ns0:c r="B1010" s="30"/>
      <ns0:c r="C1010" s="28"/>
      <ns0:c r="D1010" s="29"/>
      <ns0:c r="E1010" s="31"/>
      <ns0:c r="F1010" s="32"/>
      <ns0:c r="G1010" s="29"/>
      <ns0:c r="H1010" s="29"/>
      <ns0:c r="I1010" s="29"/>
      <ns0:c r="J1010" s="29"/>
      <ns0:c r="K1010" s="29"/>
    </ns0:row>
    <ns0:row r="1011" ht="28" customHeight="1">
      <ns0:c r="A1011" s="29"/>
      <ns0:c r="B1011" s="30"/>
      <ns0:c r="C1011" s="28"/>
      <ns0:c r="D1011" s="29"/>
      <ns0:c r="E1011" s="31"/>
      <ns0:c r="F1011" s="32"/>
      <ns0:c r="G1011" s="29"/>
      <ns0:c r="H1011" s="29"/>
      <ns0:c r="I1011" s="29"/>
      <ns0:c r="J1011" s="29"/>
      <ns0:c r="K1011" s="29"/>
    </ns0:row>
    <ns0:row r="1012" ht="28" customHeight="1">
      <ns0:c r="A1012" s="29"/>
      <ns0:c r="B1012" s="30"/>
      <ns0:c r="C1012" s="28"/>
      <ns0:c r="D1012" s="29"/>
      <ns0:c r="E1012" s="31"/>
      <ns0:c r="F1012" s="32"/>
      <ns0:c r="G1012" s="29"/>
      <ns0:c r="H1012" s="29"/>
      <ns0:c r="I1012" s="29"/>
      <ns0:c r="J1012" s="29"/>
      <ns0:c r="K1012" s="29"/>
    </ns0:row>
    <ns0:row r="1013" ht="28" customHeight="1">
      <ns0:c r="A1013" s="29"/>
      <ns0:c r="B1013" s="30"/>
      <ns0:c r="C1013" s="28"/>
      <ns0:c r="D1013" s="29"/>
      <ns0:c r="E1013" s="31"/>
      <ns0:c r="F1013" s="32"/>
      <ns0:c r="G1013" s="29"/>
      <ns0:c r="H1013" s="29"/>
      <ns0:c r="I1013" s="29"/>
      <ns0:c r="J1013" s="29"/>
      <ns0:c r="K1013" s="29"/>
    </ns0:row>
    <ns0:row r="1014" ht="28" customHeight="1">
      <ns0:c r="A1014" s="29"/>
      <ns0:c r="B1014" s="30"/>
      <ns0:c r="C1014" s="28"/>
      <ns0:c r="D1014" s="29"/>
      <ns0:c r="E1014" s="31"/>
      <ns0:c r="F1014" s="32"/>
      <ns0:c r="G1014" s="29"/>
      <ns0:c r="H1014" s="29"/>
      <ns0:c r="I1014" s="29"/>
      <ns0:c r="J1014" s="29"/>
      <ns0:c r="K1014" s="29"/>
    </ns0:row>
    <ns0:row r="1015" ht="28" customHeight="1">
      <ns0:c r="A1015" s="29"/>
      <ns0:c r="B1015" s="30"/>
      <ns0:c r="C1015" s="28"/>
      <ns0:c r="D1015" s="29"/>
      <ns0:c r="E1015" s="31"/>
      <ns0:c r="F1015" s="32"/>
      <ns0:c r="G1015" s="29"/>
      <ns0:c r="H1015" s="29"/>
      <ns0:c r="I1015" s="29"/>
      <ns0:c r="J1015" s="29"/>
      <ns0:c r="K1015" s="29"/>
    </ns0:row>
    <ns0:row r="1016" ht="28" customHeight="1">
      <ns0:c r="A1016" s="29"/>
      <ns0:c r="B1016" s="30"/>
      <ns0:c r="C1016" s="28"/>
      <ns0:c r="D1016" s="29"/>
      <ns0:c r="E1016" s="31"/>
      <ns0:c r="F1016" s="32"/>
      <ns0:c r="G1016" s="29"/>
      <ns0:c r="H1016" s="29"/>
      <ns0:c r="I1016" s="29"/>
      <ns0:c r="J1016" s="29"/>
      <ns0:c r="K1016" s="29"/>
    </ns0:row>
    <ns0:row r="1017" ht="28" customHeight="1">
      <ns0:c r="A1017" s="29"/>
      <ns0:c r="B1017" s="30"/>
      <ns0:c r="C1017" s="28"/>
      <ns0:c r="D1017" s="29"/>
      <ns0:c r="E1017" s="31"/>
      <ns0:c r="F1017" s="32"/>
      <ns0:c r="G1017" s="29"/>
      <ns0:c r="H1017" s="29"/>
      <ns0:c r="I1017" s="29"/>
      <ns0:c r="J1017" s="29"/>
      <ns0:c r="K1017" s="29"/>
    </ns0:row>
    <ns0:row r="1018" ht="28" customHeight="1">
      <ns0:c r="A1018" s="29"/>
      <ns0:c r="B1018" s="30"/>
      <ns0:c r="C1018" s="28"/>
      <ns0:c r="D1018" s="29"/>
      <ns0:c r="E1018" s="31"/>
      <ns0:c r="F1018" s="32"/>
      <ns0:c r="G1018" s="29"/>
      <ns0:c r="H1018" s="29"/>
      <ns0:c r="I1018" s="29"/>
      <ns0:c r="J1018" s="29"/>
      <ns0:c r="K1018" s="29"/>
    </ns0:row>
    <ns0:row r="1019" ht="28" customHeight="1">
      <ns0:c r="A1019" s="29"/>
      <ns0:c r="B1019" s="30"/>
      <ns0:c r="C1019" s="28"/>
      <ns0:c r="D1019" s="29"/>
      <ns0:c r="E1019" s="31"/>
      <ns0:c r="F1019" s="32"/>
      <ns0:c r="G1019" s="29"/>
      <ns0:c r="H1019" s="29"/>
      <ns0:c r="I1019" s="29"/>
      <ns0:c r="J1019" s="29"/>
      <ns0:c r="K1019" s="29"/>
    </ns0:row>
    <ns0:row r="1020" ht="28" customHeight="1">
      <ns0:c r="A1020" s="29"/>
      <ns0:c r="B1020" s="30"/>
      <ns0:c r="C1020" s="28"/>
      <ns0:c r="D1020" s="29"/>
      <ns0:c r="E1020" s="31"/>
      <ns0:c r="F1020" s="32"/>
      <ns0:c r="G1020" s="29"/>
      <ns0:c r="H1020" s="29"/>
      <ns0:c r="I1020" s="29"/>
      <ns0:c r="J1020" s="29"/>
      <ns0:c r="K1020" s="29"/>
    </ns0:row>
    <ns0:row r="1021" ht="28" customHeight="1">
      <ns0:c r="A1021" s="29"/>
      <ns0:c r="B1021" s="30"/>
      <ns0:c r="C1021" s="28"/>
      <ns0:c r="D1021" s="29"/>
      <ns0:c r="E1021" s="31"/>
      <ns0:c r="F1021" s="32"/>
      <ns0:c r="G1021" s="29"/>
      <ns0:c r="H1021" s="29"/>
      <ns0:c r="I1021" s="29"/>
      <ns0:c r="J1021" s="29"/>
      <ns0:c r="K1021" s="29"/>
    </ns0:row>
    <ns0:row r="1022" ht="28" customHeight="1">
      <ns0:c r="A1022" s="29"/>
      <ns0:c r="B1022" s="30"/>
      <ns0:c r="C1022" s="28"/>
      <ns0:c r="D1022" s="29"/>
      <ns0:c r="E1022" s="31"/>
      <ns0:c r="F1022" s="32"/>
      <ns0:c r="G1022" s="29"/>
      <ns0:c r="H1022" s="29"/>
      <ns0:c r="I1022" s="29"/>
      <ns0:c r="J1022" s="29"/>
      <ns0:c r="K1022" s="29"/>
    </ns0:row>
    <ns0:row r="1023" ht="28" customHeight="1">
      <ns0:c r="A1023" s="29"/>
      <ns0:c r="B1023" s="30"/>
      <ns0:c r="C1023" s="28"/>
      <ns0:c r="D1023" s="29"/>
      <ns0:c r="E1023" s="31"/>
      <ns0:c r="F1023" s="32"/>
      <ns0:c r="G1023" s="29"/>
      <ns0:c r="H1023" s="29"/>
      <ns0:c r="I1023" s="29"/>
      <ns0:c r="J1023" s="29"/>
      <ns0:c r="K1023" s="29"/>
    </ns0:row>
    <ns0:row r="1024" ht="28" customHeight="1">
      <ns0:c r="A1024" s="29"/>
      <ns0:c r="B1024" s="30"/>
      <ns0:c r="C1024" s="28"/>
      <ns0:c r="D1024" s="29"/>
      <ns0:c r="E1024" s="31"/>
      <ns0:c r="F1024" s="32"/>
      <ns0:c r="G1024" s="29"/>
      <ns0:c r="H1024" s="29"/>
      <ns0:c r="I1024" s="29"/>
      <ns0:c r="J1024" s="29"/>
      <ns0:c r="K1024" s="29"/>
    </ns0:row>
    <ns0:row r="1025" ht="28" customHeight="1">
      <ns0:c r="A1025" s="29"/>
      <ns0:c r="B1025" s="30"/>
      <ns0:c r="C1025" s="28"/>
      <ns0:c r="D1025" s="29"/>
      <ns0:c r="E1025" s="31"/>
      <ns0:c r="F1025" s="32"/>
      <ns0:c r="G1025" s="29"/>
      <ns0:c r="H1025" s="29"/>
      <ns0:c r="I1025" s="29"/>
      <ns0:c r="J1025" s="29"/>
      <ns0:c r="K1025" s="29"/>
    </ns0:row>
    <ns0:row r="1026" ht="28" customHeight="1">
      <ns0:c r="A1026" s="29"/>
      <ns0:c r="B1026" s="30"/>
      <ns0:c r="C1026" s="28"/>
      <ns0:c r="D1026" s="29"/>
      <ns0:c r="E1026" s="31"/>
      <ns0:c r="F1026" s="32"/>
      <ns0:c r="G1026" s="29"/>
      <ns0:c r="H1026" s="29"/>
      <ns0:c r="I1026" s="29"/>
      <ns0:c r="J1026" s="29"/>
      <ns0:c r="K1026" s="29"/>
    </ns0:row>
    <ns0:row r="1027" ht="28" customHeight="1">
      <ns0:c r="A1027" s="29"/>
      <ns0:c r="B1027" s="30"/>
      <ns0:c r="C1027" s="28"/>
      <ns0:c r="D1027" s="29"/>
      <ns0:c r="E1027" s="31"/>
      <ns0:c r="F1027" s="32"/>
      <ns0:c r="G1027" s="29"/>
      <ns0:c r="H1027" s="29"/>
      <ns0:c r="I1027" s="29"/>
      <ns0:c r="J1027" s="29"/>
      <ns0:c r="K1027" s="29"/>
    </ns0:row>
    <ns0:row r="1028" ht="28" customHeight="1">
      <ns0:c r="A1028" s="29"/>
      <ns0:c r="B1028" s="30"/>
      <ns0:c r="C1028" s="28"/>
      <ns0:c r="D1028" s="29"/>
      <ns0:c r="E1028" s="31"/>
      <ns0:c r="F1028" s="32"/>
      <ns0:c r="G1028" s="29"/>
      <ns0:c r="H1028" s="29"/>
      <ns0:c r="I1028" s="29"/>
      <ns0:c r="J1028" s="29"/>
      <ns0:c r="K1028" s="29"/>
    </ns0:row>
    <ns0:row r="1029" ht="28" customHeight="1">
      <ns0:c r="A1029" s="29"/>
      <ns0:c r="B1029" s="30"/>
      <ns0:c r="C1029" s="28"/>
      <ns0:c r="D1029" s="29"/>
      <ns0:c r="E1029" s="31"/>
      <ns0:c r="F1029" s="32"/>
      <ns0:c r="G1029" s="29"/>
      <ns0:c r="H1029" s="29"/>
      <ns0:c r="I1029" s="29"/>
      <ns0:c r="J1029" s="29"/>
      <ns0:c r="K1029" s="29"/>
    </ns0:row>
    <ns0:row r="1030" ht="28" customHeight="1">
      <ns0:c r="A1030" s="29"/>
      <ns0:c r="B1030" s="30"/>
      <ns0:c r="C1030" s="28"/>
      <ns0:c r="D1030" s="29"/>
      <ns0:c r="E1030" s="31"/>
      <ns0:c r="F1030" s="32"/>
      <ns0:c r="G1030" s="29"/>
      <ns0:c r="H1030" s="29"/>
      <ns0:c r="I1030" s="29"/>
      <ns0:c r="J1030" s="29"/>
      <ns0:c r="K1030" s="29"/>
    </ns0:row>
    <ns0:row r="1031" ht="28" customHeight="1">
      <ns0:c r="A1031" s="29"/>
      <ns0:c r="B1031" s="30"/>
      <ns0:c r="C1031" s="28"/>
      <ns0:c r="D1031" s="29"/>
      <ns0:c r="E1031" s="31"/>
      <ns0:c r="F1031" s="32"/>
      <ns0:c r="G1031" s="29"/>
      <ns0:c r="H1031" s="29"/>
      <ns0:c r="I1031" s="29"/>
      <ns0:c r="J1031" s="29"/>
      <ns0:c r="K1031" s="29"/>
    </ns0:row>
    <ns0:row r="1032" ht="28" customHeight="1">
      <ns0:c r="A1032" s="29"/>
      <ns0:c r="B1032" s="30"/>
      <ns0:c r="C1032" s="28"/>
      <ns0:c r="D1032" s="29"/>
      <ns0:c r="E1032" s="31"/>
      <ns0:c r="F1032" s="32"/>
      <ns0:c r="G1032" s="29"/>
      <ns0:c r="H1032" s="29"/>
      <ns0:c r="I1032" s="29"/>
      <ns0:c r="J1032" s="29"/>
      <ns0:c r="K1032" s="29"/>
    </ns0:row>
    <ns0:row r="1033" ht="28" customHeight="1">
      <ns0:c r="A1033" s="29"/>
      <ns0:c r="B1033" s="30"/>
      <ns0:c r="C1033" s="28"/>
      <ns0:c r="D1033" s="29"/>
      <ns0:c r="E1033" s="31"/>
      <ns0:c r="F1033" s="32"/>
      <ns0:c r="G1033" s="29"/>
      <ns0:c r="H1033" s="29"/>
      <ns0:c r="I1033" s="29"/>
      <ns0:c r="J1033" s="29"/>
      <ns0:c r="K1033" s="29"/>
    </ns0:row>
    <ns0:row r="1034" ht="28" customHeight="1">
      <ns0:c r="A1034" s="29"/>
      <ns0:c r="B1034" s="30"/>
      <ns0:c r="C1034" s="28"/>
      <ns0:c r="D1034" s="29"/>
      <ns0:c r="E1034" s="31"/>
      <ns0:c r="F1034" s="32"/>
      <ns0:c r="G1034" s="29"/>
      <ns0:c r="H1034" s="29"/>
      <ns0:c r="I1034" s="29"/>
      <ns0:c r="J1034" s="29"/>
      <ns0:c r="K1034" s="29"/>
    </ns0:row>
    <ns0:row r="1035" ht="28" customHeight="1">
      <ns0:c r="A1035" s="29"/>
      <ns0:c r="B1035" s="30"/>
      <ns0:c r="C1035" s="28"/>
      <ns0:c r="D1035" s="29"/>
      <ns0:c r="E1035" s="31"/>
      <ns0:c r="F1035" s="32"/>
      <ns0:c r="G1035" s="29"/>
      <ns0:c r="H1035" s="29"/>
      <ns0:c r="I1035" s="29"/>
      <ns0:c r="J1035" s="29"/>
      <ns0:c r="K1035" s="29"/>
    </ns0:row>
    <ns0:row r="1036" ht="28" customHeight="1">
      <ns0:c r="A1036" s="29"/>
      <ns0:c r="B1036" s="30"/>
      <ns0:c r="C1036" s="28"/>
      <ns0:c r="D1036" s="29"/>
      <ns0:c r="E1036" s="31"/>
      <ns0:c r="F1036" s="32"/>
      <ns0:c r="G1036" s="29"/>
      <ns0:c r="H1036" s="29"/>
      <ns0:c r="I1036" s="29"/>
      <ns0:c r="J1036" s="29"/>
      <ns0:c r="K1036" s="29"/>
    </ns0:row>
    <ns0:row r="1037" ht="28" customHeight="1">
      <ns0:c r="A1037" s="29"/>
      <ns0:c r="B1037" s="30"/>
      <ns0:c r="C1037" s="28"/>
      <ns0:c r="D1037" s="29"/>
      <ns0:c r="E1037" s="31"/>
      <ns0:c r="F1037" s="32"/>
      <ns0:c r="G1037" s="29"/>
      <ns0:c r="H1037" s="29"/>
      <ns0:c r="I1037" s="29"/>
      <ns0:c r="J1037" s="29"/>
      <ns0:c r="K1037" s="29"/>
    </ns0:row>
    <ns0:row r="1038" ht="28" customHeight="1">
      <ns0:c r="A1038" s="29"/>
      <ns0:c r="B1038" s="30"/>
      <ns0:c r="C1038" s="28"/>
      <ns0:c r="D1038" s="29"/>
      <ns0:c r="E1038" s="31"/>
      <ns0:c r="F1038" s="32"/>
      <ns0:c r="G1038" s="29"/>
      <ns0:c r="H1038" s="29"/>
      <ns0:c r="I1038" s="29"/>
      <ns0:c r="J1038" s="29"/>
      <ns0:c r="K1038" s="29"/>
    </ns0:row>
    <ns0:row r="1039" ht="28" customHeight="1">
      <ns0:c r="A1039" s="29"/>
      <ns0:c r="B1039" s="30"/>
      <ns0:c r="C1039" s="28"/>
      <ns0:c r="D1039" s="29"/>
      <ns0:c r="E1039" s="31"/>
      <ns0:c r="F1039" s="32"/>
      <ns0:c r="G1039" s="29"/>
      <ns0:c r="H1039" s="29"/>
      <ns0:c r="I1039" s="29"/>
      <ns0:c r="J1039" s="29"/>
      <ns0:c r="K1039" s="29"/>
    </ns0:row>
    <ns0:row r="1040" ht="28" customHeight="1">
      <ns0:c r="A1040" s="29"/>
      <ns0:c r="B1040" s="30"/>
      <ns0:c r="C1040" s="28"/>
      <ns0:c r="D1040" s="29"/>
      <ns0:c r="E1040" s="31"/>
      <ns0:c r="F1040" s="32"/>
      <ns0:c r="G1040" s="29"/>
      <ns0:c r="H1040" s="29"/>
      <ns0:c r="I1040" s="29"/>
      <ns0:c r="J1040" s="29"/>
      <ns0:c r="K1040" s="29"/>
    </ns0:row>
    <ns0:row r="1041" ht="28" customHeight="1">
      <ns0:c r="A1041" s="29"/>
      <ns0:c r="B1041" s="30"/>
      <ns0:c r="C1041" s="28"/>
      <ns0:c r="D1041" s="29"/>
      <ns0:c r="E1041" s="31"/>
      <ns0:c r="F1041" s="32"/>
      <ns0:c r="G1041" s="29"/>
      <ns0:c r="H1041" s="29"/>
      <ns0:c r="I1041" s="29"/>
      <ns0:c r="J1041" s="29"/>
      <ns0:c r="K1041" s="29"/>
    </ns0:row>
    <ns0:row r="1042" ht="28" customHeight="1">
      <ns0:c r="A1042" s="29"/>
      <ns0:c r="B1042" s="30"/>
      <ns0:c r="C1042" s="28"/>
      <ns0:c r="D1042" s="29"/>
      <ns0:c r="E1042" s="31"/>
      <ns0:c r="F1042" s="32"/>
      <ns0:c r="G1042" s="29"/>
      <ns0:c r="H1042" s="29"/>
      <ns0:c r="I1042" s="29"/>
      <ns0:c r="J1042" s="29"/>
      <ns0:c r="K1042" s="29"/>
    </ns0:row>
    <ns0:row r="1043" ht="28" customHeight="1">
      <ns0:c r="A1043" s="29"/>
      <ns0:c r="B1043" s="30"/>
      <ns0:c r="C1043" s="28"/>
      <ns0:c r="D1043" s="29"/>
      <ns0:c r="E1043" s="31"/>
      <ns0:c r="F1043" s="32"/>
      <ns0:c r="G1043" s="29"/>
      <ns0:c r="H1043" s="29"/>
      <ns0:c r="I1043" s="29"/>
      <ns0:c r="J1043" s="29"/>
      <ns0:c r="K1043" s="29"/>
    </ns0:row>
    <ns0:row r="1044" ht="28" customHeight="1">
      <ns0:c r="A1044" s="29"/>
      <ns0:c r="B1044" s="30"/>
      <ns0:c r="C1044" s="28"/>
      <ns0:c r="D1044" s="29"/>
      <ns0:c r="E1044" s="31"/>
      <ns0:c r="F1044" s="32"/>
      <ns0:c r="G1044" s="29"/>
      <ns0:c r="H1044" s="29"/>
      <ns0:c r="I1044" s="29"/>
      <ns0:c r="J1044" s="29"/>
      <ns0:c r="K1044" s="29"/>
    </ns0:row>
    <ns0:row r="1045" ht="28" customHeight="1">
      <ns0:c r="A1045" s="29"/>
      <ns0:c r="B1045" s="30"/>
      <ns0:c r="C1045" s="28"/>
      <ns0:c r="D1045" s="29"/>
      <ns0:c r="E1045" s="31"/>
      <ns0:c r="F1045" s="32"/>
      <ns0:c r="G1045" s="29"/>
      <ns0:c r="H1045" s="29"/>
      <ns0:c r="I1045" s="29"/>
      <ns0:c r="J1045" s="29"/>
      <ns0:c r="K1045" s="29"/>
    </ns0:row>
    <ns0:row r="1046" ht="28" customHeight="1">
      <ns0:c r="A1046" s="29"/>
      <ns0:c r="B1046" s="30"/>
      <ns0:c r="C1046" s="28"/>
      <ns0:c r="D1046" s="29"/>
      <ns0:c r="E1046" s="31"/>
      <ns0:c r="F1046" s="32"/>
      <ns0:c r="G1046" s="29"/>
      <ns0:c r="H1046" s="29"/>
      <ns0:c r="I1046" s="29"/>
      <ns0:c r="J1046" s="29"/>
      <ns0:c r="K1046" s="29"/>
    </ns0:row>
    <ns0:row r="1047" ht="28" customHeight="1">
      <ns0:c r="A1047" s="29"/>
      <ns0:c r="B1047" s="30"/>
      <ns0:c r="C1047" s="28"/>
      <ns0:c r="D1047" s="29"/>
      <ns0:c r="E1047" s="31"/>
      <ns0:c r="F1047" s="32"/>
      <ns0:c r="G1047" s="29"/>
      <ns0:c r="H1047" s="29"/>
      <ns0:c r="I1047" s="29"/>
      <ns0:c r="J1047" s="29"/>
      <ns0:c r="K1047" s="29"/>
    </ns0:row>
    <ns0:row r="1048" ht="28" customHeight="1">
      <ns0:c r="A1048" s="29"/>
      <ns0:c r="B1048" s="30"/>
      <ns0:c r="C1048" s="28"/>
      <ns0:c r="D1048" s="29"/>
      <ns0:c r="E1048" s="31"/>
      <ns0:c r="F1048" s="32"/>
      <ns0:c r="G1048" s="29"/>
      <ns0:c r="H1048" s="29"/>
      <ns0:c r="I1048" s="29"/>
      <ns0:c r="J1048" s="29"/>
      <ns0:c r="K1048" s="29"/>
    </ns0:row>
    <ns0:row r="1049" ht="28" customHeight="1">
      <ns0:c r="A1049" s="29"/>
      <ns0:c r="B1049" s="30"/>
      <ns0:c r="C1049" s="28"/>
      <ns0:c r="D1049" s="29"/>
      <ns0:c r="E1049" s="31"/>
      <ns0:c r="F1049" s="32"/>
      <ns0:c r="G1049" s="29"/>
      <ns0:c r="H1049" s="29"/>
      <ns0:c r="I1049" s="29"/>
      <ns0:c r="J1049" s="29"/>
      <ns0:c r="K1049" s="29"/>
    </ns0:row>
    <ns0:row r="1050" ht="28" customHeight="1">
      <ns0:c r="A1050" s="29"/>
      <ns0:c r="B1050" s="30"/>
      <ns0:c r="C1050" s="28"/>
      <ns0:c r="D1050" s="29"/>
      <ns0:c r="E1050" s="31"/>
      <ns0:c r="F1050" s="32"/>
      <ns0:c r="G1050" s="29"/>
      <ns0:c r="H1050" s="29"/>
      <ns0:c r="I1050" s="29"/>
      <ns0:c r="J1050" s="29"/>
      <ns0:c r="K1050" s="29"/>
    </ns0:row>
    <ns0:row r="1051" ht="28" customHeight="1">
      <ns0:c r="A1051" s="29"/>
      <ns0:c r="B1051" s="30"/>
      <ns0:c r="C1051" s="28"/>
      <ns0:c r="D1051" s="29"/>
      <ns0:c r="E1051" s="31"/>
      <ns0:c r="F1051" s="32"/>
      <ns0:c r="G1051" s="29"/>
      <ns0:c r="H1051" s="29"/>
      <ns0:c r="I1051" s="29"/>
      <ns0:c r="J1051" s="29"/>
      <ns0:c r="K1051" s="29"/>
    </ns0:row>
    <ns0:row r="1052" ht="28" customHeight="1">
      <ns0:c r="A1052" s="29"/>
      <ns0:c r="B1052" s="30"/>
      <ns0:c r="C1052" s="28"/>
      <ns0:c r="D1052" s="29"/>
      <ns0:c r="E1052" s="31"/>
      <ns0:c r="F1052" s="32"/>
      <ns0:c r="G1052" s="29"/>
      <ns0:c r="H1052" s="29"/>
      <ns0:c r="I1052" s="29"/>
      <ns0:c r="J1052" s="29"/>
      <ns0:c r="K1052" s="29"/>
    </ns0:row>
    <ns0:row r="1053" ht="28" customHeight="1">
      <ns0:c r="A1053" s="29"/>
      <ns0:c r="B1053" s="30"/>
      <ns0:c r="C1053" s="28"/>
      <ns0:c r="D1053" s="29"/>
      <ns0:c r="E1053" s="31"/>
      <ns0:c r="F1053" s="32"/>
      <ns0:c r="G1053" s="29"/>
      <ns0:c r="H1053" s="29"/>
      <ns0:c r="I1053" s="29"/>
      <ns0:c r="J1053" s="29"/>
      <ns0:c r="K1053" s="29"/>
    </ns0:row>
    <ns0:row r="1054" ht="28" customHeight="1">
      <ns0:c r="A1054" s="29"/>
      <ns0:c r="B1054" s="30"/>
      <ns0:c r="C1054" s="28"/>
      <ns0:c r="D1054" s="29"/>
      <ns0:c r="E1054" s="31"/>
      <ns0:c r="F1054" s="32"/>
      <ns0:c r="G1054" s="29"/>
      <ns0:c r="H1054" s="29"/>
      <ns0:c r="I1054" s="29"/>
      <ns0:c r="J1054" s="29"/>
      <ns0:c r="K1054" s="29"/>
    </ns0:row>
    <ns0:row r="1055" ht="28" customHeight="1">
      <ns0:c r="A1055" s="29"/>
      <ns0:c r="B1055" s="30"/>
      <ns0:c r="C1055" s="28"/>
      <ns0:c r="D1055" s="29"/>
      <ns0:c r="E1055" s="31"/>
      <ns0:c r="F1055" s="32"/>
      <ns0:c r="G1055" s="29"/>
      <ns0:c r="H1055" s="29"/>
      <ns0:c r="I1055" s="29"/>
      <ns0:c r="J1055" s="29"/>
      <ns0:c r="K1055" s="29"/>
    </ns0:row>
    <ns0:row r="1056" ht="28" customHeight="1">
      <ns0:c r="A1056" s="29"/>
      <ns0:c r="B1056" s="30"/>
      <ns0:c r="C1056" s="28"/>
      <ns0:c r="D1056" s="29"/>
      <ns0:c r="E1056" s="31"/>
      <ns0:c r="F1056" s="32"/>
      <ns0:c r="G1056" s="29"/>
      <ns0:c r="H1056" s="29"/>
      <ns0:c r="I1056" s="29"/>
      <ns0:c r="J1056" s="29"/>
      <ns0:c r="K1056" s="29"/>
    </ns0:row>
    <ns0:row r="1057" ht="28" customHeight="1">
      <ns0:c r="A1057" s="29"/>
      <ns0:c r="B1057" s="30"/>
      <ns0:c r="C1057" s="28"/>
      <ns0:c r="D1057" s="29"/>
      <ns0:c r="E1057" s="31"/>
      <ns0:c r="F1057" s="32"/>
      <ns0:c r="G1057" s="29"/>
      <ns0:c r="H1057" s="29"/>
      <ns0:c r="I1057" s="29"/>
      <ns0:c r="J1057" s="29"/>
      <ns0:c r="K1057" s="29"/>
    </ns0:row>
    <ns0:row r="1058" ht="28" customHeight="1">
      <ns0:c r="A1058" s="29"/>
      <ns0:c r="B1058" s="30"/>
      <ns0:c r="C1058" s="28"/>
      <ns0:c r="D1058" s="29"/>
      <ns0:c r="E1058" s="31"/>
      <ns0:c r="F1058" s="32"/>
      <ns0:c r="G1058" s="29"/>
      <ns0:c r="H1058" s="29"/>
      <ns0:c r="I1058" s="29"/>
      <ns0:c r="J1058" s="29"/>
      <ns0:c r="K1058" s="29"/>
    </ns0:row>
    <ns0:row r="1059" ht="28" customHeight="1">
      <ns0:c r="A1059" s="29"/>
      <ns0:c r="B1059" s="30"/>
      <ns0:c r="C1059" s="28"/>
      <ns0:c r="D1059" s="29"/>
      <ns0:c r="E1059" s="31"/>
      <ns0:c r="F1059" s="32"/>
      <ns0:c r="G1059" s="29"/>
      <ns0:c r="H1059" s="29"/>
      <ns0:c r="I1059" s="29"/>
      <ns0:c r="J1059" s="29"/>
      <ns0:c r="K1059" s="29"/>
    </ns0:row>
    <ns0:row r="1060" ht="28" customHeight="1">
      <ns0:c r="A1060" s="29"/>
      <ns0:c r="B1060" s="30"/>
      <ns0:c r="C1060" s="28"/>
      <ns0:c r="D1060" s="29"/>
      <ns0:c r="E1060" s="31"/>
      <ns0:c r="F1060" s="32"/>
      <ns0:c r="G1060" s="29"/>
      <ns0:c r="H1060" s="29"/>
      <ns0:c r="I1060" s="29"/>
      <ns0:c r="J1060" s="29"/>
      <ns0:c r="K1060" s="29"/>
    </ns0:row>
    <ns0:row r="1061" ht="28" customHeight="1">
      <ns0:c r="A1061" s="29"/>
      <ns0:c r="B1061" s="30"/>
      <ns0:c r="C1061" s="28"/>
      <ns0:c r="D1061" s="29"/>
      <ns0:c r="E1061" s="31"/>
      <ns0:c r="F1061" s="32"/>
      <ns0:c r="G1061" s="29"/>
      <ns0:c r="H1061" s="29"/>
      <ns0:c r="I1061" s="29"/>
      <ns0:c r="J1061" s="29"/>
      <ns0:c r="K1061" s="29"/>
    </ns0:row>
    <ns0:row r="1062" ht="28" customHeight="1">
      <ns0:c r="A1062" s="29"/>
      <ns0:c r="B1062" s="30"/>
      <ns0:c r="C1062" s="28"/>
      <ns0:c r="D1062" s="29"/>
      <ns0:c r="E1062" s="31"/>
      <ns0:c r="F1062" s="32"/>
      <ns0:c r="G1062" s="29"/>
      <ns0:c r="H1062" s="29"/>
      <ns0:c r="I1062" s="29"/>
      <ns0:c r="J1062" s="29"/>
      <ns0:c r="K1062" s="29"/>
    </ns0:row>
    <ns0:row r="1063" ht="28" customHeight="1">
      <ns0:c r="A1063" s="29"/>
      <ns0:c r="B1063" s="30"/>
      <ns0:c r="C1063" s="28"/>
      <ns0:c r="D1063" s="29"/>
      <ns0:c r="E1063" s="31"/>
      <ns0:c r="F1063" s="32"/>
      <ns0:c r="G1063" s="29"/>
      <ns0:c r="H1063" s="29"/>
      <ns0:c r="I1063" s="29"/>
      <ns0:c r="J1063" s="29"/>
      <ns0:c r="K1063" s="29"/>
    </ns0:row>
    <ns0:row r="1064" ht="28" customHeight="1">
      <ns0:c r="A1064" s="29"/>
      <ns0:c r="B1064" s="30"/>
      <ns0:c r="C1064" s="28"/>
      <ns0:c r="D1064" s="29"/>
      <ns0:c r="E1064" s="31"/>
      <ns0:c r="F1064" s="32"/>
      <ns0:c r="G1064" s="29"/>
      <ns0:c r="H1064" s="29"/>
      <ns0:c r="I1064" s="29"/>
      <ns0:c r="J1064" s="29"/>
      <ns0:c r="K1064" s="29"/>
    </ns0:row>
    <ns0:row r="1065" ht="28" customHeight="1">
      <ns0:c r="A1065" s="29"/>
      <ns0:c r="B1065" s="30"/>
      <ns0:c r="C1065" s="28"/>
      <ns0:c r="D1065" s="29"/>
      <ns0:c r="E1065" s="31"/>
      <ns0:c r="F1065" s="32"/>
      <ns0:c r="G1065" s="29"/>
      <ns0:c r="H1065" s="29"/>
      <ns0:c r="I1065" s="29"/>
      <ns0:c r="J1065" s="29"/>
      <ns0:c r="K1065" s="29"/>
    </ns0:row>
    <ns0:row r="1066" ht="28" customHeight="1">
      <ns0:c r="A1066" s="29"/>
      <ns0:c r="B1066" s="30"/>
      <ns0:c r="C1066" s="28"/>
      <ns0:c r="D1066" s="29"/>
      <ns0:c r="E1066" s="31"/>
      <ns0:c r="F1066" s="32"/>
      <ns0:c r="G1066" s="29"/>
      <ns0:c r="H1066" s="29"/>
      <ns0:c r="I1066" s="29"/>
      <ns0:c r="J1066" s="29"/>
      <ns0:c r="K1066" s="29"/>
    </ns0:row>
    <ns0:row r="1067" ht="28" customHeight="1">
      <ns0:c r="A1067" s="29"/>
      <ns0:c r="B1067" s="30"/>
      <ns0:c r="C1067" s="28"/>
      <ns0:c r="D1067" s="29"/>
      <ns0:c r="E1067" s="31"/>
      <ns0:c r="F1067" s="32"/>
      <ns0:c r="G1067" s="29"/>
      <ns0:c r="H1067" s="29"/>
      <ns0:c r="I1067" s="29"/>
      <ns0:c r="J1067" s="29"/>
      <ns0:c r="K1067" s="29"/>
    </ns0:row>
    <ns0:row r="1068" ht="28" customHeight="1">
      <ns0:c r="A1068" s="29"/>
      <ns0:c r="B1068" s="30"/>
      <ns0:c r="C1068" s="28"/>
      <ns0:c r="D1068" s="29"/>
      <ns0:c r="E1068" s="31"/>
      <ns0:c r="F1068" s="32"/>
      <ns0:c r="G1068" s="29"/>
      <ns0:c r="H1068" s="29"/>
      <ns0:c r="I1068" s="29"/>
      <ns0:c r="J1068" s="29"/>
      <ns0:c r="K1068" s="29"/>
    </ns0:row>
    <ns0:row r="1069" ht="28" customHeight="1">
      <ns0:c r="A1069" s="29"/>
      <ns0:c r="B1069" s="30"/>
      <ns0:c r="C1069" s="28"/>
      <ns0:c r="D1069" s="29"/>
      <ns0:c r="E1069" s="31"/>
      <ns0:c r="F1069" s="32"/>
      <ns0:c r="G1069" s="29"/>
      <ns0:c r="H1069" s="29"/>
      <ns0:c r="I1069" s="29"/>
      <ns0:c r="J1069" s="29"/>
      <ns0:c r="K1069" s="29"/>
    </ns0:row>
    <ns0:row r="1070" ht="28" customHeight="1">
      <ns0:c r="A1070" s="29"/>
      <ns0:c r="B1070" s="30"/>
      <ns0:c r="C1070" s="28"/>
      <ns0:c r="D1070" s="29"/>
      <ns0:c r="E1070" s="31"/>
      <ns0:c r="F1070" s="32"/>
      <ns0:c r="G1070" s="29"/>
      <ns0:c r="H1070" s="29"/>
      <ns0:c r="I1070" s="29"/>
      <ns0:c r="J1070" s="29"/>
      <ns0:c r="K1070" s="29"/>
    </ns0:row>
    <ns0:row r="1071" ht="28" customHeight="1">
      <ns0:c r="A1071" s="29"/>
      <ns0:c r="B1071" s="30"/>
      <ns0:c r="C1071" s="28"/>
      <ns0:c r="D1071" s="29"/>
      <ns0:c r="E1071" s="31"/>
      <ns0:c r="F1071" s="32"/>
      <ns0:c r="G1071" s="29"/>
      <ns0:c r="H1071" s="29"/>
      <ns0:c r="I1071" s="29"/>
      <ns0:c r="J1071" s="29"/>
      <ns0:c r="K1071" s="29"/>
    </ns0:row>
    <ns0:row r="1072" ht="28" customHeight="1">
      <ns0:c r="A1072" s="29"/>
      <ns0:c r="B1072" s="30"/>
      <ns0:c r="C1072" s="28"/>
      <ns0:c r="D1072" s="29"/>
      <ns0:c r="E1072" s="31"/>
      <ns0:c r="F1072" s="32"/>
      <ns0:c r="G1072" s="29"/>
      <ns0:c r="H1072" s="29"/>
      <ns0:c r="I1072" s="29"/>
      <ns0:c r="J1072" s="29"/>
      <ns0:c r="K1072" s="29"/>
    </ns0:row>
    <ns0:row r="1073" ht="28" customHeight="1">
      <ns0:c r="A1073" s="29"/>
      <ns0:c r="B1073" s="30"/>
      <ns0:c r="C1073" s="28"/>
      <ns0:c r="D1073" s="29"/>
      <ns0:c r="E1073" s="31"/>
      <ns0:c r="F1073" s="32"/>
      <ns0:c r="G1073" s="29"/>
      <ns0:c r="H1073" s="29"/>
      <ns0:c r="I1073" s="29"/>
      <ns0:c r="J1073" s="29"/>
      <ns0:c r="K1073" s="29"/>
    </ns0:row>
    <ns0:row r="1074" ht="28" customHeight="1">
      <ns0:c r="A1074" s="29"/>
      <ns0:c r="B1074" s="30"/>
      <ns0:c r="C1074" s="28"/>
      <ns0:c r="D1074" s="29"/>
      <ns0:c r="E1074" s="31"/>
      <ns0:c r="F1074" s="32"/>
      <ns0:c r="G1074" s="29"/>
      <ns0:c r="H1074" s="29"/>
      <ns0:c r="I1074" s="29"/>
      <ns0:c r="J1074" s="29"/>
      <ns0:c r="K1074" s="29"/>
    </ns0:row>
    <ns0:row r="1075" ht="28" customHeight="1">
      <ns0:c r="A1075" s="29"/>
      <ns0:c r="B1075" s="30"/>
      <ns0:c r="C1075" s="28"/>
      <ns0:c r="D1075" s="29"/>
      <ns0:c r="E1075" s="31"/>
      <ns0:c r="F1075" s="32"/>
      <ns0:c r="G1075" s="29"/>
      <ns0:c r="H1075" s="29"/>
      <ns0:c r="I1075" s="29"/>
      <ns0:c r="J1075" s="29"/>
      <ns0:c r="K1075" s="29"/>
    </ns0:row>
    <ns0:row r="1076" ht="28" customHeight="1">
      <ns0:c r="A1076" s="29"/>
      <ns0:c r="B1076" s="30"/>
      <ns0:c r="C1076" s="28"/>
      <ns0:c r="D1076" s="29"/>
      <ns0:c r="E1076" s="31"/>
      <ns0:c r="F1076" s="32"/>
      <ns0:c r="G1076" s="29"/>
      <ns0:c r="H1076" s="29"/>
      <ns0:c r="I1076" s="29"/>
      <ns0:c r="J1076" s="29"/>
      <ns0:c r="K1076" s="29"/>
    </ns0:row>
    <ns0:row r="1077" ht="28" customHeight="1">
      <ns0:c r="A1077" s="29"/>
      <ns0:c r="B1077" s="30"/>
      <ns0:c r="C1077" s="28"/>
      <ns0:c r="D1077" s="29"/>
      <ns0:c r="E1077" s="31"/>
      <ns0:c r="F1077" s="32"/>
      <ns0:c r="G1077" s="29"/>
      <ns0:c r="H1077" s="29"/>
      <ns0:c r="I1077" s="29"/>
      <ns0:c r="J1077" s="29"/>
      <ns0:c r="K1077" s="29"/>
    </ns0:row>
    <ns0:row r="1078" ht="28" customHeight="1">
      <ns0:c r="A1078" s="29"/>
      <ns0:c r="B1078" s="30"/>
      <ns0:c r="C1078" s="28"/>
      <ns0:c r="D1078" s="29"/>
      <ns0:c r="E1078" s="31"/>
      <ns0:c r="F1078" s="32"/>
      <ns0:c r="G1078" s="29"/>
      <ns0:c r="H1078" s="29"/>
      <ns0:c r="I1078" s="29"/>
      <ns0:c r="J1078" s="29"/>
      <ns0:c r="K1078" s="29"/>
    </ns0:row>
    <ns0:row r="1079" ht="28" customHeight="1">
      <ns0:c r="A1079" s="29"/>
      <ns0:c r="B1079" s="30"/>
      <ns0:c r="C1079" s="28"/>
      <ns0:c r="D1079" s="29"/>
      <ns0:c r="E1079" s="31"/>
      <ns0:c r="F1079" s="32"/>
      <ns0:c r="G1079" s="29"/>
      <ns0:c r="H1079" s="29"/>
      <ns0:c r="I1079" s="29"/>
      <ns0:c r="J1079" s="29"/>
      <ns0:c r="K1079" s="29"/>
    </ns0:row>
    <ns0:row r="1080" ht="28" customHeight="1">
      <ns0:c r="A1080" s="29"/>
      <ns0:c r="B1080" s="30"/>
      <ns0:c r="C1080" s="28"/>
      <ns0:c r="D1080" s="29"/>
      <ns0:c r="E1080" s="31"/>
      <ns0:c r="F1080" s="32"/>
      <ns0:c r="G1080" s="29"/>
      <ns0:c r="H1080" s="29"/>
      <ns0:c r="I1080" s="29"/>
      <ns0:c r="J1080" s="29"/>
      <ns0:c r="K1080" s="29"/>
    </ns0:row>
    <ns0:row r="1081" ht="28" customHeight="1">
      <ns0:c r="A1081" s="29"/>
      <ns0:c r="B1081" s="30"/>
      <ns0:c r="C1081" s="28"/>
      <ns0:c r="D1081" s="29"/>
      <ns0:c r="E1081" s="31"/>
      <ns0:c r="F1081" s="32"/>
      <ns0:c r="G1081" s="29"/>
      <ns0:c r="H1081" s="29"/>
      <ns0:c r="I1081" s="29"/>
      <ns0:c r="J1081" s="29"/>
      <ns0:c r="K1081" s="29"/>
    </ns0:row>
    <ns0:row r="1082" ht="28" customHeight="1">
      <ns0:c r="A1082" s="29"/>
      <ns0:c r="B1082" s="30"/>
      <ns0:c r="C1082" s="28"/>
      <ns0:c r="D1082" s="29"/>
      <ns0:c r="E1082" s="31"/>
      <ns0:c r="F1082" s="32"/>
      <ns0:c r="G1082" s="29"/>
      <ns0:c r="H1082" s="29"/>
      <ns0:c r="I1082" s="29"/>
      <ns0:c r="J1082" s="29"/>
      <ns0:c r="K1082" s="29"/>
    </ns0:row>
    <ns0:row r="1083" ht="28" customHeight="1">
      <ns0:c r="A1083" s="29"/>
      <ns0:c r="B1083" s="30"/>
      <ns0:c r="C1083" s="28"/>
      <ns0:c r="D1083" s="29"/>
      <ns0:c r="E1083" s="31"/>
      <ns0:c r="F1083" s="32"/>
      <ns0:c r="G1083" s="29"/>
      <ns0:c r="H1083" s="29"/>
      <ns0:c r="I1083" s="29"/>
      <ns0:c r="J1083" s="29"/>
      <ns0:c r="K1083" s="29"/>
    </ns0:row>
    <ns0:row r="1084" ht="28" customHeight="1">
      <ns0:c r="A1084" s="29"/>
      <ns0:c r="B1084" s="30"/>
      <ns0:c r="C1084" s="28"/>
      <ns0:c r="D1084" s="29"/>
      <ns0:c r="E1084" s="31"/>
      <ns0:c r="F1084" s="32"/>
      <ns0:c r="G1084" s="29"/>
      <ns0:c r="H1084" s="29"/>
      <ns0:c r="I1084" s="29"/>
      <ns0:c r="J1084" s="29"/>
      <ns0:c r="K1084" s="29"/>
    </ns0:row>
    <ns0:row r="1085" ht="28" customHeight="1">
      <ns0:c r="A1085" s="29"/>
      <ns0:c r="B1085" s="30"/>
      <ns0:c r="C1085" s="28"/>
      <ns0:c r="D1085" s="29"/>
      <ns0:c r="E1085" s="31"/>
      <ns0:c r="F1085" s="32"/>
      <ns0:c r="G1085" s="29"/>
      <ns0:c r="H1085" s="29"/>
      <ns0:c r="I1085" s="29"/>
      <ns0:c r="J1085" s="29"/>
      <ns0:c r="K1085" s="29"/>
    </ns0:row>
    <ns0:row r="1086" ht="28" customHeight="1">
      <ns0:c r="A1086" s="29"/>
      <ns0:c r="B1086" s="30"/>
      <ns0:c r="C1086" s="28"/>
      <ns0:c r="D1086" s="29"/>
      <ns0:c r="E1086" s="31"/>
      <ns0:c r="F1086" s="32"/>
      <ns0:c r="G1086" s="29"/>
      <ns0:c r="H1086" s="29"/>
      <ns0:c r="I1086" s="29"/>
      <ns0:c r="J1086" s="29"/>
      <ns0:c r="K1086" s="29"/>
    </ns0:row>
    <ns0:row r="1087" ht="28" customHeight="1">
      <ns0:c r="A1087" s="29"/>
      <ns0:c r="B1087" s="30"/>
      <ns0:c r="C1087" s="28"/>
      <ns0:c r="D1087" s="29"/>
      <ns0:c r="E1087" s="31"/>
      <ns0:c r="F1087" s="32"/>
      <ns0:c r="G1087" s="29"/>
      <ns0:c r="H1087" s="29"/>
      <ns0:c r="I1087" s="29"/>
      <ns0:c r="J1087" s="29"/>
      <ns0:c r="K1087" s="29"/>
    </ns0:row>
    <ns0:row r="1088" ht="28" customHeight="1">
      <ns0:c r="A1088" s="29"/>
      <ns0:c r="B1088" s="30"/>
      <ns0:c r="C1088" s="28"/>
      <ns0:c r="D1088" s="29"/>
      <ns0:c r="E1088" s="31"/>
      <ns0:c r="F1088" s="32"/>
      <ns0:c r="G1088" s="29"/>
      <ns0:c r="H1088" s="29"/>
      <ns0:c r="I1088" s="29"/>
      <ns0:c r="J1088" s="29"/>
      <ns0:c r="K1088" s="29"/>
    </ns0:row>
    <ns0:row r="1089" ht="28" customHeight="1">
      <ns0:c r="A1089" s="29"/>
      <ns0:c r="B1089" s="30"/>
      <ns0:c r="C1089" s="28"/>
      <ns0:c r="D1089" s="29"/>
      <ns0:c r="E1089" s="31"/>
      <ns0:c r="F1089" s="32"/>
      <ns0:c r="G1089" s="29"/>
      <ns0:c r="H1089" s="29"/>
      <ns0:c r="I1089" s="29"/>
      <ns0:c r="J1089" s="29"/>
      <ns0:c r="K1089" s="29"/>
    </ns0:row>
    <ns0:row r="1090" ht="28" customHeight="1">
      <ns0:c r="A1090" s="29"/>
      <ns0:c r="B1090" s="30"/>
      <ns0:c r="C1090" s="28"/>
      <ns0:c r="D1090" s="29"/>
      <ns0:c r="E1090" s="31"/>
      <ns0:c r="F1090" s="32"/>
      <ns0:c r="G1090" s="29"/>
      <ns0:c r="H1090" s="29"/>
      <ns0:c r="I1090" s="29"/>
      <ns0:c r="J1090" s="29"/>
      <ns0:c r="K1090" s="29"/>
    </ns0:row>
    <ns0:row r="1091" ht="28" customHeight="1">
      <ns0:c r="A1091" s="29"/>
      <ns0:c r="B1091" s="30"/>
      <ns0:c r="C1091" s="28"/>
      <ns0:c r="D1091" s="29"/>
      <ns0:c r="E1091" s="31"/>
      <ns0:c r="F1091" s="32"/>
      <ns0:c r="G1091" s="29"/>
      <ns0:c r="H1091" s="29"/>
      <ns0:c r="I1091" s="29"/>
      <ns0:c r="J1091" s="29"/>
      <ns0:c r="K1091" s="29"/>
    </ns0:row>
    <ns0:row r="1092" ht="28" customHeight="1">
      <ns0:c r="A1092" s="29"/>
      <ns0:c r="B1092" s="30"/>
      <ns0:c r="C1092" s="28"/>
      <ns0:c r="D1092" s="29"/>
      <ns0:c r="E1092" s="31"/>
      <ns0:c r="F1092" s="32"/>
      <ns0:c r="G1092" s="29"/>
      <ns0:c r="H1092" s="29"/>
      <ns0:c r="I1092" s="29"/>
      <ns0:c r="J1092" s="29"/>
      <ns0:c r="K1092" s="29"/>
    </ns0:row>
    <ns0:row r="1093" ht="28" customHeight="1">
      <ns0:c r="A1093" s="29"/>
      <ns0:c r="B1093" s="30"/>
      <ns0:c r="C1093" s="28"/>
      <ns0:c r="D1093" s="29"/>
      <ns0:c r="E1093" s="31"/>
      <ns0:c r="F1093" s="32"/>
      <ns0:c r="G1093" s="29"/>
      <ns0:c r="H1093" s="29"/>
      <ns0:c r="I1093" s="29"/>
      <ns0:c r="J1093" s="29"/>
      <ns0:c r="K1093" s="29"/>
    </ns0:row>
    <ns0:row r="1094" ht="28" customHeight="1">
      <ns0:c r="A1094" s="29"/>
      <ns0:c r="B1094" s="30"/>
      <ns0:c r="C1094" s="28"/>
      <ns0:c r="D1094" s="29"/>
      <ns0:c r="E1094" s="31"/>
      <ns0:c r="F1094" s="32"/>
      <ns0:c r="G1094" s="29"/>
      <ns0:c r="H1094" s="29"/>
      <ns0:c r="I1094" s="29"/>
      <ns0:c r="J1094" s="29"/>
      <ns0:c r="K1094" s="29"/>
    </ns0:row>
    <ns0:row r="1095" ht="28" customHeight="1">
      <ns0:c r="A1095" s="29"/>
      <ns0:c r="B1095" s="30"/>
      <ns0:c r="C1095" s="28"/>
      <ns0:c r="D1095" s="29"/>
      <ns0:c r="E1095" s="31"/>
      <ns0:c r="F1095" s="32"/>
      <ns0:c r="G1095" s="29"/>
      <ns0:c r="H1095" s="29"/>
      <ns0:c r="I1095" s="29"/>
      <ns0:c r="J1095" s="29"/>
      <ns0:c r="K1095" s="29"/>
    </ns0:row>
    <ns0:row r="1096" ht="28" customHeight="1">
      <ns0:c r="A1096" s="29"/>
      <ns0:c r="B1096" s="30"/>
      <ns0:c r="C1096" s="28"/>
      <ns0:c r="D1096" s="29"/>
      <ns0:c r="E1096" s="31"/>
      <ns0:c r="F1096" s="32"/>
      <ns0:c r="G1096" s="29"/>
      <ns0:c r="H1096" s="29"/>
      <ns0:c r="I1096" s="29"/>
      <ns0:c r="J1096" s="29"/>
      <ns0:c r="K1096" s="29"/>
    </ns0:row>
    <ns0:row r="1097" ht="28" customHeight="1">
      <ns0:c r="A1097" s="29"/>
      <ns0:c r="B1097" s="30"/>
      <ns0:c r="C1097" s="28"/>
      <ns0:c r="D1097" s="29"/>
      <ns0:c r="E1097" s="31"/>
      <ns0:c r="F1097" s="32"/>
      <ns0:c r="G1097" s="29"/>
      <ns0:c r="H1097" s="29"/>
      <ns0:c r="I1097" s="29"/>
      <ns0:c r="J1097" s="29"/>
      <ns0:c r="K1097" s="29"/>
    </ns0:row>
    <ns0:row r="1098" ht="28" customHeight="1">
      <ns0:c r="A1098" s="29"/>
      <ns0:c r="B1098" s="30"/>
      <ns0:c r="C1098" s="28"/>
      <ns0:c r="D1098" s="29"/>
      <ns0:c r="E1098" s="31"/>
      <ns0:c r="F1098" s="32"/>
      <ns0:c r="G1098" s="29"/>
      <ns0:c r="H1098" s="29"/>
      <ns0:c r="I1098" s="29"/>
      <ns0:c r="J1098" s="29"/>
      <ns0:c r="K1098" s="29"/>
    </ns0:row>
    <ns0:row r="1099" ht="28" customHeight="1">
      <ns0:c r="A1099" s="29"/>
      <ns0:c r="B1099" s="30"/>
      <ns0:c r="C1099" s="28"/>
      <ns0:c r="D1099" s="29"/>
      <ns0:c r="E1099" s="31"/>
      <ns0:c r="F1099" s="32"/>
      <ns0:c r="G1099" s="29"/>
      <ns0:c r="H1099" s="29"/>
      <ns0:c r="I1099" s="29"/>
      <ns0:c r="J1099" s="29"/>
      <ns0:c r="K1099" s="29"/>
    </ns0:row>
    <ns0:row r="1100" ht="28" customHeight="1">
      <ns0:c r="A1100" s="29"/>
      <ns0:c r="B1100" s="30"/>
      <ns0:c r="C1100" s="28"/>
      <ns0:c r="D1100" s="29"/>
      <ns0:c r="E1100" s="31"/>
      <ns0:c r="F1100" s="32"/>
      <ns0:c r="G1100" s="29"/>
      <ns0:c r="H1100" s="29"/>
      <ns0:c r="I1100" s="29"/>
      <ns0:c r="J1100" s="29"/>
      <ns0:c r="K1100" s="29"/>
    </ns0:row>
    <ns0:row r="1101" ht="28" customHeight="1">
      <ns0:c r="A1101" s="29"/>
      <ns0:c r="B1101" s="30"/>
      <ns0:c r="C1101" s="28"/>
      <ns0:c r="D1101" s="29"/>
      <ns0:c r="E1101" s="31"/>
      <ns0:c r="F1101" s="32"/>
      <ns0:c r="G1101" s="29"/>
      <ns0:c r="H1101" s="29"/>
      <ns0:c r="I1101" s="29"/>
      <ns0:c r="J1101" s="29"/>
      <ns0:c r="K1101" s="29"/>
    </ns0:row>
    <ns0:row r="1102" ht="28" customHeight="1">
      <ns0:c r="A1102" s="29"/>
      <ns0:c r="B1102" s="30"/>
      <ns0:c r="C1102" s="28"/>
      <ns0:c r="D1102" s="29"/>
      <ns0:c r="E1102" s="31"/>
      <ns0:c r="F1102" s="32"/>
      <ns0:c r="G1102" s="29"/>
      <ns0:c r="H1102" s="29"/>
      <ns0:c r="I1102" s="29"/>
      <ns0:c r="J1102" s="29"/>
      <ns0:c r="K1102" s="29"/>
    </ns0:row>
    <ns0:row r="1103" ht="28" customHeight="1">
      <ns0:c r="A1103" s="29"/>
      <ns0:c r="B1103" s="30"/>
      <ns0:c r="C1103" s="28"/>
      <ns0:c r="D1103" s="29"/>
      <ns0:c r="E1103" s="31"/>
      <ns0:c r="F1103" s="32"/>
      <ns0:c r="G1103" s="29"/>
      <ns0:c r="H1103" s="29"/>
      <ns0:c r="I1103" s="29"/>
      <ns0:c r="J1103" s="29"/>
      <ns0:c r="K1103" s="29"/>
    </ns0:row>
    <ns0:row r="1104" ht="28" customHeight="1">
      <ns0:c r="A1104" s="29"/>
      <ns0:c r="B1104" s="30"/>
      <ns0:c r="C1104" s="28"/>
      <ns0:c r="D1104" s="29"/>
      <ns0:c r="E1104" s="31"/>
      <ns0:c r="F1104" s="32"/>
      <ns0:c r="G1104" s="29"/>
      <ns0:c r="H1104" s="29"/>
      <ns0:c r="I1104" s="29"/>
      <ns0:c r="J1104" s="29"/>
      <ns0:c r="K1104" s="29"/>
    </ns0:row>
    <ns0:row r="1105" ht="28" customHeight="1">
      <ns0:c r="A1105" s="29"/>
      <ns0:c r="B1105" s="30"/>
      <ns0:c r="C1105" s="28"/>
      <ns0:c r="D1105" s="29"/>
      <ns0:c r="E1105" s="31"/>
      <ns0:c r="F1105" s="32"/>
      <ns0:c r="G1105" s="29"/>
      <ns0:c r="H1105" s="29"/>
      <ns0:c r="I1105" s="29"/>
      <ns0:c r="J1105" s="29"/>
      <ns0:c r="K1105" s="29"/>
    </ns0:row>
    <ns0:row r="1106" ht="28" customHeight="1">
      <ns0:c r="A1106" s="29"/>
      <ns0:c r="B1106" s="30"/>
      <ns0:c r="C1106" s="28"/>
      <ns0:c r="D1106" s="29"/>
      <ns0:c r="E1106" s="31"/>
      <ns0:c r="F1106" s="32"/>
      <ns0:c r="G1106" s="29"/>
      <ns0:c r="H1106" s="29"/>
      <ns0:c r="I1106" s="29"/>
      <ns0:c r="J1106" s="29"/>
      <ns0:c r="K1106" s="29"/>
    </ns0:row>
    <ns0:row r="1107" ht="28" customHeight="1">
      <ns0:c r="A1107" s="29"/>
      <ns0:c r="B1107" s="30"/>
      <ns0:c r="C1107" s="28"/>
      <ns0:c r="D1107" s="29"/>
      <ns0:c r="E1107" s="31"/>
      <ns0:c r="F1107" s="32"/>
      <ns0:c r="G1107" s="29"/>
      <ns0:c r="H1107" s="29"/>
      <ns0:c r="I1107" s="29"/>
      <ns0:c r="J1107" s="29"/>
      <ns0:c r="K1107" s="29"/>
    </ns0:row>
    <ns0:row r="1108" ht="28" customHeight="1">
      <ns0:c r="A1108" s="29"/>
      <ns0:c r="B1108" s="30"/>
      <ns0:c r="C1108" s="28"/>
      <ns0:c r="D1108" s="29"/>
      <ns0:c r="E1108" s="31"/>
      <ns0:c r="F1108" s="32"/>
      <ns0:c r="G1108" s="29"/>
      <ns0:c r="H1108" s="29"/>
      <ns0:c r="I1108" s="29"/>
      <ns0:c r="J1108" s="29"/>
      <ns0:c r="K1108" s="29"/>
    </ns0:row>
    <ns0:row r="1109" ht="28" customHeight="1">
      <ns0:c r="A1109" s="29"/>
      <ns0:c r="B1109" s="30"/>
      <ns0:c r="C1109" s="28"/>
      <ns0:c r="D1109" s="29"/>
      <ns0:c r="E1109" s="31"/>
      <ns0:c r="F1109" s="32"/>
      <ns0:c r="G1109" s="29"/>
      <ns0:c r="H1109" s="29"/>
      <ns0:c r="I1109" s="29"/>
      <ns0:c r="J1109" s="29"/>
      <ns0:c r="K1109" s="29"/>
    </ns0:row>
    <ns0:row r="1110" ht="28" customHeight="1">
      <ns0:c r="A1110" s="29"/>
      <ns0:c r="B1110" s="30"/>
      <ns0:c r="C1110" s="28"/>
      <ns0:c r="D1110" s="29"/>
      <ns0:c r="E1110" s="31"/>
      <ns0:c r="F1110" s="32"/>
      <ns0:c r="G1110" s="29"/>
      <ns0:c r="H1110" s="29"/>
      <ns0:c r="I1110" s="29"/>
      <ns0:c r="J1110" s="29"/>
      <ns0:c r="K1110" s="29"/>
    </ns0:row>
    <ns0:row r="1111" ht="28" customHeight="1">
      <ns0:c r="A1111" s="29"/>
      <ns0:c r="B1111" s="30"/>
      <ns0:c r="C1111" s="28"/>
      <ns0:c r="D1111" s="29"/>
      <ns0:c r="E1111" s="31"/>
      <ns0:c r="F1111" s="32"/>
      <ns0:c r="G1111" s="29"/>
      <ns0:c r="H1111" s="29"/>
      <ns0:c r="I1111" s="29"/>
      <ns0:c r="J1111" s="29"/>
      <ns0:c r="K1111" s="29"/>
    </ns0:row>
    <ns0:row r="1112" ht="28" customHeight="1">
      <ns0:c r="A1112" s="29"/>
      <ns0:c r="B1112" s="30"/>
      <ns0:c r="C1112" s="28"/>
      <ns0:c r="D1112" s="29"/>
      <ns0:c r="E1112" s="31"/>
      <ns0:c r="F1112" s="32"/>
      <ns0:c r="G1112" s="29"/>
      <ns0:c r="H1112" s="29"/>
      <ns0:c r="I1112" s="29"/>
      <ns0:c r="J1112" s="29"/>
      <ns0:c r="K1112" s="29"/>
    </ns0:row>
    <ns0:row r="1113" ht="28" customHeight="1">
      <ns0:c r="A1113" s="29"/>
      <ns0:c r="B1113" s="30"/>
      <ns0:c r="C1113" s="28"/>
      <ns0:c r="D1113" s="29"/>
      <ns0:c r="E1113" s="31"/>
      <ns0:c r="F1113" s="32"/>
      <ns0:c r="G1113" s="29"/>
      <ns0:c r="H1113" s="29"/>
      <ns0:c r="I1113" s="29"/>
      <ns0:c r="J1113" s="29"/>
      <ns0:c r="K1113" s="29"/>
    </ns0:row>
    <ns0:row r="1114" ht="28" customHeight="1">
      <ns0:c r="A1114" s="29"/>
      <ns0:c r="B1114" s="30"/>
      <ns0:c r="C1114" s="28"/>
      <ns0:c r="D1114" s="29"/>
      <ns0:c r="E1114" s="31"/>
      <ns0:c r="F1114" s="32"/>
      <ns0:c r="G1114" s="29"/>
      <ns0:c r="H1114" s="29"/>
      <ns0:c r="I1114" s="29"/>
      <ns0:c r="J1114" s="29"/>
      <ns0:c r="K1114" s="29"/>
    </ns0:row>
    <ns0:row r="1115" ht="28" customHeight="1">
      <ns0:c r="A1115" s="29"/>
      <ns0:c r="B1115" s="30"/>
      <ns0:c r="C1115" s="28"/>
      <ns0:c r="D1115" s="29"/>
      <ns0:c r="E1115" s="31"/>
      <ns0:c r="F1115" s="32"/>
      <ns0:c r="G1115" s="29"/>
      <ns0:c r="H1115" s="29"/>
      <ns0:c r="I1115" s="29"/>
      <ns0:c r="J1115" s="29"/>
      <ns0:c r="K1115" s="29"/>
    </ns0:row>
    <ns0:row r="1116" ht="28" customHeight="1">
      <ns0:c r="A1116" s="29"/>
      <ns0:c r="B1116" s="30"/>
      <ns0:c r="C1116" s="28"/>
      <ns0:c r="D1116" s="29"/>
      <ns0:c r="E1116" s="31"/>
      <ns0:c r="F1116" s="32"/>
      <ns0:c r="G1116" s="29"/>
      <ns0:c r="H1116" s="29"/>
      <ns0:c r="I1116" s="29"/>
      <ns0:c r="J1116" s="29"/>
      <ns0:c r="K1116" s="29"/>
    </ns0:row>
    <ns0:row r="1117" ht="28" customHeight="1">
      <ns0:c r="A1117" s="29"/>
      <ns0:c r="B1117" s="30"/>
      <ns0:c r="C1117" s="28"/>
      <ns0:c r="D1117" s="29"/>
      <ns0:c r="E1117" s="31"/>
      <ns0:c r="F1117" s="32"/>
      <ns0:c r="G1117" s="29"/>
      <ns0:c r="H1117" s="29"/>
      <ns0:c r="I1117" s="29"/>
      <ns0:c r="J1117" s="29"/>
      <ns0:c r="K1117" s="29"/>
    </ns0:row>
    <ns0:row r="1118" ht="28" customHeight="1">
      <ns0:c r="A1118" s="29"/>
      <ns0:c r="B1118" s="30"/>
      <ns0:c r="C1118" s="28"/>
      <ns0:c r="D1118" s="29"/>
      <ns0:c r="E1118" s="31"/>
      <ns0:c r="F1118" s="32"/>
      <ns0:c r="G1118" s="29"/>
      <ns0:c r="H1118" s="29"/>
      <ns0:c r="I1118" s="29"/>
      <ns0:c r="J1118" s="29"/>
      <ns0:c r="K1118" s="29"/>
    </ns0:row>
    <ns0:row r="1119" ht="28" customHeight="1">
      <ns0:c r="A1119" s="29"/>
      <ns0:c r="B1119" s="30"/>
      <ns0:c r="C1119" s="28"/>
      <ns0:c r="D1119" s="29"/>
      <ns0:c r="E1119" s="31"/>
      <ns0:c r="F1119" s="32"/>
      <ns0:c r="G1119" s="29"/>
      <ns0:c r="H1119" s="29"/>
      <ns0:c r="I1119" s="29"/>
      <ns0:c r="J1119" s="29"/>
      <ns0:c r="K1119" s="29"/>
    </ns0:row>
    <ns0:row r="1120" ht="28" customHeight="1">
      <ns0:c r="A1120" s="29"/>
      <ns0:c r="B1120" s="30"/>
      <ns0:c r="C1120" s="28"/>
      <ns0:c r="D1120" s="29"/>
      <ns0:c r="E1120" s="31"/>
      <ns0:c r="F1120" s="32"/>
      <ns0:c r="G1120" s="29"/>
      <ns0:c r="H1120" s="29"/>
      <ns0:c r="I1120" s="29"/>
      <ns0:c r="J1120" s="29"/>
      <ns0:c r="K1120" s="29"/>
    </ns0:row>
    <ns0:row r="1121" ht="28" customHeight="1">
      <ns0:c r="A1121" s="29"/>
      <ns0:c r="B1121" s="30"/>
      <ns0:c r="C1121" s="28"/>
      <ns0:c r="D1121" s="29"/>
      <ns0:c r="E1121" s="31"/>
      <ns0:c r="F1121" s="32"/>
      <ns0:c r="G1121" s="29"/>
      <ns0:c r="H1121" s="29"/>
      <ns0:c r="I1121" s="29"/>
      <ns0:c r="J1121" s="29"/>
      <ns0:c r="K1121" s="29"/>
    </ns0:row>
    <ns0:row r="1122" ht="28" customHeight="1">
      <ns0:c r="A1122" s="29"/>
      <ns0:c r="B1122" s="30"/>
      <ns0:c r="C1122" s="28"/>
      <ns0:c r="D1122" s="29"/>
      <ns0:c r="E1122" s="31"/>
      <ns0:c r="F1122" s="32"/>
      <ns0:c r="G1122" s="29"/>
      <ns0:c r="H1122" s="29"/>
      <ns0:c r="I1122" s="29"/>
      <ns0:c r="J1122" s="29"/>
      <ns0:c r="K1122" s="29"/>
    </ns0:row>
    <ns0:row r="1123" ht="28" customHeight="1">
      <ns0:c r="A1123" s="29"/>
      <ns0:c r="B1123" s="30"/>
      <ns0:c r="C1123" s="28"/>
      <ns0:c r="D1123" s="29"/>
      <ns0:c r="E1123" s="31"/>
      <ns0:c r="F1123" s="32"/>
      <ns0:c r="G1123" s="29"/>
      <ns0:c r="H1123" s="29"/>
      <ns0:c r="I1123" s="29"/>
      <ns0:c r="J1123" s="29"/>
      <ns0:c r="K1123" s="29"/>
    </ns0:row>
    <ns0:row r="1124" ht="28" customHeight="1">
      <ns0:c r="A1124" s="29"/>
      <ns0:c r="B1124" s="30"/>
      <ns0:c r="C1124" s="28"/>
      <ns0:c r="D1124" s="29"/>
      <ns0:c r="E1124" s="31"/>
      <ns0:c r="F1124" s="32"/>
      <ns0:c r="G1124" s="29"/>
      <ns0:c r="H1124" s="29"/>
      <ns0:c r="I1124" s="29"/>
      <ns0:c r="J1124" s="29"/>
      <ns0:c r="K1124" s="29"/>
    </ns0:row>
    <ns0:row r="1125" ht="28" customHeight="1">
      <ns0:c r="A1125" s="29"/>
      <ns0:c r="B1125" s="30"/>
      <ns0:c r="C1125" s="28"/>
      <ns0:c r="D1125" s="29"/>
      <ns0:c r="E1125" s="31"/>
      <ns0:c r="F1125" s="32"/>
      <ns0:c r="G1125" s="29"/>
      <ns0:c r="H1125" s="29"/>
      <ns0:c r="I1125" s="29"/>
      <ns0:c r="J1125" s="29"/>
      <ns0:c r="K1125" s="29"/>
    </ns0:row>
    <ns0:row r="1126" ht="28" customHeight="1">
      <ns0:c r="A1126" s="29"/>
      <ns0:c r="B1126" s="30"/>
      <ns0:c r="C1126" s="28"/>
      <ns0:c r="D1126" s="29"/>
      <ns0:c r="E1126" s="31"/>
      <ns0:c r="F1126" s="32"/>
      <ns0:c r="G1126" s="29"/>
      <ns0:c r="H1126" s="29"/>
      <ns0:c r="I1126" s="29"/>
      <ns0:c r="J1126" s="29"/>
      <ns0:c r="K1126" s="29"/>
    </ns0:row>
    <ns0:row r="1127" ht="28" customHeight="1">
      <ns0:c r="A1127" s="29"/>
      <ns0:c r="B1127" s="30"/>
      <ns0:c r="C1127" s="28"/>
      <ns0:c r="D1127" s="29"/>
      <ns0:c r="E1127" s="31"/>
      <ns0:c r="F1127" s="32"/>
      <ns0:c r="G1127" s="29"/>
      <ns0:c r="H1127" s="29"/>
      <ns0:c r="I1127" s="29"/>
      <ns0:c r="J1127" s="29"/>
      <ns0:c r="K1127" s="29"/>
    </ns0:row>
    <ns0:row r="1128" ht="28" customHeight="1">
      <ns0:c r="A1128" s="29"/>
      <ns0:c r="B1128" s="30"/>
      <ns0:c r="C1128" s="28"/>
      <ns0:c r="D1128" s="29"/>
      <ns0:c r="E1128" s="31"/>
      <ns0:c r="F1128" s="32"/>
      <ns0:c r="G1128" s="29"/>
      <ns0:c r="H1128" s="29"/>
      <ns0:c r="I1128" s="29"/>
      <ns0:c r="J1128" s="29"/>
      <ns0:c r="K1128" s="29"/>
    </ns0:row>
    <ns0:row r="1129" ht="28" customHeight="1">
      <ns0:c r="A1129" s="29"/>
      <ns0:c r="B1129" s="30"/>
      <ns0:c r="C1129" s="28"/>
      <ns0:c r="D1129" s="29"/>
      <ns0:c r="E1129" s="31"/>
      <ns0:c r="F1129" s="32"/>
      <ns0:c r="G1129" s="29"/>
      <ns0:c r="H1129" s="29"/>
      <ns0:c r="I1129" s="29"/>
      <ns0:c r="J1129" s="29"/>
      <ns0:c r="K1129" s="29"/>
    </ns0:row>
    <ns0:row r="1130" ht="28" customHeight="1">
      <ns0:c r="A1130" s="29"/>
      <ns0:c r="B1130" s="30"/>
      <ns0:c r="C1130" s="28"/>
      <ns0:c r="D1130" s="29"/>
      <ns0:c r="E1130" s="31"/>
      <ns0:c r="F1130" s="32"/>
      <ns0:c r="G1130" s="29"/>
      <ns0:c r="H1130" s="29"/>
      <ns0:c r="I1130" s="29"/>
      <ns0:c r="J1130" s="29"/>
      <ns0:c r="K1130" s="29"/>
    </ns0:row>
    <ns0:row r="1131" ht="28" customHeight="1">
      <ns0:c r="A1131" s="29"/>
      <ns0:c r="B1131" s="30"/>
      <ns0:c r="C1131" s="28"/>
      <ns0:c r="D1131" s="29"/>
      <ns0:c r="E1131" s="31"/>
      <ns0:c r="F1131" s="32"/>
      <ns0:c r="G1131" s="29"/>
      <ns0:c r="H1131" s="29"/>
      <ns0:c r="I1131" s="29"/>
      <ns0:c r="J1131" s="29"/>
      <ns0:c r="K1131" s="29"/>
    </ns0:row>
    <ns0:row r="1132" ht="28" customHeight="1">
      <ns0:c r="A1132" s="29"/>
      <ns0:c r="B1132" s="30"/>
      <ns0:c r="C1132" s="28"/>
      <ns0:c r="D1132" s="29"/>
      <ns0:c r="E1132" s="31"/>
      <ns0:c r="F1132" s="32"/>
      <ns0:c r="G1132" s="29"/>
      <ns0:c r="H1132" s="29"/>
      <ns0:c r="I1132" s="29"/>
      <ns0:c r="J1132" s="29"/>
      <ns0:c r="K1132" s="29"/>
    </ns0:row>
    <ns0:row r="1133" ht="28" customHeight="1">
      <ns0:c r="A1133" s="29"/>
      <ns0:c r="B1133" s="30"/>
      <ns0:c r="C1133" s="28"/>
      <ns0:c r="D1133" s="29"/>
      <ns0:c r="E1133" s="31"/>
      <ns0:c r="F1133" s="32"/>
      <ns0:c r="G1133" s="29"/>
      <ns0:c r="H1133" s="29"/>
      <ns0:c r="I1133" s="29"/>
      <ns0:c r="J1133" s="29"/>
      <ns0:c r="K1133" s="29"/>
    </ns0:row>
    <ns0:row r="1134" ht="28" customHeight="1">
      <ns0:c r="A1134" s="29"/>
      <ns0:c r="B1134" s="30"/>
      <ns0:c r="C1134" s="28"/>
      <ns0:c r="D1134" s="29"/>
      <ns0:c r="E1134" s="31"/>
      <ns0:c r="F1134" s="32"/>
      <ns0:c r="G1134" s="29"/>
      <ns0:c r="H1134" s="29"/>
      <ns0:c r="I1134" s="29"/>
      <ns0:c r="J1134" s="29"/>
      <ns0:c r="K1134" s="29"/>
    </ns0:row>
    <ns0:row r="1135" ht="28" customHeight="1">
      <ns0:c r="A1135" s="29"/>
      <ns0:c r="B1135" s="30"/>
      <ns0:c r="C1135" s="28"/>
      <ns0:c r="D1135" s="29"/>
      <ns0:c r="E1135" s="31"/>
      <ns0:c r="F1135" s="32"/>
      <ns0:c r="G1135" s="29"/>
      <ns0:c r="H1135" s="29"/>
      <ns0:c r="I1135" s="29"/>
      <ns0:c r="J1135" s="29"/>
      <ns0:c r="K1135" s="29"/>
    </ns0:row>
    <ns0:row r="1136" ht="28" customHeight="1">
      <ns0:c r="A1136" s="29"/>
      <ns0:c r="B1136" s="30"/>
      <ns0:c r="C1136" s="28"/>
      <ns0:c r="D1136" s="29"/>
      <ns0:c r="E1136" s="31"/>
      <ns0:c r="F1136" s="32"/>
      <ns0:c r="G1136" s="29"/>
      <ns0:c r="H1136" s="29"/>
      <ns0:c r="I1136" s="29"/>
      <ns0:c r="J1136" s="29"/>
      <ns0:c r="K1136" s="29"/>
    </ns0:row>
    <ns0:row r="1137" ht="28" customHeight="1">
      <ns0:c r="A1137" s="29"/>
      <ns0:c r="B1137" s="30"/>
      <ns0:c r="C1137" s="28"/>
      <ns0:c r="D1137" s="29"/>
      <ns0:c r="E1137" s="31"/>
      <ns0:c r="F1137" s="32"/>
      <ns0:c r="G1137" s="29"/>
      <ns0:c r="H1137" s="29"/>
      <ns0:c r="I1137" s="29"/>
      <ns0:c r="J1137" s="29"/>
      <ns0:c r="K1137" s="29"/>
    </ns0:row>
    <ns0:row r="1138" ht="28" customHeight="1">
      <ns0:c r="A1138" s="29"/>
      <ns0:c r="B1138" s="30"/>
      <ns0:c r="C1138" s="28"/>
      <ns0:c r="D1138" s="29"/>
      <ns0:c r="E1138" s="31"/>
      <ns0:c r="F1138" s="32"/>
      <ns0:c r="G1138" s="29"/>
      <ns0:c r="H1138" s="29"/>
      <ns0:c r="I1138" s="29"/>
      <ns0:c r="J1138" s="29"/>
      <ns0:c r="K1138" s="29"/>
    </ns0:row>
    <ns0:row r="1139" ht="28" customHeight="1">
      <ns0:c r="A1139" s="29"/>
      <ns0:c r="B1139" s="30"/>
      <ns0:c r="C1139" s="28"/>
      <ns0:c r="D1139" s="29"/>
      <ns0:c r="E1139" s="31"/>
      <ns0:c r="F1139" s="32"/>
      <ns0:c r="G1139" s="29"/>
      <ns0:c r="H1139" s="29"/>
      <ns0:c r="I1139" s="29"/>
      <ns0:c r="J1139" s="29"/>
      <ns0:c r="K1139" s="29"/>
    </ns0:row>
    <ns0:row r="1140" ht="28" customHeight="1">
      <ns0:c r="A1140" s="29"/>
      <ns0:c r="B1140" s="30"/>
      <ns0:c r="C1140" s="28"/>
      <ns0:c r="D1140" s="29"/>
      <ns0:c r="E1140" s="31"/>
      <ns0:c r="F1140" s="32"/>
      <ns0:c r="G1140" s="29"/>
      <ns0:c r="H1140" s="29"/>
      <ns0:c r="I1140" s="29"/>
      <ns0:c r="J1140" s="29"/>
      <ns0:c r="K1140" s="29"/>
    </ns0:row>
    <ns0:row r="1141" ht="28" customHeight="1">
      <ns0:c r="A1141" s="29"/>
      <ns0:c r="B1141" s="30"/>
      <ns0:c r="C1141" s="28"/>
      <ns0:c r="D1141" s="29"/>
      <ns0:c r="E1141" s="31"/>
      <ns0:c r="F1141" s="32"/>
      <ns0:c r="G1141" s="29"/>
      <ns0:c r="H1141" s="29"/>
      <ns0:c r="I1141" s="29"/>
      <ns0:c r="J1141" s="29"/>
      <ns0:c r="K1141" s="29"/>
    </ns0:row>
    <ns0:row r="1142" ht="28" customHeight="1">
      <ns0:c r="A1142" s="29"/>
      <ns0:c r="B1142" s="30"/>
      <ns0:c r="C1142" s="28"/>
      <ns0:c r="D1142" s="29"/>
      <ns0:c r="E1142" s="31"/>
      <ns0:c r="F1142" s="32"/>
      <ns0:c r="G1142" s="29"/>
      <ns0:c r="H1142" s="29"/>
      <ns0:c r="I1142" s="29"/>
      <ns0:c r="J1142" s="29"/>
      <ns0:c r="K1142" s="29"/>
    </ns0:row>
    <ns0:row r="1143" ht="28" customHeight="1">
      <ns0:c r="A1143" s="29"/>
      <ns0:c r="B1143" s="30"/>
      <ns0:c r="C1143" s="28"/>
      <ns0:c r="D1143" s="29"/>
      <ns0:c r="E1143" s="31"/>
      <ns0:c r="F1143" s="32"/>
      <ns0:c r="G1143" s="29"/>
      <ns0:c r="H1143" s="29"/>
      <ns0:c r="I1143" s="29"/>
      <ns0:c r="J1143" s="29"/>
      <ns0:c r="K1143" s="29"/>
    </ns0:row>
    <ns0:row r="1144" ht="28" customHeight="1">
      <ns0:c r="A1144" s="29"/>
      <ns0:c r="B1144" s="30"/>
      <ns0:c r="C1144" s="28"/>
      <ns0:c r="D1144" s="29"/>
      <ns0:c r="E1144" s="31"/>
      <ns0:c r="F1144" s="32"/>
      <ns0:c r="G1144" s="29"/>
      <ns0:c r="H1144" s="29"/>
      <ns0:c r="I1144" s="29"/>
      <ns0:c r="J1144" s="29"/>
      <ns0:c r="K1144" s="29"/>
    </ns0:row>
    <ns0:row r="1145" ht="28" customHeight="1">
      <ns0:c r="A1145" s="29"/>
      <ns0:c r="B1145" s="30"/>
      <ns0:c r="C1145" s="28"/>
      <ns0:c r="D1145" s="29"/>
      <ns0:c r="E1145" s="31"/>
      <ns0:c r="F1145" s="32"/>
      <ns0:c r="G1145" s="29"/>
      <ns0:c r="H1145" s="29"/>
      <ns0:c r="I1145" s="29"/>
      <ns0:c r="J1145" s="29"/>
      <ns0:c r="K1145" s="29"/>
    </ns0:row>
    <ns0:row r="1146" ht="28" customHeight="1">
      <ns0:c r="A1146" s="29"/>
      <ns0:c r="B1146" s="30"/>
      <ns0:c r="C1146" s="28"/>
      <ns0:c r="D1146" s="29"/>
      <ns0:c r="E1146" s="31"/>
      <ns0:c r="F1146" s="32"/>
      <ns0:c r="G1146" s="29"/>
      <ns0:c r="H1146" s="29"/>
      <ns0:c r="I1146" s="29"/>
      <ns0:c r="J1146" s="29"/>
      <ns0:c r="K1146" s="29"/>
    </ns0:row>
    <ns0:row r="1147" ht="28" customHeight="1">
      <ns0:c r="A1147" s="29"/>
      <ns0:c r="B1147" s="30"/>
      <ns0:c r="C1147" s="28"/>
      <ns0:c r="D1147" s="29"/>
      <ns0:c r="E1147" s="31"/>
      <ns0:c r="F1147" s="32"/>
      <ns0:c r="G1147" s="29"/>
      <ns0:c r="H1147" s="29"/>
      <ns0:c r="I1147" s="29"/>
      <ns0:c r="J1147" s="29"/>
      <ns0:c r="K1147" s="29"/>
    </ns0:row>
    <ns0:row r="1148" ht="28" customHeight="1">
      <ns0:c r="A1148" s="29"/>
      <ns0:c r="B1148" s="30"/>
      <ns0:c r="C1148" s="28"/>
      <ns0:c r="D1148" s="29"/>
      <ns0:c r="E1148" s="31"/>
      <ns0:c r="F1148" s="32"/>
      <ns0:c r="G1148" s="29"/>
      <ns0:c r="H1148" s="29"/>
      <ns0:c r="I1148" s="29"/>
      <ns0:c r="J1148" s="29"/>
      <ns0:c r="K1148" s="29"/>
    </ns0:row>
    <ns0:row r="1149" ht="28" customHeight="1">
      <ns0:c r="A1149" s="29"/>
      <ns0:c r="B1149" s="30"/>
      <ns0:c r="C1149" s="28"/>
      <ns0:c r="D1149" s="29"/>
      <ns0:c r="E1149" s="31"/>
      <ns0:c r="F1149" s="32"/>
      <ns0:c r="G1149" s="29"/>
      <ns0:c r="H1149" s="29"/>
      <ns0:c r="I1149" s="29"/>
      <ns0:c r="J1149" s="29"/>
      <ns0:c r="K1149" s="29"/>
    </ns0:row>
    <ns0:row r="1150" ht="28" customHeight="1">
      <ns0:c r="A1150" s="29"/>
      <ns0:c r="B1150" s="30"/>
      <ns0:c r="C1150" s="28"/>
      <ns0:c r="D1150" s="29"/>
      <ns0:c r="E1150" s="31"/>
      <ns0:c r="F1150" s="32"/>
      <ns0:c r="G1150" s="29"/>
      <ns0:c r="H1150" s="29"/>
      <ns0:c r="I1150" s="29"/>
      <ns0:c r="J1150" s="29"/>
      <ns0:c r="K1150" s="29"/>
    </ns0:row>
    <ns0:row r="1151" ht="28" customHeight="1">
      <ns0:c r="A1151" s="29"/>
      <ns0:c r="B1151" s="30"/>
      <ns0:c r="C1151" s="28"/>
      <ns0:c r="D1151" s="29"/>
      <ns0:c r="E1151" s="31"/>
      <ns0:c r="F1151" s="32"/>
      <ns0:c r="G1151" s="29"/>
      <ns0:c r="H1151" s="29"/>
      <ns0:c r="I1151" s="29"/>
      <ns0:c r="J1151" s="29"/>
      <ns0:c r="K1151" s="29"/>
    </ns0:row>
    <ns0:row r="1152" ht="28" customHeight="1">
      <ns0:c r="A1152" s="29"/>
      <ns0:c r="B1152" s="30"/>
      <ns0:c r="C1152" s="28"/>
      <ns0:c r="D1152" s="29"/>
      <ns0:c r="E1152" s="31"/>
      <ns0:c r="F1152" s="32"/>
      <ns0:c r="G1152" s="29"/>
      <ns0:c r="H1152" s="29"/>
      <ns0:c r="I1152" s="29"/>
      <ns0:c r="J1152" s="29"/>
      <ns0:c r="K1152" s="29"/>
    </ns0:row>
    <ns0:row r="1153" ht="28" customHeight="1">
      <ns0:c r="A1153" s="29"/>
      <ns0:c r="B1153" s="30"/>
      <ns0:c r="C1153" s="28"/>
      <ns0:c r="D1153" s="29"/>
      <ns0:c r="E1153" s="31"/>
      <ns0:c r="F1153" s="32"/>
      <ns0:c r="G1153" s="29"/>
      <ns0:c r="H1153" s="29"/>
      <ns0:c r="I1153" s="29"/>
      <ns0:c r="J1153" s="29"/>
      <ns0:c r="K1153" s="29"/>
    </ns0:row>
    <ns0:row r="1154" ht="28" customHeight="1">
      <ns0:c r="A1154" s="29"/>
      <ns0:c r="B1154" s="30"/>
      <ns0:c r="C1154" s="28"/>
      <ns0:c r="D1154" s="29"/>
      <ns0:c r="E1154" s="31"/>
      <ns0:c r="F1154" s="32"/>
      <ns0:c r="G1154" s="29"/>
      <ns0:c r="H1154" s="29"/>
      <ns0:c r="I1154" s="29"/>
      <ns0:c r="J1154" s="29"/>
      <ns0:c r="K1154" s="29"/>
    </ns0:row>
    <ns0:row r="1155" ht="28" customHeight="1">
      <ns0:c r="A1155" s="29"/>
      <ns0:c r="B1155" s="30"/>
      <ns0:c r="C1155" s="28"/>
      <ns0:c r="D1155" s="29"/>
      <ns0:c r="E1155" s="31"/>
      <ns0:c r="F1155" s="32"/>
      <ns0:c r="G1155" s="29"/>
      <ns0:c r="H1155" s="29"/>
      <ns0:c r="I1155" s="29"/>
      <ns0:c r="J1155" s="29"/>
      <ns0:c r="K1155" s="29"/>
    </ns0:row>
    <ns0:row r="1156" ht="28" customHeight="1">
      <ns0:c r="A1156" s="29"/>
      <ns0:c r="B1156" s="30"/>
      <ns0:c r="C1156" s="28"/>
      <ns0:c r="D1156" s="29"/>
      <ns0:c r="E1156" s="31"/>
      <ns0:c r="F1156" s="32"/>
      <ns0:c r="G1156" s="29"/>
      <ns0:c r="H1156" s="29"/>
      <ns0:c r="I1156" s="29"/>
      <ns0:c r="J1156" s="29"/>
      <ns0:c r="K1156" s="29"/>
    </ns0:row>
    <ns0:row r="1157" ht="28" customHeight="1">
      <ns0:c r="A1157" s="29"/>
      <ns0:c r="B1157" s="30"/>
      <ns0:c r="C1157" s="28"/>
      <ns0:c r="D1157" s="29"/>
      <ns0:c r="E1157" s="31"/>
      <ns0:c r="F1157" s="32"/>
      <ns0:c r="G1157" s="29"/>
      <ns0:c r="H1157" s="29"/>
      <ns0:c r="I1157" s="29"/>
      <ns0:c r="J1157" s="29"/>
      <ns0:c r="K1157" s="29"/>
    </ns0:row>
    <ns0:row r="1158" ht="28" customHeight="1">
      <ns0:c r="A1158" s="29"/>
      <ns0:c r="B1158" s="30"/>
      <ns0:c r="C1158" s="28"/>
      <ns0:c r="D1158" s="29"/>
      <ns0:c r="E1158" s="31"/>
      <ns0:c r="F1158" s="32"/>
      <ns0:c r="G1158" s="29"/>
      <ns0:c r="H1158" s="29"/>
      <ns0:c r="I1158" s="29"/>
      <ns0:c r="J1158" s="29"/>
      <ns0:c r="K1158" s="29"/>
    </ns0:row>
    <ns0:row r="1159" ht="28" customHeight="1">
      <ns0:c r="A1159" s="29"/>
      <ns0:c r="B1159" s="30"/>
      <ns0:c r="C1159" s="28"/>
      <ns0:c r="D1159" s="29"/>
      <ns0:c r="E1159" s="31"/>
      <ns0:c r="F1159" s="32"/>
      <ns0:c r="G1159" s="29"/>
      <ns0:c r="H1159" s="29"/>
      <ns0:c r="I1159" s="29"/>
      <ns0:c r="J1159" s="29"/>
      <ns0:c r="K1159" s="29"/>
    </ns0:row>
    <ns0:row r="1160" ht="28" customHeight="1">
      <ns0:c r="A1160" s="29"/>
      <ns0:c r="B1160" s="30"/>
      <ns0:c r="C1160" s="28"/>
      <ns0:c r="D1160" s="29"/>
      <ns0:c r="E1160" s="31"/>
      <ns0:c r="F1160" s="32"/>
      <ns0:c r="G1160" s="29"/>
      <ns0:c r="H1160" s="29"/>
      <ns0:c r="I1160" s="29"/>
      <ns0:c r="J1160" s="29"/>
      <ns0:c r="K1160" s="29"/>
    </ns0:row>
    <ns0:row r="1161" ht="28" customHeight="1">
      <ns0:c r="A1161" s="29"/>
      <ns0:c r="B1161" s="30"/>
      <ns0:c r="C1161" s="28"/>
      <ns0:c r="D1161" s="29"/>
      <ns0:c r="E1161" s="31"/>
      <ns0:c r="F1161" s="32"/>
      <ns0:c r="G1161" s="29"/>
      <ns0:c r="H1161" s="29"/>
      <ns0:c r="I1161" s="29"/>
      <ns0:c r="J1161" s="29"/>
      <ns0:c r="K1161" s="29"/>
    </ns0:row>
    <ns0:row r="1162" ht="28" customHeight="1">
      <ns0:c r="A1162" s="29"/>
      <ns0:c r="B1162" s="30"/>
      <ns0:c r="C1162" s="28"/>
      <ns0:c r="D1162" s="29"/>
      <ns0:c r="E1162" s="31"/>
      <ns0:c r="F1162" s="32"/>
      <ns0:c r="G1162" s="29"/>
      <ns0:c r="H1162" s="29"/>
      <ns0:c r="I1162" s="29"/>
      <ns0:c r="J1162" s="29"/>
      <ns0:c r="K1162" s="29"/>
    </ns0:row>
    <ns0:row r="1163" ht="28" customHeight="1">
      <ns0:c r="A1163" s="29"/>
      <ns0:c r="B1163" s="30"/>
      <ns0:c r="C1163" s="28"/>
      <ns0:c r="D1163" s="29"/>
      <ns0:c r="E1163" s="31"/>
      <ns0:c r="F1163" s="32"/>
      <ns0:c r="G1163" s="29"/>
      <ns0:c r="H1163" s="29"/>
      <ns0:c r="I1163" s="29"/>
      <ns0:c r="J1163" s="29"/>
      <ns0:c r="K1163" s="29"/>
    </ns0:row>
    <ns0:row r="1164" ht="28" customHeight="1">
      <ns0:c r="A1164" s="29"/>
      <ns0:c r="B1164" s="30"/>
      <ns0:c r="C1164" s="28"/>
      <ns0:c r="D1164" s="29"/>
      <ns0:c r="E1164" s="31"/>
      <ns0:c r="F1164" s="32"/>
      <ns0:c r="G1164" s="29"/>
      <ns0:c r="H1164" s="29"/>
      <ns0:c r="I1164" s="29"/>
      <ns0:c r="J1164" s="29"/>
      <ns0:c r="K1164" s="29"/>
    </ns0:row>
    <ns0:row r="1165" ht="28" customHeight="1">
      <ns0:c r="A1165" s="29"/>
      <ns0:c r="B1165" s="30"/>
      <ns0:c r="C1165" s="28"/>
      <ns0:c r="D1165" s="29"/>
      <ns0:c r="E1165" s="31"/>
      <ns0:c r="F1165" s="32"/>
      <ns0:c r="G1165" s="29"/>
      <ns0:c r="H1165" s="29"/>
      <ns0:c r="I1165" s="29"/>
      <ns0:c r="J1165" s="29"/>
      <ns0:c r="K1165" s="29"/>
    </ns0:row>
    <ns0:row r="1166" ht="28" customHeight="1">
      <ns0:c r="A1166" s="29"/>
      <ns0:c r="B1166" s="30"/>
      <ns0:c r="C1166" s="28"/>
      <ns0:c r="D1166" s="29"/>
      <ns0:c r="E1166" s="31"/>
      <ns0:c r="F1166" s="32"/>
      <ns0:c r="G1166" s="29"/>
      <ns0:c r="H1166" s="29"/>
      <ns0:c r="I1166" s="29"/>
      <ns0:c r="J1166" s="29"/>
      <ns0:c r="K1166" s="29"/>
    </ns0:row>
    <ns0:row r="1167" ht="28" customHeight="1">
      <ns0:c r="A1167" s="29"/>
      <ns0:c r="B1167" s="30"/>
      <ns0:c r="C1167" s="28"/>
      <ns0:c r="D1167" s="29"/>
      <ns0:c r="E1167" s="31"/>
      <ns0:c r="F1167" s="32"/>
      <ns0:c r="G1167" s="29"/>
      <ns0:c r="H1167" s="29"/>
      <ns0:c r="I1167" s="29"/>
      <ns0:c r="J1167" s="29"/>
      <ns0:c r="K1167" s="29"/>
    </ns0:row>
    <ns0:row r="1168" ht="28" customHeight="1">
      <ns0:c r="A1168" s="29"/>
      <ns0:c r="B1168" s="30"/>
      <ns0:c r="C1168" s="28"/>
      <ns0:c r="D1168" s="29"/>
      <ns0:c r="E1168" s="31"/>
      <ns0:c r="F1168" s="32"/>
      <ns0:c r="G1168" s="29"/>
      <ns0:c r="H1168" s="29"/>
      <ns0:c r="I1168" s="29"/>
      <ns0:c r="J1168" s="29"/>
      <ns0:c r="K1168" s="29"/>
    </ns0:row>
    <ns0:row r="1169" ht="28" customHeight="1">
      <ns0:c r="A1169" s="29"/>
      <ns0:c r="B1169" s="30"/>
      <ns0:c r="C1169" s="28"/>
      <ns0:c r="D1169" s="29"/>
      <ns0:c r="E1169" s="31"/>
      <ns0:c r="F1169" s="32"/>
      <ns0:c r="G1169" s="29"/>
      <ns0:c r="H1169" s="29"/>
      <ns0:c r="I1169" s="29"/>
      <ns0:c r="J1169" s="29"/>
      <ns0:c r="K1169" s="29"/>
    </ns0:row>
    <ns0:row r="1170" ht="28" customHeight="1">
      <ns0:c r="A1170" s="29"/>
      <ns0:c r="B1170" s="30"/>
      <ns0:c r="C1170" s="28"/>
      <ns0:c r="D1170" s="29"/>
      <ns0:c r="E1170" s="31"/>
      <ns0:c r="F1170" s="32"/>
      <ns0:c r="G1170" s="29"/>
      <ns0:c r="H1170" s="29"/>
      <ns0:c r="I1170" s="29"/>
      <ns0:c r="J1170" s="29"/>
      <ns0:c r="K1170" s="29"/>
    </ns0:row>
    <ns0:row r="1171" ht="28" customHeight="1">
      <ns0:c r="A1171" s="29"/>
      <ns0:c r="B1171" s="30"/>
      <ns0:c r="C1171" s="28"/>
      <ns0:c r="D1171" s="29"/>
      <ns0:c r="E1171" s="31"/>
      <ns0:c r="F1171" s="32"/>
      <ns0:c r="G1171" s="29"/>
      <ns0:c r="H1171" s="29"/>
      <ns0:c r="I1171" s="29"/>
      <ns0:c r="J1171" s="29"/>
      <ns0:c r="K1171" s="29"/>
    </ns0:row>
    <ns0:row r="1172" ht="28" customHeight="1">
      <ns0:c r="A1172" s="29"/>
      <ns0:c r="B1172" s="30"/>
      <ns0:c r="C1172" s="28"/>
      <ns0:c r="D1172" s="29"/>
      <ns0:c r="E1172" s="31"/>
      <ns0:c r="F1172" s="32"/>
      <ns0:c r="G1172" s="29"/>
      <ns0:c r="H1172" s="29"/>
      <ns0:c r="I1172" s="29"/>
      <ns0:c r="J1172" s="29"/>
      <ns0:c r="K1172" s="29"/>
    </ns0:row>
    <ns0:row r="1173" ht="28" customHeight="1">
      <ns0:c r="A1173" s="29"/>
      <ns0:c r="B1173" s="30"/>
      <ns0:c r="C1173" s="28"/>
      <ns0:c r="D1173" s="29"/>
      <ns0:c r="E1173" s="31"/>
      <ns0:c r="F1173" s="32"/>
      <ns0:c r="G1173" s="29"/>
      <ns0:c r="H1173" s="29"/>
      <ns0:c r="I1173" s="29"/>
      <ns0:c r="J1173" s="29"/>
      <ns0:c r="K1173" s="29"/>
    </ns0:row>
    <ns0:row r="1174" ht="28" customHeight="1">
      <ns0:c r="A1174" s="29"/>
      <ns0:c r="B1174" s="30"/>
      <ns0:c r="C1174" s="28"/>
      <ns0:c r="D1174" s="29"/>
      <ns0:c r="E1174" s="31"/>
      <ns0:c r="F1174" s="32"/>
      <ns0:c r="G1174" s="29"/>
      <ns0:c r="H1174" s="29"/>
      <ns0:c r="I1174" s="29"/>
      <ns0:c r="J1174" s="29"/>
      <ns0:c r="K1174" s="29"/>
    </ns0:row>
    <ns0:row r="1175" ht="28" customHeight="1">
      <ns0:c r="A1175" s="29"/>
      <ns0:c r="B1175" s="30"/>
      <ns0:c r="C1175" s="28"/>
      <ns0:c r="D1175" s="29"/>
      <ns0:c r="E1175" s="31"/>
      <ns0:c r="F1175" s="32"/>
      <ns0:c r="G1175" s="29"/>
      <ns0:c r="H1175" s="29"/>
      <ns0:c r="I1175" s="29"/>
      <ns0:c r="J1175" s="29"/>
      <ns0:c r="K1175" s="29"/>
    </ns0:row>
    <ns0:row r="1176" ht="28" customHeight="1">
      <ns0:c r="A1176" s="29"/>
      <ns0:c r="B1176" s="30"/>
      <ns0:c r="C1176" s="28"/>
      <ns0:c r="D1176" s="29"/>
      <ns0:c r="E1176" s="31"/>
      <ns0:c r="F1176" s="32"/>
      <ns0:c r="G1176" s="29"/>
      <ns0:c r="H1176" s="29"/>
      <ns0:c r="I1176" s="29"/>
      <ns0:c r="J1176" s="29"/>
      <ns0:c r="K1176" s="29"/>
    </ns0:row>
    <ns0:row r="1177" ht="28" customHeight="1">
      <ns0:c r="A1177" s="29"/>
      <ns0:c r="B1177" s="30"/>
      <ns0:c r="C1177" s="28"/>
      <ns0:c r="D1177" s="29"/>
      <ns0:c r="E1177" s="31"/>
      <ns0:c r="F1177" s="32"/>
      <ns0:c r="G1177" s="29"/>
      <ns0:c r="H1177" s="29"/>
      <ns0:c r="I1177" s="29"/>
      <ns0:c r="J1177" s="29"/>
      <ns0:c r="K1177" s="29"/>
    </ns0:row>
    <ns0:row r="1178" ht="28" customHeight="1">
      <ns0:c r="A1178" s="29"/>
      <ns0:c r="B1178" s="30"/>
      <ns0:c r="C1178" s="28"/>
      <ns0:c r="D1178" s="29"/>
      <ns0:c r="E1178" s="31"/>
      <ns0:c r="F1178" s="32"/>
      <ns0:c r="G1178" s="29"/>
      <ns0:c r="H1178" s="29"/>
      <ns0:c r="I1178" s="29"/>
      <ns0:c r="J1178" s="29"/>
      <ns0:c r="K1178" s="29"/>
    </ns0:row>
    <ns0:row r="1179" ht="28" customHeight="1">
      <ns0:c r="A1179" s="29"/>
      <ns0:c r="B1179" s="30"/>
      <ns0:c r="C1179" s="28"/>
      <ns0:c r="D1179" s="29"/>
      <ns0:c r="E1179" s="31"/>
      <ns0:c r="F1179" s="32"/>
      <ns0:c r="G1179" s="29"/>
      <ns0:c r="H1179" s="29"/>
      <ns0:c r="I1179" s="29"/>
      <ns0:c r="J1179" s="29"/>
      <ns0:c r="K1179" s="29"/>
    </ns0:row>
    <ns0:row r="1180" ht="28" customHeight="1">
      <ns0:c r="A1180" s="29"/>
      <ns0:c r="B1180" s="30"/>
      <ns0:c r="C1180" s="28"/>
      <ns0:c r="D1180" s="29"/>
      <ns0:c r="E1180" s="31"/>
      <ns0:c r="F1180" s="32"/>
      <ns0:c r="G1180" s="29"/>
      <ns0:c r="H1180" s="29"/>
      <ns0:c r="I1180" s="29"/>
      <ns0:c r="J1180" s="29"/>
      <ns0:c r="K1180" s="29"/>
    </ns0:row>
    <ns0:row r="1181" ht="28" customHeight="1">
      <ns0:c r="A1181" s="29"/>
      <ns0:c r="B1181" s="30"/>
      <ns0:c r="C1181" s="28"/>
      <ns0:c r="D1181" s="29"/>
      <ns0:c r="E1181" s="31"/>
      <ns0:c r="F1181" s="32"/>
      <ns0:c r="G1181" s="29"/>
      <ns0:c r="H1181" s="29"/>
      <ns0:c r="I1181" s="29"/>
      <ns0:c r="J1181" s="29"/>
      <ns0:c r="K1181" s="29"/>
    </ns0:row>
    <ns0:row r="1182" ht="28" customHeight="1">
      <ns0:c r="A1182" s="29"/>
      <ns0:c r="B1182" s="30"/>
      <ns0:c r="C1182" s="28"/>
      <ns0:c r="D1182" s="29"/>
      <ns0:c r="E1182" s="31"/>
      <ns0:c r="F1182" s="32"/>
      <ns0:c r="G1182" s="29"/>
      <ns0:c r="H1182" s="29"/>
      <ns0:c r="I1182" s="29"/>
      <ns0:c r="J1182" s="29"/>
      <ns0:c r="K1182" s="29"/>
    </ns0:row>
    <ns0:row r="1183" ht="28" customHeight="1">
      <ns0:c r="A1183" s="29"/>
      <ns0:c r="B1183" s="30"/>
      <ns0:c r="C1183" s="28"/>
      <ns0:c r="D1183" s="29"/>
      <ns0:c r="E1183" s="31"/>
      <ns0:c r="F1183" s="32"/>
      <ns0:c r="G1183" s="29"/>
      <ns0:c r="H1183" s="29"/>
      <ns0:c r="I1183" s="29"/>
      <ns0:c r="J1183" s="29"/>
      <ns0:c r="K1183" s="29"/>
    </ns0:row>
    <ns0:row r="1184" ht="28" customHeight="1">
      <ns0:c r="A1184" s="29"/>
      <ns0:c r="B1184" s="30"/>
      <ns0:c r="C1184" s="28"/>
      <ns0:c r="D1184" s="29"/>
      <ns0:c r="E1184" s="31"/>
      <ns0:c r="F1184" s="32"/>
      <ns0:c r="G1184" s="29"/>
      <ns0:c r="H1184" s="29"/>
      <ns0:c r="I1184" s="29"/>
      <ns0:c r="J1184" s="29"/>
      <ns0:c r="K1184" s="29"/>
    </ns0:row>
    <ns0:row r="1185" ht="28" customHeight="1">
      <ns0:c r="A1185" s="29"/>
      <ns0:c r="B1185" s="30"/>
      <ns0:c r="C1185" s="28"/>
      <ns0:c r="D1185" s="29"/>
      <ns0:c r="E1185" s="31"/>
      <ns0:c r="F1185" s="32"/>
      <ns0:c r="G1185" s="29"/>
      <ns0:c r="H1185" s="29"/>
      <ns0:c r="I1185" s="29"/>
      <ns0:c r="J1185" s="29"/>
      <ns0:c r="K1185" s="29"/>
    </ns0:row>
    <ns0:row r="1186" ht="28" customHeight="1">
      <ns0:c r="A1186" s="29"/>
      <ns0:c r="B1186" s="30"/>
      <ns0:c r="C1186" s="28"/>
      <ns0:c r="D1186" s="29"/>
      <ns0:c r="E1186" s="31"/>
      <ns0:c r="F1186" s="32"/>
      <ns0:c r="G1186" s="29"/>
      <ns0:c r="H1186" s="29"/>
      <ns0:c r="I1186" s="29"/>
      <ns0:c r="J1186" s="29"/>
      <ns0:c r="K1186" s="29"/>
    </ns0:row>
    <ns0:row r="1187" ht="28" customHeight="1">
      <ns0:c r="A1187" s="29"/>
      <ns0:c r="B1187" s="30"/>
      <ns0:c r="C1187" s="28"/>
      <ns0:c r="D1187" s="29"/>
      <ns0:c r="E1187" s="31"/>
      <ns0:c r="F1187" s="32"/>
      <ns0:c r="G1187" s="29"/>
      <ns0:c r="H1187" s="29"/>
      <ns0:c r="I1187" s="29"/>
      <ns0:c r="J1187" s="29"/>
      <ns0:c r="K1187" s="29"/>
    </ns0:row>
    <ns0:row r="1188" ht="28" customHeight="1">
      <ns0:c r="A1188" s="29"/>
      <ns0:c r="B1188" s="30"/>
      <ns0:c r="C1188" s="28"/>
      <ns0:c r="D1188" s="29"/>
      <ns0:c r="E1188" s="31"/>
      <ns0:c r="F1188" s="32"/>
      <ns0:c r="G1188" s="29"/>
      <ns0:c r="H1188" s="29"/>
      <ns0:c r="I1188" s="29"/>
      <ns0:c r="J1188" s="29"/>
      <ns0:c r="K1188" s="29"/>
    </ns0:row>
    <ns0:row r="1189" ht="28" customHeight="1">
      <ns0:c r="A1189" s="29"/>
      <ns0:c r="B1189" s="30"/>
      <ns0:c r="C1189" s="28"/>
      <ns0:c r="D1189" s="29"/>
      <ns0:c r="E1189" s="31"/>
      <ns0:c r="F1189" s="32"/>
      <ns0:c r="G1189" s="29"/>
      <ns0:c r="H1189" s="29"/>
      <ns0:c r="I1189" s="29"/>
      <ns0:c r="J1189" s="29"/>
      <ns0:c r="K1189" s="29"/>
    </ns0:row>
    <ns0:row r="1190" ht="28" customHeight="1">
      <ns0:c r="A1190" s="29"/>
      <ns0:c r="B1190" s="30"/>
      <ns0:c r="C1190" s="28"/>
      <ns0:c r="D1190" s="29"/>
      <ns0:c r="E1190" s="31"/>
      <ns0:c r="F1190" s="32"/>
      <ns0:c r="G1190" s="29"/>
      <ns0:c r="H1190" s="29"/>
      <ns0:c r="I1190" s="29"/>
      <ns0:c r="J1190" s="29"/>
      <ns0:c r="K1190" s="29"/>
    </ns0:row>
    <ns0:row r="1191" ht="28" customHeight="1">
      <ns0:c r="A1191" s="29"/>
      <ns0:c r="B1191" s="30"/>
      <ns0:c r="C1191" s="28"/>
      <ns0:c r="D1191" s="29"/>
      <ns0:c r="E1191" s="31"/>
      <ns0:c r="F1191" s="32"/>
      <ns0:c r="G1191" s="29"/>
      <ns0:c r="H1191" s="29"/>
      <ns0:c r="I1191" s="29"/>
      <ns0:c r="J1191" s="29"/>
      <ns0:c r="K1191" s="29"/>
    </ns0:row>
    <ns0:row r="1192" ht="28" customHeight="1">
      <ns0:c r="A1192" s="29"/>
      <ns0:c r="B1192" s="30"/>
      <ns0:c r="C1192" s="28"/>
      <ns0:c r="D1192" s="29"/>
      <ns0:c r="E1192" s="31"/>
      <ns0:c r="F1192" s="32"/>
      <ns0:c r="G1192" s="29"/>
      <ns0:c r="H1192" s="29"/>
      <ns0:c r="I1192" s="29"/>
      <ns0:c r="J1192" s="29"/>
      <ns0:c r="K1192" s="29"/>
    </ns0:row>
    <ns0:row r="1193" ht="28" customHeight="1">
      <ns0:c r="A1193" s="29"/>
      <ns0:c r="B1193" s="30"/>
      <ns0:c r="C1193" s="28"/>
      <ns0:c r="D1193" s="29"/>
      <ns0:c r="E1193" s="31"/>
      <ns0:c r="F1193" s="32"/>
      <ns0:c r="G1193" s="29"/>
      <ns0:c r="H1193" s="29"/>
      <ns0:c r="I1193" s="29"/>
      <ns0:c r="J1193" s="29"/>
      <ns0:c r="K1193" s="29"/>
    </ns0:row>
    <ns0:row r="1194" ht="28" customHeight="1">
      <ns0:c r="A1194" s="29"/>
      <ns0:c r="B1194" s="30"/>
      <ns0:c r="C1194" s="28"/>
      <ns0:c r="D1194" s="29"/>
      <ns0:c r="E1194" s="31"/>
      <ns0:c r="F1194" s="32"/>
      <ns0:c r="G1194" s="29"/>
      <ns0:c r="H1194" s="29"/>
      <ns0:c r="I1194" s="29"/>
      <ns0:c r="J1194" s="29"/>
      <ns0:c r="K1194" s="29"/>
    </ns0:row>
    <ns0:row r="1195" ht="28" customHeight="1">
      <ns0:c r="A1195" s="29"/>
      <ns0:c r="B1195" s="30"/>
      <ns0:c r="C1195" s="28"/>
      <ns0:c r="D1195" s="29"/>
      <ns0:c r="E1195" s="31"/>
      <ns0:c r="F1195" s="32"/>
      <ns0:c r="G1195" s="29"/>
      <ns0:c r="H1195" s="29"/>
      <ns0:c r="I1195" s="29"/>
      <ns0:c r="J1195" s="29"/>
      <ns0:c r="K1195" s="29"/>
    </ns0:row>
    <ns0:row r="1196" ht="28" customHeight="1">
      <ns0:c r="A1196" s="29"/>
      <ns0:c r="B1196" s="30"/>
      <ns0:c r="C1196" s="28"/>
      <ns0:c r="D1196" s="29"/>
      <ns0:c r="E1196" s="31"/>
      <ns0:c r="F1196" s="32"/>
      <ns0:c r="G1196" s="29"/>
      <ns0:c r="H1196" s="29"/>
      <ns0:c r="I1196" s="29"/>
      <ns0:c r="J1196" s="29"/>
      <ns0:c r="K1196" s="29"/>
    </ns0:row>
    <ns0:row r="1197" ht="28" customHeight="1">
      <ns0:c r="A1197" s="29"/>
      <ns0:c r="B1197" s="30"/>
      <ns0:c r="C1197" s="28"/>
      <ns0:c r="D1197" s="29"/>
      <ns0:c r="E1197" s="31"/>
      <ns0:c r="F1197" s="32"/>
      <ns0:c r="G1197" s="29"/>
      <ns0:c r="H1197" s="29"/>
      <ns0:c r="I1197" s="29"/>
      <ns0:c r="J1197" s="29"/>
      <ns0:c r="K1197" s="29"/>
    </ns0:row>
    <ns0:row r="1198" ht="28" customHeight="1">
      <ns0:c r="A1198" s="29"/>
      <ns0:c r="B1198" s="30"/>
      <ns0:c r="C1198" s="28"/>
      <ns0:c r="D1198" s="29"/>
      <ns0:c r="E1198" s="31"/>
      <ns0:c r="F1198" s="32"/>
      <ns0:c r="G1198" s="29"/>
      <ns0:c r="H1198" s="29"/>
      <ns0:c r="I1198" s="29"/>
      <ns0:c r="J1198" s="29"/>
      <ns0:c r="K1198" s="29"/>
    </ns0:row>
    <ns0:row r="1199" ht="28" customHeight="1">
      <ns0:c r="A1199" s="29"/>
      <ns0:c r="B1199" s="30"/>
      <ns0:c r="C1199" s="28"/>
      <ns0:c r="D1199" s="29"/>
      <ns0:c r="E1199" s="31"/>
      <ns0:c r="F1199" s="32"/>
      <ns0:c r="G1199" s="29"/>
      <ns0:c r="H1199" s="29"/>
      <ns0:c r="I1199" s="29"/>
      <ns0:c r="J1199" s="29"/>
      <ns0:c r="K1199" s="29"/>
    </ns0:row>
    <ns0:row r="1200" ht="28" customHeight="1">
      <ns0:c r="A1200" s="29"/>
      <ns0:c r="B1200" s="30"/>
      <ns0:c r="C1200" s="28"/>
      <ns0:c r="D1200" s="29"/>
      <ns0:c r="E1200" s="31"/>
      <ns0:c r="F1200" s="32"/>
      <ns0:c r="G1200" s="29"/>
      <ns0:c r="H1200" s="29"/>
      <ns0:c r="I1200" s="29"/>
      <ns0:c r="J1200" s="29"/>
      <ns0:c r="K1200" s="29"/>
    </ns0:row>
    <ns0:row r="1201" ht="28" customHeight="1">
      <ns0:c r="A1201" s="29"/>
      <ns0:c r="B1201" s="30"/>
      <ns0:c r="C1201" s="28"/>
      <ns0:c r="D1201" s="29"/>
      <ns0:c r="E1201" s="31"/>
      <ns0:c r="F1201" s="32"/>
      <ns0:c r="G1201" s="29"/>
      <ns0:c r="H1201" s="29"/>
      <ns0:c r="I1201" s="29"/>
      <ns0:c r="J1201" s="29"/>
      <ns0:c r="K1201" s="29"/>
    </ns0:row>
    <ns0:row r="1202" ht="28" customHeight="1">
      <ns0:c r="A1202" s="29"/>
      <ns0:c r="B1202" s="30"/>
      <ns0:c r="C1202" s="28"/>
      <ns0:c r="D1202" s="29"/>
      <ns0:c r="E1202" s="31"/>
      <ns0:c r="F1202" s="32"/>
      <ns0:c r="G1202" s="29"/>
      <ns0:c r="H1202" s="29"/>
      <ns0:c r="I1202" s="29"/>
      <ns0:c r="J1202" s="29"/>
      <ns0:c r="K1202" s="29"/>
    </ns0:row>
    <ns0:row r="1203" ht="28" customHeight="1">
      <ns0:c r="A1203" s="29"/>
      <ns0:c r="B1203" s="30"/>
      <ns0:c r="C1203" s="28"/>
      <ns0:c r="D1203" s="29"/>
      <ns0:c r="E1203" s="31"/>
      <ns0:c r="F1203" s="32"/>
      <ns0:c r="G1203" s="29"/>
      <ns0:c r="H1203" s="29"/>
      <ns0:c r="I1203" s="29"/>
      <ns0:c r="J1203" s="29"/>
      <ns0:c r="K1203" s="29"/>
    </ns0:row>
    <ns0:row r="1204" ht="28" customHeight="1">
      <ns0:c r="A1204" s="29"/>
      <ns0:c r="B1204" s="30"/>
      <ns0:c r="C1204" s="28"/>
      <ns0:c r="D1204" s="29"/>
      <ns0:c r="E1204" s="31"/>
      <ns0:c r="F1204" s="32"/>
      <ns0:c r="G1204" s="29"/>
      <ns0:c r="H1204" s="29"/>
      <ns0:c r="I1204" s="29"/>
      <ns0:c r="J1204" s="29"/>
      <ns0:c r="K1204" s="29"/>
    </ns0:row>
    <ns0:row r="1205" ht="28" customHeight="1">
      <ns0:c r="A1205" s="29"/>
      <ns0:c r="B1205" s="30"/>
      <ns0:c r="C1205" s="28"/>
      <ns0:c r="D1205" s="29"/>
      <ns0:c r="E1205" s="31"/>
      <ns0:c r="F1205" s="32"/>
      <ns0:c r="G1205" s="29"/>
      <ns0:c r="H1205" s="29"/>
      <ns0:c r="I1205" s="29"/>
      <ns0:c r="J1205" s="29"/>
      <ns0:c r="K1205" s="29"/>
    </ns0:row>
    <ns0:row r="1206" ht="28" customHeight="1">
      <ns0:c r="A1206" s="29"/>
      <ns0:c r="B1206" s="30"/>
      <ns0:c r="C1206" s="28"/>
      <ns0:c r="D1206" s="29"/>
      <ns0:c r="E1206" s="31"/>
      <ns0:c r="F1206" s="32"/>
      <ns0:c r="G1206" s="29"/>
      <ns0:c r="H1206" s="29"/>
      <ns0:c r="I1206" s="29"/>
      <ns0:c r="J1206" s="29"/>
      <ns0:c r="K1206" s="29"/>
    </ns0:row>
    <ns0:row r="1207" ht="28" customHeight="1">
      <ns0:c r="A1207" s="29"/>
      <ns0:c r="B1207" s="30"/>
      <ns0:c r="C1207" s="28"/>
      <ns0:c r="D1207" s="29"/>
      <ns0:c r="E1207" s="31"/>
      <ns0:c r="F1207" s="32"/>
      <ns0:c r="G1207" s="29"/>
      <ns0:c r="H1207" s="29"/>
      <ns0:c r="I1207" s="29"/>
      <ns0:c r="J1207" s="29"/>
      <ns0:c r="K1207" s="29"/>
    </ns0:row>
    <ns0:row r="1208" ht="28" customHeight="1">
      <ns0:c r="A1208" s="29"/>
      <ns0:c r="B1208" s="30"/>
      <ns0:c r="C1208" s="28"/>
      <ns0:c r="D1208" s="29"/>
      <ns0:c r="E1208" s="31"/>
      <ns0:c r="F1208" s="32"/>
      <ns0:c r="G1208" s="29"/>
      <ns0:c r="H1208" s="29"/>
      <ns0:c r="I1208" s="29"/>
      <ns0:c r="J1208" s="29"/>
      <ns0:c r="K1208" s="29"/>
    </ns0:row>
    <ns0:row r="1209" ht="28" customHeight="1">
      <ns0:c r="A1209" s="29"/>
      <ns0:c r="B1209" s="30"/>
      <ns0:c r="C1209" s="28"/>
      <ns0:c r="D1209" s="29"/>
      <ns0:c r="E1209" s="31"/>
      <ns0:c r="F1209" s="32"/>
      <ns0:c r="G1209" s="29"/>
      <ns0:c r="H1209" s="29"/>
      <ns0:c r="I1209" s="29"/>
      <ns0:c r="J1209" s="29"/>
      <ns0:c r="K1209" s="29"/>
    </ns0:row>
    <ns0:row r="1210" ht="28" customHeight="1">
      <ns0:c r="A1210" s="29"/>
      <ns0:c r="B1210" s="30"/>
      <ns0:c r="C1210" s="28"/>
      <ns0:c r="D1210" s="29"/>
      <ns0:c r="E1210" s="31"/>
      <ns0:c r="F1210" s="32"/>
      <ns0:c r="G1210" s="29"/>
      <ns0:c r="H1210" s="29"/>
      <ns0:c r="I1210" s="29"/>
      <ns0:c r="J1210" s="29"/>
      <ns0:c r="K1210" s="29"/>
    </ns0:row>
    <ns0:row r="1211" ht="28" customHeight="1">
      <ns0:c r="A1211" s="29"/>
      <ns0:c r="B1211" s="30"/>
      <ns0:c r="C1211" s="28"/>
      <ns0:c r="D1211" s="29"/>
      <ns0:c r="E1211" s="31"/>
      <ns0:c r="F1211" s="32"/>
      <ns0:c r="G1211" s="29"/>
      <ns0:c r="H1211" s="29"/>
      <ns0:c r="I1211" s="29"/>
      <ns0:c r="J1211" s="29"/>
      <ns0:c r="K1211" s="29"/>
    </ns0:row>
    <ns0:row r="1212" ht="28" customHeight="1">
      <ns0:c r="A1212" s="29"/>
      <ns0:c r="B1212" s="30"/>
      <ns0:c r="C1212" s="28"/>
      <ns0:c r="D1212" s="29"/>
      <ns0:c r="E1212" s="31"/>
      <ns0:c r="F1212" s="32"/>
      <ns0:c r="G1212" s="29"/>
      <ns0:c r="H1212" s="29"/>
      <ns0:c r="I1212" s="29"/>
      <ns0:c r="J1212" s="29"/>
      <ns0:c r="K1212" s="29"/>
    </ns0:row>
    <ns0:row r="1213" ht="28" customHeight="1">
      <ns0:c r="A1213" s="29"/>
      <ns0:c r="B1213" s="30"/>
      <ns0:c r="C1213" s="28"/>
      <ns0:c r="D1213" s="29"/>
      <ns0:c r="E1213" s="31"/>
      <ns0:c r="F1213" s="32"/>
      <ns0:c r="G1213" s="29"/>
      <ns0:c r="H1213" s="29"/>
      <ns0:c r="I1213" s="29"/>
      <ns0:c r="J1213" s="29"/>
      <ns0:c r="K1213" s="29"/>
    </ns0:row>
    <ns0:row r="1214" ht="28" customHeight="1">
      <ns0:c r="A1214" s="29"/>
      <ns0:c r="B1214" s="30"/>
      <ns0:c r="C1214" s="28"/>
      <ns0:c r="D1214" s="29"/>
      <ns0:c r="E1214" s="31"/>
      <ns0:c r="F1214" s="32"/>
      <ns0:c r="G1214" s="29"/>
      <ns0:c r="H1214" s="29"/>
      <ns0:c r="I1214" s="29"/>
      <ns0:c r="J1214" s="29"/>
      <ns0:c r="K1214" s="29"/>
    </ns0:row>
    <ns0:row r="1215" ht="28" customHeight="1">
      <ns0:c r="A1215" s="29"/>
      <ns0:c r="B1215" s="30"/>
      <ns0:c r="C1215" s="28"/>
      <ns0:c r="D1215" s="29"/>
      <ns0:c r="E1215" s="31"/>
      <ns0:c r="F1215" s="32"/>
      <ns0:c r="G1215" s="29"/>
      <ns0:c r="H1215" s="29"/>
      <ns0:c r="I1215" s="29"/>
      <ns0:c r="J1215" s="29"/>
      <ns0:c r="K1215" s="29"/>
    </ns0:row>
    <ns0:row r="1216" ht="28" customHeight="1">
      <ns0:c r="A1216" s="29"/>
      <ns0:c r="B1216" s="30"/>
      <ns0:c r="C1216" s="28"/>
      <ns0:c r="D1216" s="29"/>
      <ns0:c r="E1216" s="31"/>
      <ns0:c r="F1216" s="32"/>
      <ns0:c r="G1216" s="29"/>
      <ns0:c r="H1216" s="29"/>
      <ns0:c r="I1216" s="29"/>
      <ns0:c r="J1216" s="29"/>
      <ns0:c r="K1216" s="29"/>
    </ns0:row>
    <ns0:row r="1217" ht="28" customHeight="1">
      <ns0:c r="A1217" s="29"/>
      <ns0:c r="B1217" s="30"/>
      <ns0:c r="C1217" s="28"/>
      <ns0:c r="D1217" s="29"/>
      <ns0:c r="E1217" s="31"/>
      <ns0:c r="F1217" s="32"/>
      <ns0:c r="G1217" s="29"/>
      <ns0:c r="H1217" s="29"/>
      <ns0:c r="I1217" s="29"/>
      <ns0:c r="J1217" s="29"/>
      <ns0:c r="K1217" s="29"/>
    </ns0:row>
    <ns0:row r="1218" ht="28" customHeight="1">
      <ns0:c r="A1218" s="29"/>
      <ns0:c r="B1218" s="30"/>
      <ns0:c r="C1218" s="28"/>
      <ns0:c r="D1218" s="29"/>
      <ns0:c r="E1218" s="31"/>
      <ns0:c r="F1218" s="32"/>
      <ns0:c r="G1218" s="29"/>
      <ns0:c r="H1218" s="29"/>
      <ns0:c r="I1218" s="29"/>
      <ns0:c r="J1218" s="29"/>
      <ns0:c r="K1218" s="29"/>
    </ns0:row>
    <ns0:row r="1219" ht="28" customHeight="1">
      <ns0:c r="A1219" s="29"/>
      <ns0:c r="B1219" s="30"/>
      <ns0:c r="C1219" s="28"/>
      <ns0:c r="D1219" s="29"/>
      <ns0:c r="E1219" s="31"/>
      <ns0:c r="F1219" s="32"/>
      <ns0:c r="G1219" s="29"/>
      <ns0:c r="H1219" s="29"/>
      <ns0:c r="I1219" s="29"/>
      <ns0:c r="J1219" s="29"/>
      <ns0:c r="K1219" s="29"/>
    </ns0:row>
    <ns0:row r="1220" ht="28" customHeight="1">
      <ns0:c r="A1220" s="29"/>
      <ns0:c r="B1220" s="30"/>
      <ns0:c r="C1220" s="28"/>
      <ns0:c r="D1220" s="29"/>
      <ns0:c r="E1220" s="31"/>
      <ns0:c r="F1220" s="32"/>
      <ns0:c r="G1220" s="29"/>
      <ns0:c r="H1220" s="29"/>
      <ns0:c r="I1220" s="29"/>
      <ns0:c r="J1220" s="29"/>
      <ns0:c r="K1220" s="29"/>
    </ns0:row>
    <ns0:row r="1221" ht="28" customHeight="1">
      <ns0:c r="A1221" s="29"/>
      <ns0:c r="B1221" s="30"/>
      <ns0:c r="C1221" s="28"/>
      <ns0:c r="D1221" s="29"/>
      <ns0:c r="E1221" s="31"/>
      <ns0:c r="F1221" s="32"/>
      <ns0:c r="G1221" s="29"/>
      <ns0:c r="H1221" s="29"/>
      <ns0:c r="I1221" s="29"/>
      <ns0:c r="J1221" s="29"/>
      <ns0:c r="K1221" s="29"/>
    </ns0:row>
    <ns0:row r="1222" ht="28" customHeight="1">
      <ns0:c r="A1222" s="29"/>
      <ns0:c r="B1222" s="30"/>
      <ns0:c r="C1222" s="28"/>
      <ns0:c r="D1222" s="29"/>
      <ns0:c r="E1222" s="31"/>
      <ns0:c r="F1222" s="32"/>
      <ns0:c r="G1222" s="29"/>
      <ns0:c r="H1222" s="29"/>
      <ns0:c r="I1222" s="29"/>
      <ns0:c r="J1222" s="29"/>
      <ns0:c r="K1222" s="29"/>
    </ns0:row>
    <ns0:row r="1223" ht="28" customHeight="1">
      <ns0:c r="A1223" s="29"/>
      <ns0:c r="B1223" s="30"/>
      <ns0:c r="C1223" s="28"/>
      <ns0:c r="D1223" s="29"/>
      <ns0:c r="E1223" s="31"/>
      <ns0:c r="F1223" s="32"/>
      <ns0:c r="G1223" s="29"/>
      <ns0:c r="H1223" s="29"/>
      <ns0:c r="I1223" s="29"/>
      <ns0:c r="J1223" s="29"/>
      <ns0:c r="K1223" s="29"/>
    </ns0:row>
    <ns0:row r="1224" ht="28" customHeight="1">
      <ns0:c r="A1224" s="29"/>
      <ns0:c r="B1224" s="30"/>
      <ns0:c r="C1224" s="28"/>
      <ns0:c r="D1224" s="29"/>
      <ns0:c r="E1224" s="31"/>
      <ns0:c r="F1224" s="32"/>
      <ns0:c r="G1224" s="29"/>
      <ns0:c r="H1224" s="29"/>
      <ns0:c r="I1224" s="29"/>
      <ns0:c r="J1224" s="29"/>
      <ns0:c r="K1224" s="29"/>
    </ns0:row>
    <ns0:row r="1225" ht="28" customHeight="1">
      <ns0:c r="A1225" s="29"/>
      <ns0:c r="B1225" s="30"/>
      <ns0:c r="C1225" s="28"/>
      <ns0:c r="D1225" s="29"/>
      <ns0:c r="E1225" s="31"/>
      <ns0:c r="F1225" s="32"/>
      <ns0:c r="G1225" s="29"/>
      <ns0:c r="H1225" s="29"/>
      <ns0:c r="I1225" s="29"/>
      <ns0:c r="J1225" s="29"/>
      <ns0:c r="K1225" s="29"/>
    </ns0:row>
    <ns0:row r="1226" ht="28" customHeight="1">
      <ns0:c r="A1226" s="29"/>
      <ns0:c r="B1226" s="30"/>
      <ns0:c r="C1226" s="28"/>
      <ns0:c r="D1226" s="29"/>
      <ns0:c r="E1226" s="31"/>
      <ns0:c r="F1226" s="32"/>
      <ns0:c r="G1226" s="29"/>
      <ns0:c r="H1226" s="29"/>
      <ns0:c r="I1226" s="29"/>
      <ns0:c r="J1226" s="29"/>
      <ns0:c r="K1226" s="29"/>
    </ns0:row>
    <ns0:row r="1227" ht="28" customHeight="1">
      <ns0:c r="A1227" s="29"/>
      <ns0:c r="B1227" s="30"/>
      <ns0:c r="C1227" s="28"/>
      <ns0:c r="D1227" s="29"/>
      <ns0:c r="E1227" s="31"/>
      <ns0:c r="F1227" s="32"/>
      <ns0:c r="G1227" s="29"/>
      <ns0:c r="H1227" s="29"/>
      <ns0:c r="I1227" s="29"/>
      <ns0:c r="J1227" s="29"/>
      <ns0:c r="K1227" s="29"/>
    </ns0:row>
    <ns0:row r="1228" ht="28" customHeight="1">
      <ns0:c r="A1228" s="29"/>
      <ns0:c r="B1228" s="30"/>
      <ns0:c r="C1228" s="28"/>
      <ns0:c r="D1228" s="29"/>
      <ns0:c r="E1228" s="31"/>
      <ns0:c r="F1228" s="32"/>
      <ns0:c r="G1228" s="29"/>
      <ns0:c r="H1228" s="29"/>
      <ns0:c r="I1228" s="29"/>
      <ns0:c r="J1228" s="29"/>
      <ns0:c r="K1228" s="29"/>
    </ns0:row>
    <ns0:row r="1229" ht="28" customHeight="1">
      <ns0:c r="A1229" s="29"/>
      <ns0:c r="B1229" s="30"/>
      <ns0:c r="C1229" s="28"/>
      <ns0:c r="D1229" s="29"/>
      <ns0:c r="E1229" s="31"/>
      <ns0:c r="F1229" s="32"/>
      <ns0:c r="G1229" s="29"/>
      <ns0:c r="H1229" s="29"/>
      <ns0:c r="I1229" s="29"/>
      <ns0:c r="J1229" s="29"/>
      <ns0:c r="K1229" s="29"/>
    </ns0:row>
    <ns0:row r="1230" ht="28" customHeight="1">
      <ns0:c r="A1230" s="29"/>
      <ns0:c r="B1230" s="30"/>
      <ns0:c r="C1230" s="28"/>
      <ns0:c r="D1230" s="29"/>
      <ns0:c r="E1230" s="31"/>
      <ns0:c r="F1230" s="32"/>
      <ns0:c r="G1230" s="29"/>
      <ns0:c r="H1230" s="29"/>
      <ns0:c r="I1230" s="29"/>
      <ns0:c r="J1230" s="29"/>
      <ns0:c r="K1230" s="29"/>
    </ns0:row>
    <ns0:row r="1231" ht="28" customHeight="1">
      <ns0:c r="A1231" s="29"/>
      <ns0:c r="B1231" s="30"/>
      <ns0:c r="C1231" s="28"/>
      <ns0:c r="D1231" s="29"/>
      <ns0:c r="E1231" s="31"/>
      <ns0:c r="F1231" s="32"/>
      <ns0:c r="G1231" s="29"/>
      <ns0:c r="H1231" s="29"/>
      <ns0:c r="I1231" s="29"/>
      <ns0:c r="J1231" s="29"/>
      <ns0:c r="K1231" s="29"/>
    </ns0:row>
    <ns0:row r="1232" ht="28" customHeight="1">
      <ns0:c r="A1232" s="29"/>
      <ns0:c r="B1232" s="30"/>
      <ns0:c r="C1232" s="28"/>
      <ns0:c r="D1232" s="29"/>
      <ns0:c r="E1232" s="31"/>
      <ns0:c r="F1232" s="32"/>
      <ns0:c r="G1232" s="29"/>
      <ns0:c r="H1232" s="29"/>
      <ns0:c r="I1232" s="29"/>
      <ns0:c r="J1232" s="29"/>
      <ns0:c r="K1232" s="29"/>
    </ns0:row>
    <ns0:row r="1233" ht="28" customHeight="1">
      <ns0:c r="A1233" s="29"/>
      <ns0:c r="B1233" s="30"/>
      <ns0:c r="C1233" s="28"/>
      <ns0:c r="D1233" s="29"/>
      <ns0:c r="E1233" s="31"/>
      <ns0:c r="F1233" s="32"/>
      <ns0:c r="G1233" s="29"/>
      <ns0:c r="H1233" s="29"/>
      <ns0:c r="I1233" s="29"/>
      <ns0:c r="J1233" s="29"/>
      <ns0:c r="K1233" s="29"/>
    </ns0:row>
    <ns0:row r="1234" ht="28" customHeight="1">
      <ns0:c r="A1234" s="29"/>
      <ns0:c r="B1234" s="30"/>
      <ns0:c r="C1234" s="28"/>
      <ns0:c r="D1234" s="29"/>
      <ns0:c r="E1234" s="31"/>
      <ns0:c r="F1234" s="32"/>
      <ns0:c r="G1234" s="29"/>
      <ns0:c r="H1234" s="29"/>
      <ns0:c r="I1234" s="29"/>
      <ns0:c r="J1234" s="29"/>
      <ns0:c r="K1234" s="29"/>
    </ns0:row>
    <ns0:row r="1235" ht="28" customHeight="1">
      <ns0:c r="A1235" s="29"/>
      <ns0:c r="B1235" s="30"/>
      <ns0:c r="C1235" s="28"/>
      <ns0:c r="D1235" s="29"/>
      <ns0:c r="E1235" s="31"/>
      <ns0:c r="F1235" s="32"/>
      <ns0:c r="G1235" s="29"/>
      <ns0:c r="H1235" s="29"/>
      <ns0:c r="I1235" s="29"/>
      <ns0:c r="J1235" s="29"/>
      <ns0:c r="K1235" s="29"/>
    </ns0:row>
    <ns0:row r="1236" ht="28" customHeight="1">
      <ns0:c r="A1236" s="29"/>
      <ns0:c r="B1236" s="30"/>
      <ns0:c r="C1236" s="28"/>
      <ns0:c r="D1236" s="29"/>
      <ns0:c r="E1236" s="31"/>
      <ns0:c r="F1236" s="32"/>
      <ns0:c r="G1236" s="29"/>
      <ns0:c r="H1236" s="29"/>
      <ns0:c r="I1236" s="29"/>
      <ns0:c r="J1236" s="29"/>
      <ns0:c r="K1236" s="29"/>
    </ns0:row>
    <ns0:row r="1237" ht="28" customHeight="1">
      <ns0:c r="A1237" s="29"/>
      <ns0:c r="B1237" s="30"/>
      <ns0:c r="C1237" s="28"/>
      <ns0:c r="D1237" s="29"/>
      <ns0:c r="E1237" s="31"/>
      <ns0:c r="F1237" s="32"/>
      <ns0:c r="G1237" s="29"/>
      <ns0:c r="H1237" s="29"/>
      <ns0:c r="I1237" s="29"/>
      <ns0:c r="J1237" s="29"/>
      <ns0:c r="K1237" s="29"/>
    </ns0:row>
    <ns0:row r="1238" ht="28" customHeight="1">
      <ns0:c r="A1238" s="29"/>
      <ns0:c r="B1238" s="30"/>
      <ns0:c r="C1238" s="28"/>
      <ns0:c r="D1238" s="29"/>
      <ns0:c r="E1238" s="31"/>
      <ns0:c r="F1238" s="32"/>
      <ns0:c r="G1238" s="29"/>
      <ns0:c r="H1238" s="29"/>
      <ns0:c r="I1238" s="29"/>
      <ns0:c r="J1238" s="29"/>
      <ns0:c r="K1238" s="29"/>
    </ns0:row>
    <ns0:row r="1239" ht="28" customHeight="1">
      <ns0:c r="A1239" s="29"/>
      <ns0:c r="B1239" s="30"/>
      <ns0:c r="C1239" s="28"/>
      <ns0:c r="D1239" s="29"/>
      <ns0:c r="E1239" s="31"/>
      <ns0:c r="F1239" s="32"/>
      <ns0:c r="G1239" s="29"/>
      <ns0:c r="H1239" s="29"/>
      <ns0:c r="I1239" s="29"/>
      <ns0:c r="J1239" s="29"/>
      <ns0:c r="K1239" s="29"/>
    </ns0:row>
    <ns0:row r="1240" ht="28" customHeight="1">
      <ns0:c r="A1240" s="29"/>
      <ns0:c r="B1240" s="30"/>
      <ns0:c r="C1240" s="28"/>
      <ns0:c r="D1240" s="29"/>
      <ns0:c r="E1240" s="31"/>
      <ns0:c r="F1240" s="32"/>
      <ns0:c r="G1240" s="29"/>
      <ns0:c r="H1240" s="29"/>
      <ns0:c r="I1240" s="29"/>
      <ns0:c r="J1240" s="29"/>
      <ns0:c r="K1240" s="29"/>
    </ns0:row>
    <ns0:row r="1241" ht="28" customHeight="1">
      <ns0:c r="A1241" s="29"/>
      <ns0:c r="B1241" s="30"/>
      <ns0:c r="C1241" s="28"/>
      <ns0:c r="D1241" s="29"/>
      <ns0:c r="E1241" s="31"/>
      <ns0:c r="F1241" s="32"/>
      <ns0:c r="G1241" s="29"/>
      <ns0:c r="H1241" s="29"/>
      <ns0:c r="I1241" s="29"/>
      <ns0:c r="J1241" s="29"/>
      <ns0:c r="K1241" s="29"/>
    </ns0:row>
    <ns0:row r="1242" ht="28" customHeight="1">
      <ns0:c r="A1242" s="29"/>
      <ns0:c r="B1242" s="30"/>
      <ns0:c r="C1242" s="28"/>
      <ns0:c r="D1242" s="29"/>
      <ns0:c r="E1242" s="31"/>
      <ns0:c r="F1242" s="32"/>
      <ns0:c r="G1242" s="29"/>
      <ns0:c r="H1242" s="29"/>
      <ns0:c r="I1242" s="29"/>
      <ns0:c r="J1242" s="29"/>
      <ns0:c r="K1242" s="29"/>
    </ns0:row>
    <ns0:row r="1243" ht="28" customHeight="1">
      <ns0:c r="A1243" s="29"/>
      <ns0:c r="B1243" s="30"/>
      <ns0:c r="C1243" s="28"/>
      <ns0:c r="D1243" s="29"/>
      <ns0:c r="E1243" s="31"/>
      <ns0:c r="F1243" s="32"/>
      <ns0:c r="G1243" s="29"/>
      <ns0:c r="H1243" s="29"/>
      <ns0:c r="I1243" s="29"/>
      <ns0:c r="J1243" s="29"/>
      <ns0:c r="K1243" s="29"/>
    </ns0:row>
    <ns0:row r="1244" ht="28" customHeight="1">
      <ns0:c r="A1244" s="29"/>
      <ns0:c r="B1244" s="30"/>
      <ns0:c r="C1244" s="28"/>
      <ns0:c r="D1244" s="29"/>
      <ns0:c r="E1244" s="31"/>
      <ns0:c r="F1244" s="32"/>
      <ns0:c r="G1244" s="29"/>
      <ns0:c r="H1244" s="29"/>
      <ns0:c r="I1244" s="29"/>
      <ns0:c r="J1244" s="29"/>
      <ns0:c r="K1244" s="29"/>
    </ns0:row>
    <ns0:row r="1245" ht="28" customHeight="1">
      <ns0:c r="A1245" s="29"/>
      <ns0:c r="B1245" s="30"/>
      <ns0:c r="C1245" s="28"/>
      <ns0:c r="D1245" s="29"/>
      <ns0:c r="E1245" s="31"/>
      <ns0:c r="F1245" s="32"/>
      <ns0:c r="G1245" s="29"/>
      <ns0:c r="H1245" s="29"/>
      <ns0:c r="I1245" s="29"/>
      <ns0:c r="J1245" s="29"/>
      <ns0:c r="K1245" s="29"/>
    </ns0:row>
    <ns0:row r="1246" ht="28" customHeight="1">
      <ns0:c r="A1246" s="29"/>
      <ns0:c r="B1246" s="30"/>
      <ns0:c r="C1246" s="28"/>
      <ns0:c r="D1246" s="29"/>
      <ns0:c r="E1246" s="31"/>
      <ns0:c r="F1246" s="32"/>
      <ns0:c r="G1246" s="29"/>
      <ns0:c r="H1246" s="29"/>
      <ns0:c r="I1246" s="29"/>
      <ns0:c r="J1246" s="29"/>
      <ns0:c r="K1246" s="29"/>
    </ns0:row>
    <ns0:row r="1247" ht="28" customHeight="1">
      <ns0:c r="A1247" s="29"/>
      <ns0:c r="B1247" s="30"/>
      <ns0:c r="C1247" s="28"/>
      <ns0:c r="D1247" s="29"/>
      <ns0:c r="E1247" s="31"/>
      <ns0:c r="F1247" s="32"/>
      <ns0:c r="G1247" s="29"/>
      <ns0:c r="H1247" s="29"/>
      <ns0:c r="I1247" s="29"/>
      <ns0:c r="J1247" s="29"/>
      <ns0:c r="K1247" s="29"/>
    </ns0:row>
    <ns0:row r="1248" ht="28" customHeight="1">
      <ns0:c r="A1248" s="29"/>
      <ns0:c r="B1248" s="30"/>
      <ns0:c r="C1248" s="28"/>
      <ns0:c r="D1248" s="29"/>
      <ns0:c r="E1248" s="31"/>
      <ns0:c r="F1248" s="32"/>
      <ns0:c r="G1248" s="29"/>
      <ns0:c r="H1248" s="29"/>
      <ns0:c r="I1248" s="29"/>
      <ns0:c r="J1248" s="29"/>
      <ns0:c r="K1248" s="29"/>
    </ns0:row>
    <ns0:row r="1249" ht="28" customHeight="1">
      <ns0:c r="A1249" s="29"/>
      <ns0:c r="B1249" s="30"/>
      <ns0:c r="C1249" s="28"/>
      <ns0:c r="D1249" s="29"/>
      <ns0:c r="E1249" s="31"/>
      <ns0:c r="F1249" s="32"/>
      <ns0:c r="G1249" s="29"/>
      <ns0:c r="H1249" s="29"/>
      <ns0:c r="I1249" s="29"/>
      <ns0:c r="J1249" s="29"/>
      <ns0:c r="K1249" s="29"/>
    </ns0:row>
    <ns0:row r="1250" ht="28" customHeight="1">
      <ns0:c r="A1250" s="29"/>
      <ns0:c r="B1250" s="30"/>
      <ns0:c r="C1250" s="28"/>
      <ns0:c r="D1250" s="29"/>
      <ns0:c r="E1250" s="31"/>
      <ns0:c r="F1250" s="32"/>
      <ns0:c r="G1250" s="29"/>
      <ns0:c r="H1250" s="29"/>
      <ns0:c r="I1250" s="29"/>
      <ns0:c r="J1250" s="29"/>
      <ns0:c r="K1250" s="29"/>
    </ns0:row>
    <ns0:row r="1251" ht="28" customHeight="1">
      <ns0:c r="A1251" s="29"/>
      <ns0:c r="B1251" s="30"/>
      <ns0:c r="C1251" s="28"/>
      <ns0:c r="D1251" s="29"/>
      <ns0:c r="E1251" s="31"/>
      <ns0:c r="F1251" s="32"/>
      <ns0:c r="G1251" s="29"/>
      <ns0:c r="H1251" s="29"/>
      <ns0:c r="I1251" s="29"/>
      <ns0:c r="J1251" s="29"/>
      <ns0:c r="K1251" s="29"/>
    </ns0:row>
    <ns0:row r="1252" ht="28" customHeight="1">
      <ns0:c r="A1252" s="29"/>
      <ns0:c r="B1252" s="30"/>
      <ns0:c r="C1252" s="28"/>
      <ns0:c r="D1252" s="29"/>
      <ns0:c r="E1252" s="31"/>
      <ns0:c r="F1252" s="32"/>
      <ns0:c r="G1252" s="29"/>
      <ns0:c r="H1252" s="29"/>
      <ns0:c r="I1252" s="29"/>
      <ns0:c r="J1252" s="29"/>
      <ns0:c r="K1252" s="29"/>
    </ns0:row>
    <ns0:row r="1253" ht="28" customHeight="1">
      <ns0:c r="A1253" s="29"/>
      <ns0:c r="B1253" s="30"/>
      <ns0:c r="C1253" s="28"/>
      <ns0:c r="D1253" s="29"/>
      <ns0:c r="E1253" s="31"/>
      <ns0:c r="F1253" s="32"/>
      <ns0:c r="G1253" s="29"/>
      <ns0:c r="H1253" s="29"/>
      <ns0:c r="I1253" s="29"/>
      <ns0:c r="J1253" s="29"/>
      <ns0:c r="K1253" s="29"/>
    </ns0:row>
    <ns0:row r="1254" ht="28" customHeight="1">
      <ns0:c r="A1254" s="29"/>
      <ns0:c r="B1254" s="30"/>
      <ns0:c r="C1254" s="28"/>
      <ns0:c r="D1254" s="29"/>
      <ns0:c r="E1254" s="31"/>
      <ns0:c r="F1254" s="32"/>
      <ns0:c r="G1254" s="29"/>
      <ns0:c r="H1254" s="29"/>
      <ns0:c r="I1254" s="29"/>
      <ns0:c r="J1254" s="29"/>
      <ns0:c r="K1254" s="29"/>
    </ns0:row>
    <ns0:row r="1255" ht="28" customHeight="1">
      <ns0:c r="A1255" s="29"/>
      <ns0:c r="B1255" s="30"/>
      <ns0:c r="C1255" s="28"/>
      <ns0:c r="D1255" s="29"/>
      <ns0:c r="E1255" s="31"/>
      <ns0:c r="F1255" s="32"/>
      <ns0:c r="G1255" s="29"/>
      <ns0:c r="H1255" s="29"/>
      <ns0:c r="I1255" s="29"/>
      <ns0:c r="J1255" s="29"/>
      <ns0:c r="K1255" s="29"/>
    </ns0:row>
    <ns0:row r="1256" ht="28" customHeight="1">
      <ns0:c r="A1256" s="29"/>
      <ns0:c r="B1256" s="30"/>
      <ns0:c r="C1256" s="28"/>
      <ns0:c r="D1256" s="29"/>
      <ns0:c r="E1256" s="31"/>
      <ns0:c r="F1256" s="32"/>
      <ns0:c r="G1256" s="29"/>
      <ns0:c r="H1256" s="29"/>
      <ns0:c r="I1256" s="29"/>
      <ns0:c r="J1256" s="29"/>
      <ns0:c r="K1256" s="29"/>
    </ns0:row>
    <ns0:row r="1257" ht="28" customHeight="1">
      <ns0:c r="A1257" s="29"/>
      <ns0:c r="B1257" s="30"/>
      <ns0:c r="C1257" s="28"/>
      <ns0:c r="D1257" s="29"/>
      <ns0:c r="E1257" s="31"/>
      <ns0:c r="F1257" s="32"/>
      <ns0:c r="G1257" s="29"/>
      <ns0:c r="H1257" s="29"/>
      <ns0:c r="I1257" s="29"/>
      <ns0:c r="J1257" s="29"/>
      <ns0:c r="K1257" s="29"/>
    </ns0:row>
    <ns0:row r="1258" ht="28" customHeight="1">
      <ns0:c r="A1258" s="29"/>
      <ns0:c r="B1258" s="30"/>
      <ns0:c r="C1258" s="28"/>
      <ns0:c r="D1258" s="29"/>
      <ns0:c r="E1258" s="31"/>
      <ns0:c r="F1258" s="32"/>
      <ns0:c r="G1258" s="29"/>
      <ns0:c r="H1258" s="29"/>
      <ns0:c r="I1258" s="29"/>
      <ns0:c r="J1258" s="29"/>
      <ns0:c r="K1258" s="29"/>
    </ns0:row>
    <ns0:row r="1259" ht="28" customHeight="1">
      <ns0:c r="A1259" s="29"/>
      <ns0:c r="B1259" s="30"/>
      <ns0:c r="C1259" s="28"/>
      <ns0:c r="D1259" s="29"/>
      <ns0:c r="E1259" s="31"/>
      <ns0:c r="F1259" s="32"/>
      <ns0:c r="G1259" s="29"/>
      <ns0:c r="H1259" s="29"/>
      <ns0:c r="I1259" s="29"/>
      <ns0:c r="J1259" s="29"/>
      <ns0:c r="K1259" s="29"/>
    </ns0:row>
    <ns0:row r="1260" ht="28" customHeight="1">
      <ns0:c r="A1260" s="29"/>
      <ns0:c r="B1260" s="30"/>
      <ns0:c r="C1260" s="28"/>
      <ns0:c r="D1260" s="29"/>
      <ns0:c r="E1260" s="31"/>
      <ns0:c r="F1260" s="32"/>
      <ns0:c r="G1260" s="29"/>
      <ns0:c r="H1260" s="29"/>
      <ns0:c r="I1260" s="29"/>
      <ns0:c r="J1260" s="29"/>
      <ns0:c r="K1260" s="29"/>
    </ns0:row>
    <ns0:row r="1261" ht="28" customHeight="1">
      <ns0:c r="A1261" s="29"/>
      <ns0:c r="B1261" s="30"/>
      <ns0:c r="C1261" s="28"/>
      <ns0:c r="D1261" s="29"/>
      <ns0:c r="E1261" s="31"/>
      <ns0:c r="F1261" s="32"/>
      <ns0:c r="G1261" s="29"/>
      <ns0:c r="H1261" s="29"/>
      <ns0:c r="I1261" s="29"/>
      <ns0:c r="J1261" s="29"/>
      <ns0:c r="K1261" s="29"/>
    </ns0:row>
    <ns0:row r="1262" ht="28" customHeight="1">
      <ns0:c r="A1262" s="29"/>
      <ns0:c r="B1262" s="30"/>
      <ns0:c r="C1262" s="28"/>
      <ns0:c r="D1262" s="29"/>
      <ns0:c r="E1262" s="31"/>
      <ns0:c r="F1262" s="32"/>
      <ns0:c r="G1262" s="29"/>
      <ns0:c r="H1262" s="29"/>
      <ns0:c r="I1262" s="29"/>
      <ns0:c r="J1262" s="29"/>
      <ns0:c r="K1262" s="29"/>
    </ns0:row>
    <ns0:row r="1263" ht="28" customHeight="1">
      <ns0:c r="A1263" s="29"/>
      <ns0:c r="B1263" s="30"/>
      <ns0:c r="C1263" s="28"/>
      <ns0:c r="D1263" s="29"/>
      <ns0:c r="E1263" s="31"/>
      <ns0:c r="F1263" s="32"/>
      <ns0:c r="G1263" s="29"/>
      <ns0:c r="H1263" s="29"/>
      <ns0:c r="I1263" s="29"/>
      <ns0:c r="J1263" s="29"/>
      <ns0:c r="K1263" s="29"/>
    </ns0:row>
    <ns0:row r="1264" ht="28" customHeight="1">
      <ns0:c r="A1264" s="29"/>
      <ns0:c r="B1264" s="30"/>
      <ns0:c r="C1264" s="28"/>
      <ns0:c r="D1264" s="29"/>
      <ns0:c r="E1264" s="31"/>
      <ns0:c r="F1264" s="32"/>
      <ns0:c r="G1264" s="29"/>
      <ns0:c r="H1264" s="29"/>
      <ns0:c r="I1264" s="29"/>
      <ns0:c r="J1264" s="29"/>
      <ns0:c r="K1264" s="29"/>
    </ns0:row>
    <ns0:row r="1265" ht="28" customHeight="1">
      <ns0:c r="A1265" s="29"/>
      <ns0:c r="B1265" s="30"/>
      <ns0:c r="C1265" s="28"/>
      <ns0:c r="D1265" s="29"/>
      <ns0:c r="E1265" s="31"/>
      <ns0:c r="F1265" s="32"/>
      <ns0:c r="G1265" s="29"/>
      <ns0:c r="H1265" s="29"/>
      <ns0:c r="I1265" s="29"/>
      <ns0:c r="J1265" s="29"/>
      <ns0:c r="K1265" s="29"/>
    </ns0:row>
    <ns0:row r="1266" ht="28" customHeight="1">
      <ns0:c r="A1266" s="29"/>
      <ns0:c r="B1266" s="30"/>
      <ns0:c r="C1266" s="28"/>
      <ns0:c r="D1266" s="29"/>
      <ns0:c r="E1266" s="31"/>
      <ns0:c r="F1266" s="32"/>
      <ns0:c r="G1266" s="29"/>
      <ns0:c r="H1266" s="29"/>
      <ns0:c r="I1266" s="29"/>
      <ns0:c r="J1266" s="29"/>
      <ns0:c r="K1266" s="29"/>
    </ns0:row>
    <ns0:row r="1267" ht="28" customHeight="1">
      <ns0:c r="A1267" s="29"/>
      <ns0:c r="B1267" s="30"/>
      <ns0:c r="C1267" s="28"/>
      <ns0:c r="D1267" s="29"/>
      <ns0:c r="E1267" s="31"/>
      <ns0:c r="F1267" s="32"/>
      <ns0:c r="G1267" s="29"/>
      <ns0:c r="H1267" s="29"/>
      <ns0:c r="I1267" s="29"/>
      <ns0:c r="J1267" s="29"/>
      <ns0:c r="K1267" s="29"/>
    </ns0:row>
    <ns0:row r="1268" ht="28" customHeight="1">
      <ns0:c r="A1268" s="29"/>
      <ns0:c r="B1268" s="30"/>
      <ns0:c r="C1268" s="28"/>
      <ns0:c r="D1268" s="29"/>
      <ns0:c r="E1268" s="31"/>
      <ns0:c r="F1268" s="32"/>
      <ns0:c r="G1268" s="29"/>
      <ns0:c r="H1268" s="29"/>
      <ns0:c r="I1268" s="29"/>
      <ns0:c r="J1268" s="29"/>
      <ns0:c r="K1268" s="29"/>
    </ns0:row>
    <ns0:row r="1269" ht="28" customHeight="1">
      <ns0:c r="A1269" s="29"/>
      <ns0:c r="B1269" s="30"/>
      <ns0:c r="C1269" s="28"/>
      <ns0:c r="D1269" s="29"/>
      <ns0:c r="E1269" s="31"/>
      <ns0:c r="F1269" s="32"/>
      <ns0:c r="G1269" s="29"/>
      <ns0:c r="H1269" s="29"/>
      <ns0:c r="I1269" s="29"/>
      <ns0:c r="J1269" s="29"/>
      <ns0:c r="K1269" s="29"/>
    </ns0:row>
    <ns0:row r="1270" ht="28" customHeight="1">
      <ns0:c r="A1270" s="29"/>
      <ns0:c r="B1270" s="30"/>
      <ns0:c r="C1270" s="28"/>
      <ns0:c r="D1270" s="29"/>
      <ns0:c r="E1270" s="31"/>
      <ns0:c r="F1270" s="32"/>
      <ns0:c r="G1270" s="29"/>
      <ns0:c r="H1270" s="29"/>
      <ns0:c r="I1270" s="29"/>
      <ns0:c r="J1270" s="29"/>
      <ns0:c r="K1270" s="29"/>
    </ns0:row>
    <ns0:row r="1271" ht="28" customHeight="1">
      <ns0:c r="A1271" s="29"/>
      <ns0:c r="B1271" s="30"/>
      <ns0:c r="C1271" s="28"/>
      <ns0:c r="D1271" s="29"/>
      <ns0:c r="E1271" s="31"/>
      <ns0:c r="F1271" s="32"/>
      <ns0:c r="G1271" s="29"/>
      <ns0:c r="H1271" s="29"/>
      <ns0:c r="I1271" s="29"/>
      <ns0:c r="J1271" s="29"/>
      <ns0:c r="K1271" s="29"/>
    </ns0:row>
    <ns0:row r="1272" ht="28" customHeight="1">
      <ns0:c r="A1272" s="29"/>
      <ns0:c r="B1272" s="30"/>
      <ns0:c r="C1272" s="28"/>
      <ns0:c r="D1272" s="29"/>
      <ns0:c r="E1272" s="31"/>
      <ns0:c r="F1272" s="32"/>
      <ns0:c r="G1272" s="29"/>
      <ns0:c r="H1272" s="29"/>
      <ns0:c r="I1272" s="29"/>
      <ns0:c r="J1272" s="29"/>
      <ns0:c r="K1272" s="29"/>
    </ns0:row>
    <ns0:row r="1273" ht="28" customHeight="1">
      <ns0:c r="A1273" s="29"/>
      <ns0:c r="B1273" s="30"/>
      <ns0:c r="C1273" s="28"/>
      <ns0:c r="D1273" s="29"/>
      <ns0:c r="E1273" s="31"/>
      <ns0:c r="F1273" s="32"/>
      <ns0:c r="G1273" s="29"/>
      <ns0:c r="H1273" s="29"/>
      <ns0:c r="I1273" s="29"/>
      <ns0:c r="J1273" s="29"/>
      <ns0:c r="K1273" s="29"/>
    </ns0:row>
    <ns0:row r="1274" ht="28" customHeight="1">
      <ns0:c r="A1274" s="29"/>
      <ns0:c r="B1274" s="30"/>
      <ns0:c r="C1274" s="28"/>
      <ns0:c r="D1274" s="29"/>
      <ns0:c r="E1274" s="31"/>
      <ns0:c r="F1274" s="32"/>
      <ns0:c r="G1274" s="29"/>
      <ns0:c r="H1274" s="29"/>
      <ns0:c r="I1274" s="29"/>
      <ns0:c r="J1274" s="29"/>
      <ns0:c r="K1274" s="29"/>
    </ns0:row>
    <ns0:row r="1275" ht="28" customHeight="1">
      <ns0:c r="A1275" s="29"/>
      <ns0:c r="B1275" s="30"/>
      <ns0:c r="C1275" s="28"/>
      <ns0:c r="D1275" s="29"/>
      <ns0:c r="E1275" s="31"/>
      <ns0:c r="F1275" s="32"/>
      <ns0:c r="G1275" s="29"/>
      <ns0:c r="H1275" s="29"/>
      <ns0:c r="I1275" s="29"/>
      <ns0:c r="J1275" s="29"/>
      <ns0:c r="K1275" s="29"/>
    </ns0:row>
    <ns0:row r="1276" ht="28" customHeight="1">
      <ns0:c r="A1276" s="29"/>
      <ns0:c r="B1276" s="30"/>
      <ns0:c r="C1276" s="28"/>
      <ns0:c r="D1276" s="29"/>
      <ns0:c r="E1276" s="31"/>
      <ns0:c r="F1276" s="32"/>
      <ns0:c r="G1276" s="29"/>
      <ns0:c r="H1276" s="29"/>
      <ns0:c r="I1276" s="29"/>
      <ns0:c r="J1276" s="29"/>
      <ns0:c r="K1276" s="29"/>
    </ns0:row>
    <ns0:row r="1277" ht="28" customHeight="1">
      <ns0:c r="A1277" s="29"/>
      <ns0:c r="B1277" s="30"/>
      <ns0:c r="C1277" s="28"/>
      <ns0:c r="D1277" s="29"/>
      <ns0:c r="E1277" s="31"/>
      <ns0:c r="F1277" s="32"/>
      <ns0:c r="G1277" s="29"/>
      <ns0:c r="H1277" s="29"/>
      <ns0:c r="I1277" s="29"/>
      <ns0:c r="J1277" s="29"/>
      <ns0:c r="K1277" s="29"/>
    </ns0:row>
    <ns0:row r="1278" ht="28" customHeight="1">
      <ns0:c r="A1278" s="29"/>
      <ns0:c r="B1278" s="30"/>
      <ns0:c r="C1278" s="28"/>
      <ns0:c r="D1278" s="29"/>
      <ns0:c r="E1278" s="31"/>
      <ns0:c r="F1278" s="32"/>
      <ns0:c r="G1278" s="29"/>
      <ns0:c r="H1278" s="29"/>
      <ns0:c r="I1278" s="29"/>
      <ns0:c r="J1278" s="29"/>
      <ns0:c r="K1278" s="29"/>
    </ns0:row>
    <ns0:row r="1279" ht="28" customHeight="1">
      <ns0:c r="A1279" s="29"/>
      <ns0:c r="B1279" s="30"/>
      <ns0:c r="C1279" s="28"/>
      <ns0:c r="D1279" s="29"/>
      <ns0:c r="E1279" s="31"/>
      <ns0:c r="F1279" s="32"/>
      <ns0:c r="G1279" s="29"/>
      <ns0:c r="H1279" s="29"/>
      <ns0:c r="I1279" s="29"/>
      <ns0:c r="J1279" s="29"/>
      <ns0:c r="K1279" s="29"/>
    </ns0:row>
    <ns0:row r="1280" ht="28" customHeight="1">
      <ns0:c r="A1280" s="29"/>
      <ns0:c r="B1280" s="30"/>
      <ns0:c r="C1280" s="28"/>
      <ns0:c r="D1280" s="29"/>
      <ns0:c r="E1280" s="31"/>
      <ns0:c r="F1280" s="32"/>
      <ns0:c r="G1280" s="29"/>
      <ns0:c r="H1280" s="29"/>
      <ns0:c r="I1280" s="29"/>
      <ns0:c r="J1280" s="29"/>
      <ns0:c r="K1280" s="29"/>
    </ns0:row>
    <ns0:row r="1281" ht="28" customHeight="1">
      <ns0:c r="A1281" s="29"/>
      <ns0:c r="B1281" s="30"/>
      <ns0:c r="C1281" s="28"/>
      <ns0:c r="D1281" s="29"/>
      <ns0:c r="E1281" s="31"/>
      <ns0:c r="F1281" s="32"/>
      <ns0:c r="G1281" s="29"/>
      <ns0:c r="H1281" s="29"/>
      <ns0:c r="I1281" s="29"/>
      <ns0:c r="J1281" s="29"/>
      <ns0:c r="K1281" s="29"/>
    </ns0:row>
    <ns0:row r="1282" ht="28" customHeight="1">
      <ns0:c r="A1282" s="29"/>
      <ns0:c r="B1282" s="30"/>
      <ns0:c r="C1282" s="28"/>
      <ns0:c r="D1282" s="29"/>
      <ns0:c r="E1282" s="31"/>
      <ns0:c r="F1282" s="32"/>
      <ns0:c r="G1282" s="29"/>
      <ns0:c r="H1282" s="29"/>
      <ns0:c r="I1282" s="29"/>
      <ns0:c r="J1282" s="29"/>
      <ns0:c r="K1282" s="29"/>
    </ns0:row>
    <ns0:row r="1283" ht="28" customHeight="1">
      <ns0:c r="A1283" s="29"/>
      <ns0:c r="B1283" s="30"/>
      <ns0:c r="C1283" s="28"/>
      <ns0:c r="D1283" s="29"/>
      <ns0:c r="E1283" s="31"/>
      <ns0:c r="F1283" s="32"/>
      <ns0:c r="G1283" s="29"/>
      <ns0:c r="H1283" s="29"/>
      <ns0:c r="I1283" s="29"/>
      <ns0:c r="J1283" s="29"/>
      <ns0:c r="K1283" s="29"/>
    </ns0:row>
    <ns0:row r="1284" ht="28" customHeight="1">
      <ns0:c r="A1284" s="29"/>
      <ns0:c r="B1284" s="30"/>
      <ns0:c r="C1284" s="28"/>
      <ns0:c r="D1284" s="29"/>
      <ns0:c r="E1284" s="31"/>
      <ns0:c r="F1284" s="32"/>
      <ns0:c r="G1284" s="29"/>
      <ns0:c r="H1284" s="29"/>
      <ns0:c r="I1284" s="29"/>
      <ns0:c r="J1284" s="29"/>
      <ns0:c r="K1284" s="29"/>
    </ns0:row>
    <ns0:row r="1285" ht="28" customHeight="1">
      <ns0:c r="A1285" s="29"/>
      <ns0:c r="B1285" s="30"/>
      <ns0:c r="C1285" s="28"/>
      <ns0:c r="D1285" s="29"/>
      <ns0:c r="E1285" s="31"/>
      <ns0:c r="F1285" s="32"/>
      <ns0:c r="G1285" s="29"/>
      <ns0:c r="H1285" s="29"/>
      <ns0:c r="I1285" s="29"/>
      <ns0:c r="J1285" s="29"/>
      <ns0:c r="K1285" s="29"/>
    </ns0:row>
    <ns0:row r="1286" ht="28" customHeight="1">
      <ns0:c r="A1286" s="29"/>
      <ns0:c r="B1286" s="30"/>
      <ns0:c r="C1286" s="28"/>
      <ns0:c r="D1286" s="29"/>
      <ns0:c r="E1286" s="31"/>
      <ns0:c r="F1286" s="32"/>
      <ns0:c r="G1286" s="29"/>
      <ns0:c r="H1286" s="29"/>
      <ns0:c r="I1286" s="29"/>
      <ns0:c r="J1286" s="29"/>
      <ns0:c r="K1286" s="29"/>
    </ns0:row>
    <ns0:row r="1287" ht="28" customHeight="1">
      <ns0:c r="A1287" s="29"/>
      <ns0:c r="B1287" s="30"/>
      <ns0:c r="C1287" s="28"/>
      <ns0:c r="D1287" s="29"/>
      <ns0:c r="E1287" s="31"/>
      <ns0:c r="F1287" s="32"/>
      <ns0:c r="G1287" s="29"/>
      <ns0:c r="H1287" s="29"/>
      <ns0:c r="I1287" s="29"/>
      <ns0:c r="J1287" s="29"/>
      <ns0:c r="K1287" s="29"/>
    </ns0:row>
    <ns0:row r="1288" ht="28" customHeight="1">
      <ns0:c r="A1288" s="29"/>
      <ns0:c r="B1288" s="30"/>
      <ns0:c r="C1288" s="28"/>
      <ns0:c r="D1288" s="29"/>
      <ns0:c r="E1288" s="31"/>
      <ns0:c r="F1288" s="32"/>
      <ns0:c r="G1288" s="29"/>
      <ns0:c r="H1288" s="29"/>
      <ns0:c r="I1288" s="29"/>
      <ns0:c r="J1288" s="29"/>
      <ns0:c r="K1288" s="29"/>
    </ns0:row>
    <ns0:row r="1289" ht="28" customHeight="1">
      <ns0:c r="A1289" s="29"/>
      <ns0:c r="B1289" s="30"/>
      <ns0:c r="C1289" s="28"/>
      <ns0:c r="D1289" s="29"/>
      <ns0:c r="E1289" s="31"/>
      <ns0:c r="F1289" s="32"/>
      <ns0:c r="G1289" s="29"/>
      <ns0:c r="H1289" s="29"/>
      <ns0:c r="I1289" s="29"/>
      <ns0:c r="J1289" s="29"/>
      <ns0:c r="K1289" s="29"/>
    </ns0:row>
    <ns0:row r="1290" ht="28" customHeight="1">
      <ns0:c r="A1290" s="29"/>
      <ns0:c r="B1290" s="30"/>
      <ns0:c r="C1290" s="28"/>
      <ns0:c r="D1290" s="29"/>
      <ns0:c r="E1290" s="31"/>
      <ns0:c r="F1290" s="32"/>
      <ns0:c r="G1290" s="29"/>
      <ns0:c r="H1290" s="29"/>
      <ns0:c r="I1290" s="29"/>
      <ns0:c r="J1290" s="29"/>
      <ns0:c r="K1290" s="29"/>
    </ns0:row>
    <ns0:row r="1291" ht="28" customHeight="1">
      <ns0:c r="A1291" s="29"/>
      <ns0:c r="B1291" s="30"/>
      <ns0:c r="C1291" s="28"/>
      <ns0:c r="D1291" s="29"/>
      <ns0:c r="E1291" s="31"/>
      <ns0:c r="F1291" s="32"/>
      <ns0:c r="G1291" s="29"/>
      <ns0:c r="H1291" s="29"/>
      <ns0:c r="I1291" s="29"/>
      <ns0:c r="J1291" s="29"/>
      <ns0:c r="K1291" s="29"/>
    </ns0:row>
    <ns0:row r="1292" ht="28" customHeight="1">
      <ns0:c r="A1292" s="29"/>
      <ns0:c r="B1292" s="30"/>
      <ns0:c r="C1292" s="28"/>
      <ns0:c r="D1292" s="29"/>
      <ns0:c r="E1292" s="31"/>
      <ns0:c r="F1292" s="32"/>
      <ns0:c r="G1292" s="29"/>
      <ns0:c r="H1292" s="29"/>
      <ns0:c r="I1292" s="29"/>
      <ns0:c r="J1292" s="29"/>
      <ns0:c r="K1292" s="29"/>
    </ns0:row>
    <ns0:row r="1293" ht="28" customHeight="1">
      <ns0:c r="A1293" s="29"/>
      <ns0:c r="B1293" s="30"/>
      <ns0:c r="C1293" s="28"/>
      <ns0:c r="D1293" s="29"/>
      <ns0:c r="E1293" s="31"/>
      <ns0:c r="F1293" s="32"/>
      <ns0:c r="G1293" s="29"/>
      <ns0:c r="H1293" s="29"/>
      <ns0:c r="I1293" s="29"/>
      <ns0:c r="J1293" s="29"/>
      <ns0:c r="K1293" s="29"/>
    </ns0:row>
    <ns0:row r="1294" ht="28" customHeight="1">
      <ns0:c r="A1294" s="29"/>
      <ns0:c r="B1294" s="30"/>
      <ns0:c r="C1294" s="28"/>
      <ns0:c r="D1294" s="29"/>
      <ns0:c r="E1294" s="31"/>
      <ns0:c r="F1294" s="32"/>
      <ns0:c r="G1294" s="29"/>
      <ns0:c r="H1294" s="29"/>
      <ns0:c r="I1294" s="29"/>
      <ns0:c r="J1294" s="29"/>
      <ns0:c r="K1294" s="29"/>
    </ns0:row>
    <ns0:row r="1295" ht="28" customHeight="1">
      <ns0:c r="A1295" s="29"/>
      <ns0:c r="B1295" s="30"/>
      <ns0:c r="C1295" s="28"/>
      <ns0:c r="D1295" s="29"/>
      <ns0:c r="E1295" s="31"/>
      <ns0:c r="F1295" s="32"/>
      <ns0:c r="G1295" s="29"/>
      <ns0:c r="H1295" s="29"/>
      <ns0:c r="I1295" s="29"/>
      <ns0:c r="J1295" s="29"/>
      <ns0:c r="K1295" s="29"/>
    </ns0:row>
    <ns0:row r="1296" ht="28" customHeight="1">
      <ns0:c r="A1296" s="29"/>
      <ns0:c r="B1296" s="30"/>
      <ns0:c r="C1296" s="28"/>
      <ns0:c r="D1296" s="29"/>
      <ns0:c r="E1296" s="31"/>
      <ns0:c r="F1296" s="32"/>
      <ns0:c r="G1296" s="29"/>
      <ns0:c r="H1296" s="29"/>
      <ns0:c r="I1296" s="29"/>
      <ns0:c r="J1296" s="29"/>
      <ns0:c r="K1296" s="29"/>
    </ns0:row>
    <ns0:row r="1297" ht="28" customHeight="1">
      <ns0:c r="A1297" s="29"/>
      <ns0:c r="B1297" s="30"/>
      <ns0:c r="C1297" s="28"/>
      <ns0:c r="D1297" s="29"/>
      <ns0:c r="E1297" s="31"/>
      <ns0:c r="F1297" s="32"/>
      <ns0:c r="G1297" s="29"/>
      <ns0:c r="H1297" s="29"/>
      <ns0:c r="I1297" s="29"/>
      <ns0:c r="J1297" s="29"/>
      <ns0:c r="K1297" s="29"/>
    </ns0:row>
    <ns0:row r="1298" ht="28" customHeight="1">
      <ns0:c r="A1298" s="29"/>
      <ns0:c r="B1298" s="30"/>
      <ns0:c r="C1298" s="28"/>
      <ns0:c r="D1298" s="29"/>
      <ns0:c r="E1298" s="31"/>
      <ns0:c r="F1298" s="32"/>
      <ns0:c r="G1298" s="29"/>
      <ns0:c r="H1298" s="29"/>
      <ns0:c r="I1298" s="29"/>
      <ns0:c r="J1298" s="29"/>
      <ns0:c r="K1298" s="29"/>
    </ns0:row>
    <ns0:row r="1299" ht="28" customHeight="1">
      <ns0:c r="A1299" s="29"/>
      <ns0:c r="B1299" s="30"/>
      <ns0:c r="C1299" s="28"/>
      <ns0:c r="D1299" s="29"/>
      <ns0:c r="E1299" s="31"/>
      <ns0:c r="F1299" s="32"/>
      <ns0:c r="G1299" s="29"/>
      <ns0:c r="H1299" s="29"/>
      <ns0:c r="I1299" s="29"/>
      <ns0:c r="J1299" s="29"/>
      <ns0:c r="K1299" s="29"/>
    </ns0:row>
    <ns0:row r="1300" ht="28" customHeight="1">
      <ns0:c r="A1300" s="29"/>
      <ns0:c r="B1300" s="30"/>
      <ns0:c r="C1300" s="28"/>
      <ns0:c r="D1300" s="29"/>
      <ns0:c r="E1300" s="31"/>
      <ns0:c r="F1300" s="32"/>
      <ns0:c r="G1300" s="29"/>
      <ns0:c r="H1300" s="29"/>
      <ns0:c r="I1300" s="29"/>
      <ns0:c r="J1300" s="29"/>
      <ns0:c r="K1300" s="29"/>
    </ns0:row>
    <ns0:row r="1301" ht="28" customHeight="1">
      <ns0:c r="A1301" s="29"/>
      <ns0:c r="B1301" s="30"/>
      <ns0:c r="C1301" s="28"/>
      <ns0:c r="D1301" s="29"/>
      <ns0:c r="E1301" s="31"/>
      <ns0:c r="F1301" s="32"/>
      <ns0:c r="G1301" s="29"/>
      <ns0:c r="H1301" s="29"/>
      <ns0:c r="I1301" s="29"/>
      <ns0:c r="J1301" s="29"/>
      <ns0:c r="K1301" s="29"/>
    </ns0:row>
    <ns0:row r="1302" ht="28" customHeight="1">
      <ns0:c r="A1302" s="29"/>
      <ns0:c r="B1302" s="30"/>
      <ns0:c r="C1302" s="28"/>
      <ns0:c r="D1302" s="29"/>
      <ns0:c r="E1302" s="31"/>
      <ns0:c r="F1302" s="32"/>
      <ns0:c r="G1302" s="29"/>
      <ns0:c r="H1302" s="29"/>
      <ns0:c r="I1302" s="29"/>
      <ns0:c r="J1302" s="29"/>
      <ns0:c r="K1302" s="29"/>
    </ns0:row>
    <ns0:row r="1303" ht="28" customHeight="1">
      <ns0:c r="A1303" s="29"/>
      <ns0:c r="B1303" s="30"/>
      <ns0:c r="C1303" s="28"/>
      <ns0:c r="D1303" s="29"/>
      <ns0:c r="E1303" s="31"/>
      <ns0:c r="F1303" s="32"/>
      <ns0:c r="G1303" s="29"/>
      <ns0:c r="H1303" s="29"/>
      <ns0:c r="I1303" s="29"/>
      <ns0:c r="J1303" s="29"/>
      <ns0:c r="K1303" s="29"/>
    </ns0:row>
    <ns0:row r="1304" ht="28" customHeight="1">
      <ns0:c r="A1304" s="29"/>
      <ns0:c r="B1304" s="30"/>
      <ns0:c r="C1304" s="28"/>
      <ns0:c r="D1304" s="29"/>
      <ns0:c r="E1304" s="31"/>
      <ns0:c r="F1304" s="32"/>
      <ns0:c r="G1304" s="29"/>
      <ns0:c r="H1304" s="29"/>
      <ns0:c r="I1304" s="29"/>
      <ns0:c r="J1304" s="29"/>
      <ns0:c r="K1304" s="29"/>
    </ns0:row>
    <ns0:row r="1305" ht="28" customHeight="1">
      <ns0:c r="A1305" s="29"/>
      <ns0:c r="B1305" s="30"/>
      <ns0:c r="C1305" s="28"/>
      <ns0:c r="D1305" s="29"/>
      <ns0:c r="E1305" s="31"/>
      <ns0:c r="F1305" s="32"/>
      <ns0:c r="G1305" s="29"/>
      <ns0:c r="H1305" s="29"/>
      <ns0:c r="I1305" s="29"/>
      <ns0:c r="J1305" s="29"/>
      <ns0:c r="K1305" s="29"/>
    </ns0:row>
    <ns0:row r="1306" ht="28" customHeight="1">
      <ns0:c r="A1306" s="29"/>
      <ns0:c r="B1306" s="30"/>
      <ns0:c r="C1306" s="28"/>
      <ns0:c r="D1306" s="29"/>
      <ns0:c r="E1306" s="31"/>
      <ns0:c r="F1306" s="32"/>
      <ns0:c r="G1306" s="29"/>
      <ns0:c r="H1306" s="29"/>
      <ns0:c r="I1306" s="29"/>
      <ns0:c r="J1306" s="29"/>
      <ns0:c r="K1306" s="29"/>
    </ns0:row>
    <ns0:row r="1307" ht="28" customHeight="1">
      <ns0:c r="A1307" s="29"/>
      <ns0:c r="B1307" s="30"/>
      <ns0:c r="C1307" s="28"/>
      <ns0:c r="D1307" s="29"/>
      <ns0:c r="E1307" s="31"/>
      <ns0:c r="F1307" s="32"/>
      <ns0:c r="G1307" s="29"/>
      <ns0:c r="H1307" s="29"/>
      <ns0:c r="I1307" s="29"/>
      <ns0:c r="J1307" s="29"/>
      <ns0:c r="K1307" s="29"/>
    </ns0:row>
    <ns0:row r="1308" ht="28" customHeight="1">
      <ns0:c r="A1308" s="29"/>
      <ns0:c r="B1308" s="30"/>
      <ns0:c r="C1308" s="28"/>
      <ns0:c r="D1308" s="29"/>
      <ns0:c r="E1308" s="31"/>
      <ns0:c r="F1308" s="32"/>
      <ns0:c r="G1308" s="29"/>
      <ns0:c r="H1308" s="29"/>
      <ns0:c r="I1308" s="29"/>
      <ns0:c r="J1308" s="29"/>
      <ns0:c r="K1308" s="29"/>
    </ns0:row>
    <ns0:row r="1309" ht="28" customHeight="1">
      <ns0:c r="A1309" s="29"/>
      <ns0:c r="B1309" s="30"/>
      <ns0:c r="C1309" s="28"/>
      <ns0:c r="D1309" s="29"/>
      <ns0:c r="E1309" s="31"/>
      <ns0:c r="F1309" s="32"/>
      <ns0:c r="G1309" s="29"/>
      <ns0:c r="H1309" s="29"/>
      <ns0:c r="I1309" s="29"/>
      <ns0:c r="J1309" s="29"/>
      <ns0:c r="K1309" s="29"/>
    </ns0:row>
    <ns0:row r="1310" ht="28" customHeight="1">
      <ns0:c r="A1310" s="29"/>
      <ns0:c r="B1310" s="30"/>
      <ns0:c r="C1310" s="28"/>
      <ns0:c r="D1310" s="29"/>
      <ns0:c r="E1310" s="31"/>
      <ns0:c r="F1310" s="32"/>
      <ns0:c r="G1310" s="29"/>
      <ns0:c r="H1310" s="29"/>
      <ns0:c r="I1310" s="29"/>
      <ns0:c r="J1310" s="29"/>
      <ns0:c r="K1310" s="29"/>
    </ns0:row>
    <ns0:row r="1311" ht="28" customHeight="1">
      <ns0:c r="A1311" s="29"/>
      <ns0:c r="B1311" s="30"/>
      <ns0:c r="C1311" s="28"/>
      <ns0:c r="D1311" s="29"/>
      <ns0:c r="E1311" s="31"/>
      <ns0:c r="F1311" s="32"/>
      <ns0:c r="G1311" s="29"/>
      <ns0:c r="H1311" s="29"/>
      <ns0:c r="I1311" s="29"/>
      <ns0:c r="J1311" s="29"/>
      <ns0:c r="K1311" s="29"/>
    </ns0:row>
    <ns0:row r="1312" ht="28" customHeight="1">
      <ns0:c r="A1312" s="29"/>
      <ns0:c r="B1312" s="30"/>
      <ns0:c r="C1312" s="28"/>
      <ns0:c r="D1312" s="29"/>
      <ns0:c r="E1312" s="31"/>
      <ns0:c r="F1312" s="32"/>
      <ns0:c r="G1312" s="29"/>
      <ns0:c r="H1312" s="29"/>
      <ns0:c r="I1312" s="29"/>
      <ns0:c r="J1312" s="29"/>
      <ns0:c r="K1312" s="29"/>
    </ns0:row>
    <ns0:row r="1313" ht="28" customHeight="1">
      <ns0:c r="A1313" s="29"/>
      <ns0:c r="B1313" s="30"/>
      <ns0:c r="C1313" s="28"/>
      <ns0:c r="D1313" s="29"/>
      <ns0:c r="E1313" s="31"/>
      <ns0:c r="F1313" s="32"/>
      <ns0:c r="G1313" s="29"/>
      <ns0:c r="H1313" s="29"/>
      <ns0:c r="I1313" s="29"/>
      <ns0:c r="J1313" s="29"/>
      <ns0:c r="K1313" s="29"/>
    </ns0:row>
    <ns0:row r="1314" ht="28" customHeight="1">
      <ns0:c r="A1314" s="29"/>
      <ns0:c r="B1314" s="30"/>
      <ns0:c r="C1314" s="28"/>
      <ns0:c r="D1314" s="29"/>
      <ns0:c r="E1314" s="31"/>
      <ns0:c r="F1314" s="32"/>
      <ns0:c r="G1314" s="29"/>
      <ns0:c r="H1314" s="29"/>
      <ns0:c r="I1314" s="29"/>
      <ns0:c r="J1314" s="29"/>
      <ns0:c r="K1314" s="29"/>
    </ns0:row>
    <ns0:row r="1315" ht="28" customHeight="1">
      <ns0:c r="A1315" s="29"/>
      <ns0:c r="B1315" s="30"/>
      <ns0:c r="C1315" s="28"/>
      <ns0:c r="D1315" s="29"/>
      <ns0:c r="E1315" s="31"/>
      <ns0:c r="F1315" s="32"/>
      <ns0:c r="G1315" s="29"/>
      <ns0:c r="H1315" s="29"/>
      <ns0:c r="I1315" s="29"/>
      <ns0:c r="J1315" s="29"/>
      <ns0:c r="K1315" s="29"/>
    </ns0:row>
    <ns0:row r="1316" ht="28" customHeight="1">
      <ns0:c r="A1316" s="29"/>
      <ns0:c r="B1316" s="30"/>
      <ns0:c r="C1316" s="28"/>
      <ns0:c r="D1316" s="29"/>
      <ns0:c r="E1316" s="31"/>
      <ns0:c r="F1316" s="32"/>
      <ns0:c r="G1316" s="29"/>
      <ns0:c r="H1316" s="29"/>
      <ns0:c r="I1316" s="29"/>
      <ns0:c r="J1316" s="29"/>
      <ns0:c r="K1316" s="29"/>
    </ns0:row>
    <ns0:row r="1317" ht="28" customHeight="1">
      <ns0:c r="A1317" s="29"/>
      <ns0:c r="B1317" s="30"/>
      <ns0:c r="C1317" s="28"/>
      <ns0:c r="D1317" s="29"/>
      <ns0:c r="E1317" s="31"/>
      <ns0:c r="F1317" s="32"/>
      <ns0:c r="G1317" s="29"/>
      <ns0:c r="H1317" s="29"/>
      <ns0:c r="I1317" s="29"/>
      <ns0:c r="J1317" s="29"/>
      <ns0:c r="K1317" s="29"/>
    </ns0:row>
    <ns0:row r="1318" ht="28" customHeight="1">
      <ns0:c r="A1318" s="29"/>
      <ns0:c r="B1318" s="30"/>
      <ns0:c r="C1318" s="28"/>
      <ns0:c r="D1318" s="29"/>
      <ns0:c r="E1318" s="31"/>
      <ns0:c r="F1318" s="32"/>
      <ns0:c r="G1318" s="29"/>
      <ns0:c r="H1318" s="29"/>
      <ns0:c r="I1318" s="29"/>
      <ns0:c r="J1318" s="29"/>
      <ns0:c r="K1318" s="29"/>
    </ns0:row>
    <ns0:row r="1319" ht="28" customHeight="1">
      <ns0:c r="A1319" s="29"/>
      <ns0:c r="B1319" s="30"/>
      <ns0:c r="C1319" s="28"/>
      <ns0:c r="D1319" s="29"/>
      <ns0:c r="E1319" s="31"/>
      <ns0:c r="F1319" s="32"/>
      <ns0:c r="G1319" s="29"/>
      <ns0:c r="H1319" s="29"/>
      <ns0:c r="I1319" s="29"/>
      <ns0:c r="J1319" s="29"/>
      <ns0:c r="K1319" s="29"/>
    </ns0:row>
    <ns0:row r="1320" ht="28" customHeight="1">
      <ns0:c r="A1320" s="29"/>
      <ns0:c r="B1320" s="30"/>
      <ns0:c r="C1320" s="28"/>
      <ns0:c r="D1320" s="29"/>
      <ns0:c r="E1320" s="31"/>
      <ns0:c r="F1320" s="32"/>
      <ns0:c r="G1320" s="29"/>
      <ns0:c r="H1320" s="29"/>
      <ns0:c r="I1320" s="29"/>
      <ns0:c r="J1320" s="29"/>
      <ns0:c r="K1320" s="29"/>
    </ns0:row>
    <ns0:row r="1321" ht="28" customHeight="1">
      <ns0:c r="A1321" s="29"/>
      <ns0:c r="B1321" s="30"/>
      <ns0:c r="C1321" s="28"/>
      <ns0:c r="D1321" s="29"/>
      <ns0:c r="E1321" s="31"/>
      <ns0:c r="F1321" s="32"/>
      <ns0:c r="G1321" s="29"/>
      <ns0:c r="H1321" s="29"/>
      <ns0:c r="I1321" s="29"/>
      <ns0:c r="J1321" s="29"/>
      <ns0:c r="K1321" s="29"/>
    </ns0:row>
    <ns0:row r="1322" ht="28" customHeight="1">
      <ns0:c r="A1322" s="29"/>
      <ns0:c r="B1322" s="30"/>
      <ns0:c r="C1322" s="28"/>
      <ns0:c r="D1322" s="29"/>
      <ns0:c r="E1322" s="31"/>
      <ns0:c r="F1322" s="32"/>
      <ns0:c r="G1322" s="29"/>
      <ns0:c r="H1322" s="29"/>
      <ns0:c r="I1322" s="29"/>
      <ns0:c r="J1322" s="29"/>
      <ns0:c r="K1322" s="29"/>
    </ns0:row>
    <ns0:row r="1323" ht="28" customHeight="1">
      <ns0:c r="A1323" s="29"/>
      <ns0:c r="B1323" s="30"/>
      <ns0:c r="C1323" s="28"/>
      <ns0:c r="D1323" s="29"/>
      <ns0:c r="E1323" s="31"/>
      <ns0:c r="F1323" s="32"/>
      <ns0:c r="G1323" s="29"/>
      <ns0:c r="H1323" s="29"/>
      <ns0:c r="I1323" s="29"/>
      <ns0:c r="J1323" s="29"/>
      <ns0:c r="K1323" s="29"/>
    </ns0:row>
    <ns0:row r="1324" ht="28" customHeight="1">
      <ns0:c r="A1324" s="29"/>
      <ns0:c r="B1324" s="30"/>
      <ns0:c r="C1324" s="28"/>
      <ns0:c r="D1324" s="29"/>
      <ns0:c r="E1324" s="31"/>
      <ns0:c r="F1324" s="32"/>
      <ns0:c r="G1324" s="29"/>
      <ns0:c r="H1324" s="29"/>
      <ns0:c r="I1324" s="29"/>
      <ns0:c r="J1324" s="29"/>
      <ns0:c r="K1324" s="29"/>
    </ns0:row>
    <ns0:row r="1325" ht="28" customHeight="1">
      <ns0:c r="A1325" s="29"/>
      <ns0:c r="B1325" s="30"/>
      <ns0:c r="C1325" s="28"/>
      <ns0:c r="D1325" s="29"/>
      <ns0:c r="E1325" s="31"/>
      <ns0:c r="F1325" s="32"/>
      <ns0:c r="G1325" s="29"/>
      <ns0:c r="H1325" s="29"/>
      <ns0:c r="I1325" s="29"/>
      <ns0:c r="J1325" s="29"/>
      <ns0:c r="K1325" s="29"/>
    </ns0:row>
    <ns0:row r="1326" ht="28" customHeight="1">
      <ns0:c r="A1326" s="29"/>
      <ns0:c r="B1326" s="30"/>
      <ns0:c r="C1326" s="28"/>
      <ns0:c r="D1326" s="29"/>
      <ns0:c r="E1326" s="31"/>
      <ns0:c r="F1326" s="32"/>
      <ns0:c r="G1326" s="29"/>
      <ns0:c r="H1326" s="29"/>
      <ns0:c r="I1326" s="29"/>
      <ns0:c r="J1326" s="29"/>
      <ns0:c r="K1326" s="29"/>
    </ns0:row>
    <ns0:row r="1327" ht="28" customHeight="1">
      <ns0:c r="A1327" s="29"/>
      <ns0:c r="B1327" s="30"/>
      <ns0:c r="C1327" s="28"/>
      <ns0:c r="D1327" s="29"/>
      <ns0:c r="E1327" s="31"/>
      <ns0:c r="F1327" s="32"/>
      <ns0:c r="G1327" s="29"/>
      <ns0:c r="H1327" s="29"/>
      <ns0:c r="I1327" s="29"/>
      <ns0:c r="J1327" s="29"/>
      <ns0:c r="K1327" s="29"/>
    </ns0:row>
    <ns0:row r="1328" ht="28" customHeight="1">
      <ns0:c r="A1328" s="29"/>
      <ns0:c r="B1328" s="30"/>
      <ns0:c r="C1328" s="28"/>
      <ns0:c r="D1328" s="29"/>
      <ns0:c r="E1328" s="31"/>
      <ns0:c r="F1328" s="32"/>
      <ns0:c r="G1328" s="29"/>
      <ns0:c r="H1328" s="29"/>
      <ns0:c r="I1328" s="29"/>
      <ns0:c r="J1328" s="29"/>
      <ns0:c r="K1328" s="29"/>
    </ns0:row>
    <ns0:row r="1329" ht="28" customHeight="1">
      <ns0:c r="A1329" s="29"/>
      <ns0:c r="B1329" s="30"/>
      <ns0:c r="C1329" s="28"/>
      <ns0:c r="D1329" s="29"/>
      <ns0:c r="E1329" s="31"/>
      <ns0:c r="F1329" s="32"/>
      <ns0:c r="G1329" s="29"/>
      <ns0:c r="H1329" s="29"/>
      <ns0:c r="I1329" s="29"/>
      <ns0:c r="J1329" s="29"/>
      <ns0:c r="K1329" s="29"/>
    </ns0:row>
    <ns0:row r="1330" ht="28" customHeight="1">
      <ns0:c r="A1330" s="29"/>
      <ns0:c r="B1330" s="30"/>
      <ns0:c r="C1330" s="28"/>
      <ns0:c r="D1330" s="29"/>
      <ns0:c r="E1330" s="31"/>
      <ns0:c r="F1330" s="32"/>
      <ns0:c r="G1330" s="29"/>
      <ns0:c r="H1330" s="29"/>
      <ns0:c r="I1330" s="29"/>
      <ns0:c r="J1330" s="29"/>
      <ns0:c r="K1330" s="29"/>
    </ns0:row>
    <ns0:row r="1331" ht="28" customHeight="1">
      <ns0:c r="A1331" s="29"/>
      <ns0:c r="B1331" s="30"/>
      <ns0:c r="C1331" s="28"/>
      <ns0:c r="D1331" s="29"/>
      <ns0:c r="E1331" s="31"/>
      <ns0:c r="F1331" s="32"/>
      <ns0:c r="G1331" s="29"/>
      <ns0:c r="H1331" s="29"/>
      <ns0:c r="I1331" s="29"/>
      <ns0:c r="J1331" s="29"/>
      <ns0:c r="K1331" s="29"/>
    </ns0:row>
    <ns0:row r="1332" ht="28" customHeight="1">
      <ns0:c r="A1332" s="29"/>
      <ns0:c r="B1332" s="30"/>
      <ns0:c r="C1332" s="28"/>
      <ns0:c r="D1332" s="29"/>
      <ns0:c r="E1332" s="31"/>
      <ns0:c r="F1332" s="32"/>
      <ns0:c r="G1332" s="29"/>
      <ns0:c r="H1332" s="29"/>
      <ns0:c r="I1332" s="29"/>
      <ns0:c r="J1332" s="29"/>
      <ns0:c r="K1332" s="29"/>
    </ns0:row>
    <ns0:row r="1333" ht="28" customHeight="1">
      <ns0:c r="A1333" s="29"/>
      <ns0:c r="B1333" s="30"/>
      <ns0:c r="C1333" s="28"/>
      <ns0:c r="D1333" s="29"/>
      <ns0:c r="E1333" s="31"/>
      <ns0:c r="F1333" s="32"/>
      <ns0:c r="G1333" s="29"/>
      <ns0:c r="H1333" s="29"/>
      <ns0:c r="I1333" s="29"/>
      <ns0:c r="J1333" s="29"/>
      <ns0:c r="K1333" s="29"/>
    </ns0:row>
    <ns0:row r="1334" ht="28" customHeight="1">
      <ns0:c r="A1334" s="29"/>
      <ns0:c r="B1334" s="30"/>
      <ns0:c r="C1334" s="28"/>
      <ns0:c r="D1334" s="29"/>
      <ns0:c r="E1334" s="31"/>
      <ns0:c r="F1334" s="32"/>
      <ns0:c r="G1334" s="29"/>
      <ns0:c r="H1334" s="29"/>
      <ns0:c r="I1334" s="29"/>
      <ns0:c r="J1334" s="29"/>
      <ns0:c r="K1334" s="29"/>
    </ns0:row>
    <ns0:row r="1335" ht="28" customHeight="1">
      <ns0:c r="A1335" s="29"/>
      <ns0:c r="B1335" s="30"/>
      <ns0:c r="C1335" s="28"/>
      <ns0:c r="D1335" s="29"/>
      <ns0:c r="E1335" s="31"/>
      <ns0:c r="F1335" s="32"/>
      <ns0:c r="G1335" s="29"/>
      <ns0:c r="H1335" s="29"/>
      <ns0:c r="I1335" s="29"/>
      <ns0:c r="J1335" s="29"/>
      <ns0:c r="K1335" s="29"/>
    </ns0:row>
    <ns0:row r="1336" ht="28" customHeight="1">
      <ns0:c r="A1336" s="29"/>
      <ns0:c r="B1336" s="30"/>
      <ns0:c r="C1336" s="28"/>
      <ns0:c r="D1336" s="29"/>
      <ns0:c r="E1336" s="31"/>
      <ns0:c r="F1336" s="32"/>
      <ns0:c r="G1336" s="29"/>
      <ns0:c r="H1336" s="29"/>
      <ns0:c r="I1336" s="29"/>
      <ns0:c r="J1336" s="29"/>
      <ns0:c r="K1336" s="29"/>
    </ns0:row>
    <ns0:row r="1337" ht="28" customHeight="1">
      <ns0:c r="A1337" s="29"/>
      <ns0:c r="B1337" s="30"/>
      <ns0:c r="C1337" s="28"/>
      <ns0:c r="D1337" s="29"/>
      <ns0:c r="E1337" s="31"/>
      <ns0:c r="F1337" s="32"/>
      <ns0:c r="G1337" s="29"/>
      <ns0:c r="H1337" s="29"/>
      <ns0:c r="I1337" s="29"/>
      <ns0:c r="J1337" s="29"/>
      <ns0:c r="K1337" s="29"/>
    </ns0:row>
    <ns0:row r="1338" ht="28" customHeight="1">
      <ns0:c r="A1338" s="29"/>
      <ns0:c r="B1338" s="30"/>
      <ns0:c r="C1338" s="28"/>
      <ns0:c r="D1338" s="29"/>
      <ns0:c r="E1338" s="31"/>
      <ns0:c r="F1338" s="32"/>
      <ns0:c r="G1338" s="29"/>
      <ns0:c r="H1338" s="29"/>
      <ns0:c r="I1338" s="29"/>
      <ns0:c r="J1338" s="29"/>
      <ns0:c r="K1338" s="29"/>
    </ns0:row>
    <ns0:row r="1339" ht="28" customHeight="1">
      <ns0:c r="A1339" s="29"/>
      <ns0:c r="B1339" s="30"/>
      <ns0:c r="C1339" s="28"/>
      <ns0:c r="D1339" s="29"/>
      <ns0:c r="E1339" s="31"/>
      <ns0:c r="F1339" s="32"/>
      <ns0:c r="G1339" s="29"/>
      <ns0:c r="H1339" s="29"/>
      <ns0:c r="I1339" s="29"/>
      <ns0:c r="J1339" s="29"/>
      <ns0:c r="K1339" s="29"/>
    </ns0:row>
    <ns0:row r="1340" ht="28" customHeight="1">
      <ns0:c r="A1340" s="29"/>
      <ns0:c r="B1340" s="30"/>
      <ns0:c r="C1340" s="28"/>
      <ns0:c r="D1340" s="29"/>
      <ns0:c r="E1340" s="31"/>
      <ns0:c r="F1340" s="32"/>
      <ns0:c r="G1340" s="29"/>
      <ns0:c r="H1340" s="29"/>
      <ns0:c r="I1340" s="29"/>
      <ns0:c r="J1340" s="29"/>
      <ns0:c r="K1340" s="29"/>
    </ns0:row>
    <ns0:row r="1341" ht="28" customHeight="1">
      <ns0:c r="A1341" s="29"/>
      <ns0:c r="B1341" s="30"/>
      <ns0:c r="C1341" s="28"/>
      <ns0:c r="D1341" s="29"/>
      <ns0:c r="E1341" s="31"/>
      <ns0:c r="F1341" s="32"/>
      <ns0:c r="G1341" s="29"/>
      <ns0:c r="H1341" s="29"/>
      <ns0:c r="I1341" s="29"/>
      <ns0:c r="J1341" s="29"/>
      <ns0:c r="K1341" s="29"/>
    </ns0:row>
    <ns0:row r="1342" ht="28" customHeight="1">
      <ns0:c r="A1342" s="29"/>
      <ns0:c r="B1342" s="30"/>
      <ns0:c r="C1342" s="28"/>
      <ns0:c r="D1342" s="29"/>
      <ns0:c r="E1342" s="31"/>
      <ns0:c r="F1342" s="32"/>
      <ns0:c r="G1342" s="29"/>
      <ns0:c r="H1342" s="29"/>
      <ns0:c r="I1342" s="29"/>
      <ns0:c r="J1342" s="29"/>
      <ns0:c r="K1342" s="29"/>
    </ns0:row>
    <ns0:row r="1343" ht="28" customHeight="1">
      <ns0:c r="A1343" s="29"/>
      <ns0:c r="B1343" s="30"/>
      <ns0:c r="C1343" s="28"/>
      <ns0:c r="D1343" s="29"/>
      <ns0:c r="E1343" s="31"/>
      <ns0:c r="F1343" s="32"/>
      <ns0:c r="G1343" s="29"/>
      <ns0:c r="H1343" s="29"/>
      <ns0:c r="I1343" s="29"/>
      <ns0:c r="J1343" s="29"/>
      <ns0:c r="K1343" s="29"/>
    </ns0:row>
    <ns0:row r="1344" ht="28" customHeight="1">
      <ns0:c r="A1344" s="29"/>
      <ns0:c r="B1344" s="30"/>
      <ns0:c r="C1344" s="28"/>
      <ns0:c r="D1344" s="29"/>
      <ns0:c r="E1344" s="31"/>
      <ns0:c r="F1344" s="32"/>
      <ns0:c r="G1344" s="29"/>
      <ns0:c r="H1344" s="29"/>
      <ns0:c r="I1344" s="29"/>
      <ns0:c r="J1344" s="29"/>
      <ns0:c r="K1344" s="29"/>
    </ns0:row>
    <ns0:row r="1345" ht="28" customHeight="1">
      <ns0:c r="A1345" s="29"/>
      <ns0:c r="B1345" s="30"/>
      <ns0:c r="C1345" s="28"/>
      <ns0:c r="D1345" s="29"/>
      <ns0:c r="E1345" s="31"/>
      <ns0:c r="F1345" s="32"/>
      <ns0:c r="G1345" s="29"/>
      <ns0:c r="H1345" s="29"/>
      <ns0:c r="I1345" s="29"/>
      <ns0:c r="J1345" s="29"/>
      <ns0:c r="K1345" s="29"/>
    </ns0:row>
    <ns0:row r="1346" ht="28" customHeight="1">
      <ns0:c r="A1346" s="29"/>
      <ns0:c r="B1346" s="30"/>
      <ns0:c r="C1346" s="28"/>
      <ns0:c r="D1346" s="29"/>
      <ns0:c r="E1346" s="31"/>
      <ns0:c r="F1346" s="32"/>
      <ns0:c r="G1346" s="29"/>
      <ns0:c r="H1346" s="29"/>
      <ns0:c r="I1346" s="29"/>
      <ns0:c r="J1346" s="29"/>
      <ns0:c r="K1346" s="29"/>
    </ns0:row>
    <ns0:row r="1347" ht="28" customHeight="1">
      <ns0:c r="A1347" s="29"/>
      <ns0:c r="B1347" s="30"/>
      <ns0:c r="C1347" s="28"/>
      <ns0:c r="D1347" s="29"/>
      <ns0:c r="E1347" s="31"/>
      <ns0:c r="F1347" s="32"/>
      <ns0:c r="G1347" s="29"/>
      <ns0:c r="H1347" s="29"/>
      <ns0:c r="I1347" s="29"/>
      <ns0:c r="J1347" s="29"/>
      <ns0:c r="K1347" s="29"/>
    </ns0:row>
    <ns0:row r="1348" ht="28" customHeight="1">
      <ns0:c r="A1348" s="29"/>
      <ns0:c r="B1348" s="30"/>
      <ns0:c r="C1348" s="28"/>
      <ns0:c r="D1348" s="29"/>
      <ns0:c r="E1348" s="31"/>
      <ns0:c r="F1348" s="32"/>
      <ns0:c r="G1348" s="29"/>
      <ns0:c r="H1348" s="29"/>
      <ns0:c r="I1348" s="29"/>
      <ns0:c r="J1348" s="29"/>
      <ns0:c r="K1348" s="29"/>
    </ns0:row>
    <ns0:row r="1349" ht="28" customHeight="1">
      <ns0:c r="A1349" s="29"/>
      <ns0:c r="B1349" s="30"/>
      <ns0:c r="C1349" s="28"/>
      <ns0:c r="D1349" s="29"/>
      <ns0:c r="E1349" s="31"/>
      <ns0:c r="F1349" s="32"/>
      <ns0:c r="G1349" s="29"/>
      <ns0:c r="H1349" s="29"/>
      <ns0:c r="I1349" s="29"/>
      <ns0:c r="J1349" s="29"/>
      <ns0:c r="K1349" s="29"/>
    </ns0:row>
    <ns0:row r="1350" ht="28" customHeight="1">
      <ns0:c r="A1350" s="29"/>
      <ns0:c r="B1350" s="30"/>
      <ns0:c r="C1350" s="28"/>
      <ns0:c r="D1350" s="29"/>
      <ns0:c r="E1350" s="31"/>
      <ns0:c r="F1350" s="32"/>
      <ns0:c r="G1350" s="29"/>
      <ns0:c r="H1350" s="29"/>
      <ns0:c r="I1350" s="29"/>
      <ns0:c r="J1350" s="29"/>
      <ns0:c r="K1350" s="29"/>
    </ns0:row>
    <ns0:row r="1351" ht="28" customHeight="1">
      <ns0:c r="A1351" s="29"/>
      <ns0:c r="B1351" s="30"/>
      <ns0:c r="C1351" s="28"/>
      <ns0:c r="D1351" s="29"/>
      <ns0:c r="E1351" s="31"/>
      <ns0:c r="F1351" s="32"/>
      <ns0:c r="G1351" s="29"/>
      <ns0:c r="H1351" s="29"/>
      <ns0:c r="I1351" s="29"/>
      <ns0:c r="J1351" s="29"/>
      <ns0:c r="K1351" s="29"/>
    </ns0:row>
    <ns0:row r="1352" ht="28" customHeight="1">
      <ns0:c r="A1352" s="29"/>
      <ns0:c r="B1352" s="30"/>
      <ns0:c r="C1352" s="28"/>
      <ns0:c r="D1352" s="29"/>
      <ns0:c r="E1352" s="31"/>
      <ns0:c r="F1352" s="32"/>
      <ns0:c r="G1352" s="29"/>
      <ns0:c r="H1352" s="29"/>
      <ns0:c r="I1352" s="29"/>
      <ns0:c r="J1352" s="29"/>
      <ns0:c r="K1352" s="29"/>
    </ns0:row>
    <ns0:row r="1353" ht="28" customHeight="1">
      <ns0:c r="A1353" s="29"/>
      <ns0:c r="B1353" s="30"/>
      <ns0:c r="C1353" s="28"/>
      <ns0:c r="D1353" s="29"/>
      <ns0:c r="E1353" s="31"/>
      <ns0:c r="F1353" s="32"/>
      <ns0:c r="G1353" s="29"/>
      <ns0:c r="H1353" s="29"/>
      <ns0:c r="I1353" s="29"/>
      <ns0:c r="J1353" s="29"/>
      <ns0:c r="K1353" s="29"/>
    </ns0:row>
    <ns0:row r="1354" ht="28" customHeight="1">
      <ns0:c r="A1354" s="29"/>
      <ns0:c r="B1354" s="30"/>
      <ns0:c r="C1354" s="28"/>
      <ns0:c r="D1354" s="29"/>
      <ns0:c r="E1354" s="31"/>
      <ns0:c r="F1354" s="32"/>
      <ns0:c r="G1354" s="29"/>
      <ns0:c r="H1354" s="29"/>
      <ns0:c r="I1354" s="29"/>
      <ns0:c r="J1354" s="29"/>
      <ns0:c r="K1354" s="29"/>
    </ns0:row>
    <ns0:row r="1355" ht="28" customHeight="1">
      <ns0:c r="A1355" s="29"/>
      <ns0:c r="B1355" s="30"/>
      <ns0:c r="C1355" s="28"/>
      <ns0:c r="D1355" s="29"/>
      <ns0:c r="E1355" s="31"/>
      <ns0:c r="F1355" s="32"/>
      <ns0:c r="G1355" s="29"/>
      <ns0:c r="H1355" s="29"/>
      <ns0:c r="I1355" s="29"/>
      <ns0:c r="J1355" s="29"/>
      <ns0:c r="K1355" s="29"/>
    </ns0:row>
    <ns0:row r="1356" ht="28" customHeight="1">
      <ns0:c r="A1356" s="29"/>
      <ns0:c r="B1356" s="30"/>
      <ns0:c r="C1356" s="28"/>
      <ns0:c r="D1356" s="29"/>
      <ns0:c r="E1356" s="31"/>
      <ns0:c r="F1356" s="32"/>
      <ns0:c r="G1356" s="29"/>
      <ns0:c r="H1356" s="29"/>
      <ns0:c r="I1356" s="29"/>
      <ns0:c r="J1356" s="29"/>
      <ns0:c r="K1356" s="29"/>
    </ns0:row>
    <ns0:row r="1357" ht="28" customHeight="1">
      <ns0:c r="A1357" s="29"/>
      <ns0:c r="B1357" s="30"/>
      <ns0:c r="C1357" s="28"/>
      <ns0:c r="D1357" s="29"/>
      <ns0:c r="E1357" s="31"/>
      <ns0:c r="F1357" s="32"/>
      <ns0:c r="G1357" s="29"/>
      <ns0:c r="H1357" s="29"/>
      <ns0:c r="I1357" s="29"/>
      <ns0:c r="J1357" s="29"/>
      <ns0:c r="K1357" s="29"/>
    </ns0:row>
    <ns0:row r="1358" ht="28" customHeight="1">
      <ns0:c r="A1358" s="29"/>
      <ns0:c r="B1358" s="30"/>
      <ns0:c r="C1358" s="28"/>
      <ns0:c r="D1358" s="29"/>
      <ns0:c r="E1358" s="31"/>
      <ns0:c r="F1358" s="32"/>
      <ns0:c r="G1358" s="29"/>
      <ns0:c r="H1358" s="29"/>
      <ns0:c r="I1358" s="29"/>
      <ns0:c r="J1358" s="29"/>
      <ns0:c r="K1358" s="29"/>
    </ns0:row>
    <ns0:row r="1359" ht="28" customHeight="1">
      <ns0:c r="A1359" s="29"/>
      <ns0:c r="B1359" s="30"/>
      <ns0:c r="C1359" s="28"/>
      <ns0:c r="D1359" s="29"/>
      <ns0:c r="E1359" s="31"/>
      <ns0:c r="F1359" s="32"/>
      <ns0:c r="G1359" s="29"/>
      <ns0:c r="H1359" s="29"/>
      <ns0:c r="I1359" s="29"/>
      <ns0:c r="J1359" s="29"/>
      <ns0:c r="K1359" s="29"/>
    </ns0:row>
    <ns0:row r="1360" ht="28" customHeight="1">
      <ns0:c r="A1360" s="29"/>
      <ns0:c r="B1360" s="30"/>
      <ns0:c r="C1360" s="28"/>
      <ns0:c r="D1360" s="29"/>
      <ns0:c r="E1360" s="31"/>
      <ns0:c r="F1360" s="32"/>
      <ns0:c r="G1360" s="29"/>
      <ns0:c r="H1360" s="29"/>
      <ns0:c r="I1360" s="29"/>
      <ns0:c r="J1360" s="29"/>
      <ns0:c r="K1360" s="29"/>
    </ns0:row>
    <ns0:row r="1361" ht="28" customHeight="1">
      <ns0:c r="A1361" s="29"/>
      <ns0:c r="B1361" s="30"/>
      <ns0:c r="C1361" s="28"/>
      <ns0:c r="D1361" s="29"/>
      <ns0:c r="E1361" s="31"/>
      <ns0:c r="F1361" s="32"/>
      <ns0:c r="G1361" s="29"/>
      <ns0:c r="H1361" s="29"/>
      <ns0:c r="I1361" s="29"/>
      <ns0:c r="J1361" s="29"/>
      <ns0:c r="K1361" s="29"/>
    </ns0:row>
    <ns0:row r="1362" ht="28" customHeight="1">
      <ns0:c r="A1362" s="29"/>
      <ns0:c r="B1362" s="30"/>
      <ns0:c r="C1362" s="28"/>
      <ns0:c r="D1362" s="29"/>
      <ns0:c r="E1362" s="31"/>
      <ns0:c r="F1362" s="32"/>
      <ns0:c r="G1362" s="29"/>
      <ns0:c r="H1362" s="29"/>
      <ns0:c r="I1362" s="29"/>
      <ns0:c r="J1362" s="29"/>
      <ns0:c r="K1362" s="29"/>
    </ns0:row>
    <ns0:row r="1363" ht="28" customHeight="1">
      <ns0:c r="A1363" s="29"/>
      <ns0:c r="B1363" s="30"/>
      <ns0:c r="C1363" s="28"/>
      <ns0:c r="D1363" s="29"/>
      <ns0:c r="E1363" s="31"/>
      <ns0:c r="F1363" s="32"/>
      <ns0:c r="G1363" s="29"/>
      <ns0:c r="H1363" s="29"/>
      <ns0:c r="I1363" s="29"/>
      <ns0:c r="J1363" s="29"/>
      <ns0:c r="K1363" s="29"/>
    </ns0:row>
    <ns0:row r="1364" ht="28" customHeight="1">
      <ns0:c r="A1364" s="29"/>
      <ns0:c r="B1364" s="30"/>
      <ns0:c r="C1364" s="28"/>
      <ns0:c r="D1364" s="29"/>
      <ns0:c r="E1364" s="31"/>
      <ns0:c r="F1364" s="32"/>
      <ns0:c r="G1364" s="29"/>
      <ns0:c r="H1364" s="29"/>
      <ns0:c r="I1364" s="29"/>
      <ns0:c r="J1364" s="29"/>
      <ns0:c r="K1364" s="29"/>
    </ns0:row>
    <ns0:row r="1365" ht="28" customHeight="1">
      <ns0:c r="A1365" s="29"/>
      <ns0:c r="B1365" s="30"/>
      <ns0:c r="C1365" s="28"/>
      <ns0:c r="D1365" s="29"/>
      <ns0:c r="E1365" s="31"/>
      <ns0:c r="F1365" s="32"/>
      <ns0:c r="G1365" s="29"/>
      <ns0:c r="H1365" s="29"/>
      <ns0:c r="I1365" s="29"/>
      <ns0:c r="J1365" s="29"/>
      <ns0:c r="K1365" s="29"/>
    </ns0:row>
    <ns0:row r="1366" ht="28" customHeight="1">
      <ns0:c r="A1366" s="29"/>
      <ns0:c r="B1366" s="30"/>
      <ns0:c r="C1366" s="28"/>
      <ns0:c r="D1366" s="29"/>
      <ns0:c r="E1366" s="31"/>
      <ns0:c r="F1366" s="32"/>
      <ns0:c r="G1366" s="29"/>
      <ns0:c r="H1366" s="29"/>
      <ns0:c r="I1366" s="29"/>
      <ns0:c r="J1366" s="29"/>
      <ns0:c r="K1366" s="29"/>
    </ns0:row>
    <ns0:row r="1367" ht="28" customHeight="1">
      <ns0:c r="A1367" s="29"/>
      <ns0:c r="B1367" s="30"/>
      <ns0:c r="C1367" s="28"/>
      <ns0:c r="D1367" s="29"/>
      <ns0:c r="E1367" s="31"/>
      <ns0:c r="F1367" s="32"/>
      <ns0:c r="G1367" s="29"/>
      <ns0:c r="H1367" s="29"/>
      <ns0:c r="I1367" s="29"/>
      <ns0:c r="J1367" s="29"/>
      <ns0:c r="K1367" s="29"/>
    </ns0:row>
    <ns0:row r="1368" ht="28" customHeight="1">
      <ns0:c r="A1368" s="29"/>
      <ns0:c r="B1368" s="30"/>
      <ns0:c r="C1368" s="28"/>
      <ns0:c r="D1368" s="29"/>
      <ns0:c r="E1368" s="31"/>
      <ns0:c r="F1368" s="32"/>
      <ns0:c r="G1368" s="29"/>
      <ns0:c r="H1368" s="29"/>
      <ns0:c r="I1368" s="29"/>
      <ns0:c r="J1368" s="29"/>
      <ns0:c r="K1368" s="29"/>
    </ns0:row>
    <ns0:row r="1369" ht="28" customHeight="1">
      <ns0:c r="A1369" s="29"/>
      <ns0:c r="B1369" s="30"/>
      <ns0:c r="C1369" s="28"/>
      <ns0:c r="D1369" s="29"/>
      <ns0:c r="E1369" s="31"/>
      <ns0:c r="F1369" s="32"/>
      <ns0:c r="G1369" s="29"/>
      <ns0:c r="H1369" s="29"/>
      <ns0:c r="I1369" s="29"/>
      <ns0:c r="J1369" s="29"/>
      <ns0:c r="K1369" s="29"/>
    </ns0:row>
    <ns0:row r="1370" ht="28" customHeight="1">
      <ns0:c r="A1370" s="29"/>
      <ns0:c r="B1370" s="30"/>
      <ns0:c r="C1370" s="28"/>
      <ns0:c r="D1370" s="29"/>
      <ns0:c r="E1370" s="31"/>
      <ns0:c r="F1370" s="32"/>
      <ns0:c r="G1370" s="29"/>
      <ns0:c r="H1370" s="29"/>
      <ns0:c r="I1370" s="29"/>
      <ns0:c r="J1370" s="29"/>
      <ns0:c r="K1370" s="29"/>
    </ns0:row>
    <ns0:row r="1371" ht="28" customHeight="1">
      <ns0:c r="A1371" s="29"/>
      <ns0:c r="B1371" s="30"/>
      <ns0:c r="C1371" s="28"/>
      <ns0:c r="D1371" s="29"/>
      <ns0:c r="E1371" s="31"/>
      <ns0:c r="F1371" s="32"/>
      <ns0:c r="G1371" s="29"/>
      <ns0:c r="H1371" s="29"/>
      <ns0:c r="I1371" s="29"/>
      <ns0:c r="J1371" s="29"/>
      <ns0:c r="K1371" s="29"/>
    </ns0:row>
    <ns0:row r="1372" ht="28" customHeight="1">
      <ns0:c r="A1372" s="29"/>
      <ns0:c r="B1372" s="30"/>
      <ns0:c r="C1372" s="28"/>
      <ns0:c r="D1372" s="29"/>
      <ns0:c r="E1372" s="31"/>
      <ns0:c r="F1372" s="32"/>
      <ns0:c r="G1372" s="29"/>
      <ns0:c r="H1372" s="29"/>
      <ns0:c r="I1372" s="29"/>
      <ns0:c r="J1372" s="29"/>
      <ns0:c r="K1372" s="29"/>
    </ns0:row>
    <ns0:row r="1373" ht="28" customHeight="1">
      <ns0:c r="A1373" s="29"/>
      <ns0:c r="B1373" s="30"/>
      <ns0:c r="C1373" s="28"/>
      <ns0:c r="D1373" s="29"/>
      <ns0:c r="E1373" s="31"/>
      <ns0:c r="F1373" s="32"/>
      <ns0:c r="G1373" s="29"/>
      <ns0:c r="H1373" s="29"/>
      <ns0:c r="I1373" s="29"/>
      <ns0:c r="J1373" s="29"/>
      <ns0:c r="K1373" s="29"/>
    </ns0:row>
    <ns0:row r="1374" ht="28" customHeight="1">
      <ns0:c r="A1374" s="29"/>
      <ns0:c r="B1374" s="30"/>
      <ns0:c r="C1374" s="28"/>
      <ns0:c r="D1374" s="29"/>
      <ns0:c r="E1374" s="31"/>
      <ns0:c r="F1374" s="32"/>
      <ns0:c r="G1374" s="29"/>
      <ns0:c r="H1374" s="29"/>
      <ns0:c r="I1374" s="29"/>
      <ns0:c r="J1374" s="29"/>
      <ns0:c r="K1374" s="29"/>
    </ns0:row>
    <ns0:row r="1375" ht="28" customHeight="1">
      <ns0:c r="A1375" s="29"/>
      <ns0:c r="B1375" s="30"/>
      <ns0:c r="C1375" s="28"/>
      <ns0:c r="D1375" s="29"/>
      <ns0:c r="E1375" s="31"/>
      <ns0:c r="F1375" s="32"/>
      <ns0:c r="G1375" s="29"/>
      <ns0:c r="H1375" s="29"/>
      <ns0:c r="I1375" s="29"/>
      <ns0:c r="J1375" s="29"/>
      <ns0:c r="K1375" s="29"/>
    </ns0:row>
    <ns0:row r="1376" ht="28" customHeight="1">
      <ns0:c r="A1376" s="29"/>
      <ns0:c r="B1376" s="30"/>
      <ns0:c r="C1376" s="28"/>
      <ns0:c r="D1376" s="29"/>
      <ns0:c r="E1376" s="31"/>
      <ns0:c r="F1376" s="32"/>
      <ns0:c r="G1376" s="29"/>
      <ns0:c r="H1376" s="29"/>
      <ns0:c r="I1376" s="29"/>
      <ns0:c r="J1376" s="29"/>
      <ns0:c r="K1376" s="29"/>
    </ns0:row>
    <ns0:row r="1377" ht="28" customHeight="1">
      <ns0:c r="A1377" s="29"/>
      <ns0:c r="B1377" s="30"/>
      <ns0:c r="C1377" s="28"/>
      <ns0:c r="D1377" s="29"/>
      <ns0:c r="E1377" s="31"/>
      <ns0:c r="F1377" s="32"/>
      <ns0:c r="G1377" s="29"/>
      <ns0:c r="H1377" s="29"/>
      <ns0:c r="I1377" s="29"/>
      <ns0:c r="J1377" s="29"/>
      <ns0:c r="K1377" s="29"/>
    </ns0:row>
    <ns0:row r="1378" ht="28" customHeight="1">
      <ns0:c r="A1378" s="29"/>
      <ns0:c r="B1378" s="30"/>
      <ns0:c r="C1378" s="28"/>
      <ns0:c r="D1378" s="29"/>
      <ns0:c r="E1378" s="31"/>
      <ns0:c r="F1378" s="32"/>
      <ns0:c r="G1378" s="29"/>
      <ns0:c r="H1378" s="29"/>
      <ns0:c r="I1378" s="29"/>
      <ns0:c r="J1378" s="29"/>
      <ns0:c r="K1378" s="29"/>
    </ns0:row>
    <ns0:row r="1379" ht="28" customHeight="1">
      <ns0:c r="A1379" s="29"/>
      <ns0:c r="B1379" s="30"/>
      <ns0:c r="C1379" s="28"/>
      <ns0:c r="D1379" s="29"/>
      <ns0:c r="E1379" s="31"/>
      <ns0:c r="F1379" s="32"/>
      <ns0:c r="G1379" s="29"/>
      <ns0:c r="H1379" s="29"/>
      <ns0:c r="I1379" s="29"/>
      <ns0:c r="J1379" s="29"/>
      <ns0:c r="K1379" s="29"/>
    </ns0:row>
    <ns0:row r="1380" ht="28" customHeight="1">
      <ns0:c r="A1380" s="29"/>
      <ns0:c r="B1380" s="30"/>
      <ns0:c r="C1380" s="28"/>
      <ns0:c r="D1380" s="29"/>
      <ns0:c r="E1380" s="31"/>
      <ns0:c r="F1380" s="32"/>
      <ns0:c r="G1380" s="29"/>
      <ns0:c r="H1380" s="29"/>
      <ns0:c r="I1380" s="29"/>
      <ns0:c r="J1380" s="29"/>
      <ns0:c r="K1380" s="29"/>
    </ns0:row>
    <ns0:row r="1381" ht="28" customHeight="1">
      <ns0:c r="A1381" s="29"/>
      <ns0:c r="B1381" s="30"/>
      <ns0:c r="C1381" s="28"/>
      <ns0:c r="D1381" s="29"/>
      <ns0:c r="E1381" s="31"/>
      <ns0:c r="F1381" s="32"/>
      <ns0:c r="G1381" s="29"/>
      <ns0:c r="H1381" s="29"/>
      <ns0:c r="I1381" s="29"/>
      <ns0:c r="J1381" s="29"/>
      <ns0:c r="K1381" s="29"/>
    </ns0:row>
    <ns0:row r="1382" ht="28" customHeight="1">
      <ns0:c r="A1382" s="29"/>
      <ns0:c r="B1382" s="30"/>
      <ns0:c r="C1382" s="28"/>
      <ns0:c r="D1382" s="29"/>
      <ns0:c r="E1382" s="31"/>
      <ns0:c r="F1382" s="32"/>
      <ns0:c r="G1382" s="29"/>
      <ns0:c r="H1382" s="29"/>
      <ns0:c r="I1382" s="29"/>
      <ns0:c r="J1382" s="29"/>
      <ns0:c r="K1382" s="29"/>
    </ns0:row>
    <ns0:row r="1383" ht="28" customHeight="1">
      <ns0:c r="A1383" s="29"/>
      <ns0:c r="B1383" s="30"/>
      <ns0:c r="C1383" s="28"/>
      <ns0:c r="D1383" s="29"/>
      <ns0:c r="E1383" s="31"/>
      <ns0:c r="F1383" s="32"/>
      <ns0:c r="G1383" s="29"/>
      <ns0:c r="H1383" s="29"/>
      <ns0:c r="I1383" s="29"/>
      <ns0:c r="J1383" s="29"/>
      <ns0:c r="K1383" s="29"/>
    </ns0:row>
    <ns0:row r="1384" ht="28" customHeight="1">
      <ns0:c r="A1384" s="29"/>
      <ns0:c r="B1384" s="30"/>
      <ns0:c r="C1384" s="28"/>
      <ns0:c r="D1384" s="29"/>
      <ns0:c r="E1384" s="31"/>
      <ns0:c r="F1384" s="32"/>
      <ns0:c r="G1384" s="29"/>
      <ns0:c r="H1384" s="29"/>
      <ns0:c r="I1384" s="29"/>
      <ns0:c r="J1384" s="29"/>
      <ns0:c r="K1384" s="29"/>
    </ns0:row>
    <ns0:row r="1385" ht="28" customHeight="1">
      <ns0:c r="A1385" s="29"/>
      <ns0:c r="B1385" s="30"/>
      <ns0:c r="C1385" s="28"/>
      <ns0:c r="D1385" s="29"/>
      <ns0:c r="E1385" s="31"/>
      <ns0:c r="F1385" s="32"/>
      <ns0:c r="G1385" s="29"/>
      <ns0:c r="H1385" s="29"/>
      <ns0:c r="I1385" s="29"/>
      <ns0:c r="J1385" s="29"/>
      <ns0:c r="K1385" s="29"/>
    </ns0:row>
    <ns0:row r="1386" ht="28" customHeight="1">
      <ns0:c r="A1386" s="29"/>
      <ns0:c r="B1386" s="30"/>
      <ns0:c r="C1386" s="28"/>
      <ns0:c r="D1386" s="29"/>
      <ns0:c r="E1386" s="31"/>
      <ns0:c r="F1386" s="32"/>
      <ns0:c r="G1386" s="29"/>
      <ns0:c r="H1386" s="29"/>
      <ns0:c r="I1386" s="29"/>
      <ns0:c r="J1386" s="29"/>
      <ns0:c r="K1386" s="29"/>
    </ns0:row>
    <ns0:row r="1387" ht="28" customHeight="1">
      <ns0:c r="A1387" s="29"/>
      <ns0:c r="B1387" s="30"/>
      <ns0:c r="C1387" s="28"/>
      <ns0:c r="D1387" s="29"/>
      <ns0:c r="E1387" s="31"/>
      <ns0:c r="F1387" s="32"/>
      <ns0:c r="G1387" s="29"/>
      <ns0:c r="H1387" s="29"/>
      <ns0:c r="I1387" s="29"/>
      <ns0:c r="J1387" s="29"/>
      <ns0:c r="K1387" s="29"/>
    </ns0:row>
    <ns0:row r="1388" ht="28" customHeight="1">
      <ns0:c r="A1388" s="29"/>
      <ns0:c r="B1388" s="30"/>
      <ns0:c r="C1388" s="28"/>
      <ns0:c r="D1388" s="29"/>
      <ns0:c r="E1388" s="31"/>
      <ns0:c r="F1388" s="32"/>
      <ns0:c r="G1388" s="29"/>
      <ns0:c r="H1388" s="29"/>
      <ns0:c r="I1388" s="29"/>
      <ns0:c r="J1388" s="29"/>
      <ns0:c r="K1388" s="29"/>
    </ns0:row>
    <ns0:row r="1389" ht="28" customHeight="1">
      <ns0:c r="A1389" s="29"/>
      <ns0:c r="B1389" s="30"/>
      <ns0:c r="C1389" s="28"/>
      <ns0:c r="D1389" s="29"/>
      <ns0:c r="E1389" s="31"/>
      <ns0:c r="F1389" s="32"/>
      <ns0:c r="G1389" s="29"/>
      <ns0:c r="H1389" s="29"/>
      <ns0:c r="I1389" s="29"/>
      <ns0:c r="J1389" s="29"/>
      <ns0:c r="K1389" s="29"/>
    </ns0:row>
    <ns0:row r="1390" ht="28" customHeight="1">
      <ns0:c r="A1390" s="29"/>
      <ns0:c r="B1390" s="30"/>
      <ns0:c r="C1390" s="28"/>
      <ns0:c r="D1390" s="29"/>
      <ns0:c r="E1390" s="31"/>
      <ns0:c r="F1390" s="32"/>
      <ns0:c r="G1390" s="29"/>
      <ns0:c r="H1390" s="29"/>
      <ns0:c r="I1390" s="29"/>
      <ns0:c r="J1390" s="29"/>
      <ns0:c r="K1390" s="29"/>
    </ns0:row>
    <ns0:row r="1391" ht="28" customHeight="1">
      <ns0:c r="A1391" s="29"/>
      <ns0:c r="B1391" s="30"/>
      <ns0:c r="C1391" s="28"/>
      <ns0:c r="D1391" s="29"/>
      <ns0:c r="E1391" s="31"/>
      <ns0:c r="F1391" s="32"/>
      <ns0:c r="G1391" s="29"/>
      <ns0:c r="H1391" s="29"/>
      <ns0:c r="I1391" s="29"/>
      <ns0:c r="J1391" s="29"/>
      <ns0:c r="K1391" s="29"/>
    </ns0:row>
    <ns0:row r="1392" ht="28" customHeight="1">
      <ns0:c r="A1392" s="29"/>
      <ns0:c r="B1392" s="30"/>
      <ns0:c r="C1392" s="28"/>
      <ns0:c r="D1392" s="29"/>
      <ns0:c r="E1392" s="31"/>
      <ns0:c r="F1392" s="32"/>
      <ns0:c r="G1392" s="29"/>
      <ns0:c r="H1392" s="29"/>
      <ns0:c r="I1392" s="29"/>
      <ns0:c r="J1392" s="29"/>
      <ns0:c r="K1392" s="29"/>
    </ns0:row>
    <ns0:row r="1393" ht="28" customHeight="1">
      <ns0:c r="A1393" s="29"/>
      <ns0:c r="B1393" s="30"/>
      <ns0:c r="C1393" s="28"/>
      <ns0:c r="D1393" s="29"/>
      <ns0:c r="E1393" s="31"/>
      <ns0:c r="F1393" s="32"/>
      <ns0:c r="G1393" s="29"/>
      <ns0:c r="H1393" s="29"/>
      <ns0:c r="I1393" s="29"/>
      <ns0:c r="J1393" s="29"/>
      <ns0:c r="K1393" s="29"/>
    </ns0:row>
    <ns0:row r="1394" ht="28" customHeight="1">
      <ns0:c r="A1394" s="29"/>
      <ns0:c r="B1394" s="30"/>
      <ns0:c r="C1394" s="28"/>
      <ns0:c r="D1394" s="29"/>
      <ns0:c r="E1394" s="31"/>
      <ns0:c r="F1394" s="32"/>
      <ns0:c r="G1394" s="29"/>
      <ns0:c r="H1394" s="29"/>
      <ns0:c r="I1394" s="29"/>
      <ns0:c r="J1394" s="29"/>
      <ns0:c r="K1394" s="29"/>
    </ns0:row>
    <ns0:row r="1395" ht="28" customHeight="1">
      <ns0:c r="A1395" s="29"/>
      <ns0:c r="B1395" s="30"/>
      <ns0:c r="C1395" s="28"/>
      <ns0:c r="D1395" s="29"/>
      <ns0:c r="E1395" s="31"/>
      <ns0:c r="F1395" s="32"/>
      <ns0:c r="G1395" s="29"/>
      <ns0:c r="H1395" s="29"/>
      <ns0:c r="I1395" s="29"/>
      <ns0:c r="J1395" s="29"/>
      <ns0:c r="K1395" s="29"/>
    </ns0:row>
    <ns0:row r="1396" ht="28" customHeight="1">
      <ns0:c r="A1396" s="29"/>
      <ns0:c r="B1396" s="30"/>
      <ns0:c r="C1396" s="28"/>
      <ns0:c r="D1396" s="29"/>
      <ns0:c r="E1396" s="31"/>
      <ns0:c r="F1396" s="32"/>
      <ns0:c r="G1396" s="29"/>
      <ns0:c r="H1396" s="29"/>
      <ns0:c r="I1396" s="29"/>
      <ns0:c r="J1396" s="29"/>
      <ns0:c r="K1396" s="29"/>
    </ns0:row>
    <ns0:row r="1397" ht="28" customHeight="1">
      <ns0:c r="A1397" s="29"/>
      <ns0:c r="B1397" s="30"/>
      <ns0:c r="C1397" s="28"/>
      <ns0:c r="D1397" s="29"/>
      <ns0:c r="E1397" s="31"/>
      <ns0:c r="F1397" s="32"/>
      <ns0:c r="G1397" s="29"/>
      <ns0:c r="H1397" s="29"/>
      <ns0:c r="I1397" s="29"/>
      <ns0:c r="J1397" s="29"/>
      <ns0:c r="K1397" s="29"/>
    </ns0:row>
    <ns0:row r="1398" ht="28" customHeight="1">
      <ns0:c r="A1398" s="29"/>
      <ns0:c r="B1398" s="30"/>
      <ns0:c r="C1398" s="28"/>
      <ns0:c r="D1398" s="29"/>
      <ns0:c r="E1398" s="31"/>
      <ns0:c r="F1398" s="32"/>
      <ns0:c r="G1398" s="29"/>
      <ns0:c r="H1398" s="29"/>
      <ns0:c r="I1398" s="29"/>
      <ns0:c r="J1398" s="29"/>
      <ns0:c r="K1398" s="29"/>
    </ns0:row>
    <ns0:row r="1399" ht="28" customHeight="1">
      <ns0:c r="A1399" s="29"/>
      <ns0:c r="B1399" s="30"/>
      <ns0:c r="C1399" s="28"/>
      <ns0:c r="D1399" s="29"/>
      <ns0:c r="E1399" s="31"/>
      <ns0:c r="F1399" s="32"/>
      <ns0:c r="G1399" s="29"/>
      <ns0:c r="H1399" s="29"/>
      <ns0:c r="I1399" s="29"/>
      <ns0:c r="J1399" s="29"/>
      <ns0:c r="K1399" s="29"/>
    </ns0:row>
    <ns0:row r="1400" ht="28" customHeight="1">
      <ns0:c r="A1400" s="29"/>
      <ns0:c r="B1400" s="30"/>
      <ns0:c r="C1400" s="28"/>
      <ns0:c r="D1400" s="29"/>
      <ns0:c r="E1400" s="31"/>
      <ns0:c r="F1400" s="32"/>
      <ns0:c r="G1400" s="29"/>
      <ns0:c r="H1400" s="29"/>
      <ns0:c r="I1400" s="29"/>
      <ns0:c r="J1400" s="29"/>
      <ns0:c r="K1400" s="29"/>
    </ns0:row>
    <ns0:row r="1401" ht="28" customHeight="1">
      <ns0:c r="A1401" s="29"/>
      <ns0:c r="B1401" s="30"/>
      <ns0:c r="C1401" s="28"/>
      <ns0:c r="D1401" s="29"/>
      <ns0:c r="E1401" s="31"/>
      <ns0:c r="F1401" s="32"/>
      <ns0:c r="G1401" s="29"/>
      <ns0:c r="H1401" s="29"/>
      <ns0:c r="I1401" s="29"/>
      <ns0:c r="J1401" s="29"/>
      <ns0:c r="K1401" s="29"/>
    </ns0:row>
    <ns0:row r="1402" ht="28" customHeight="1">
      <ns0:c r="A1402" s="29"/>
      <ns0:c r="B1402" s="30"/>
      <ns0:c r="C1402" s="28"/>
      <ns0:c r="D1402" s="29"/>
      <ns0:c r="E1402" s="31"/>
      <ns0:c r="F1402" s="32"/>
      <ns0:c r="G1402" s="29"/>
      <ns0:c r="H1402" s="29"/>
      <ns0:c r="I1402" s="29"/>
      <ns0:c r="J1402" s="29"/>
      <ns0:c r="K1402" s="29"/>
    </ns0:row>
    <ns0:row r="1403" ht="28" customHeight="1">
      <ns0:c r="A1403" s="29"/>
      <ns0:c r="B1403" s="30"/>
      <ns0:c r="C1403" s="28"/>
      <ns0:c r="D1403" s="29"/>
      <ns0:c r="E1403" s="31"/>
      <ns0:c r="F1403" s="32"/>
      <ns0:c r="G1403" s="29"/>
      <ns0:c r="H1403" s="29"/>
      <ns0:c r="I1403" s="29"/>
      <ns0:c r="J1403" s="29"/>
      <ns0:c r="K1403" s="29"/>
    </ns0:row>
    <ns0:row r="1404" ht="28" customHeight="1">
      <ns0:c r="A1404" s="29"/>
      <ns0:c r="B1404" s="30"/>
      <ns0:c r="C1404" s="28"/>
      <ns0:c r="D1404" s="29"/>
      <ns0:c r="E1404" s="31"/>
      <ns0:c r="F1404" s="32"/>
      <ns0:c r="G1404" s="29"/>
      <ns0:c r="H1404" s="29"/>
      <ns0:c r="I1404" s="29"/>
      <ns0:c r="J1404" s="29"/>
      <ns0:c r="K1404" s="29"/>
    </ns0:row>
    <ns0:row r="1405" ht="28" customHeight="1">
      <ns0:c r="A1405" s="29"/>
      <ns0:c r="B1405" s="30"/>
      <ns0:c r="C1405" s="28"/>
      <ns0:c r="D1405" s="29"/>
      <ns0:c r="E1405" s="31"/>
      <ns0:c r="F1405" s="32"/>
      <ns0:c r="G1405" s="29"/>
      <ns0:c r="H1405" s="29"/>
      <ns0:c r="I1405" s="29"/>
      <ns0:c r="J1405" s="29"/>
      <ns0:c r="K1405" s="29"/>
    </ns0:row>
    <ns0:row r="1406" ht="28" customHeight="1">
      <ns0:c r="A1406" s="29"/>
      <ns0:c r="B1406" s="30"/>
      <ns0:c r="C1406" s="28"/>
      <ns0:c r="D1406" s="29"/>
      <ns0:c r="E1406" s="31"/>
      <ns0:c r="F1406" s="32"/>
      <ns0:c r="G1406" s="29"/>
      <ns0:c r="H1406" s="29"/>
      <ns0:c r="I1406" s="29"/>
      <ns0:c r="J1406" s="29"/>
      <ns0:c r="K1406" s="29"/>
    </ns0:row>
    <ns0:row r="1407" ht="28" customHeight="1">
      <ns0:c r="A1407" s="29"/>
      <ns0:c r="B1407" s="30"/>
      <ns0:c r="C1407" s="28"/>
      <ns0:c r="D1407" s="29"/>
      <ns0:c r="E1407" s="31"/>
      <ns0:c r="F1407" s="32"/>
      <ns0:c r="G1407" s="29"/>
      <ns0:c r="H1407" s="29"/>
      <ns0:c r="I1407" s="29"/>
      <ns0:c r="J1407" s="29"/>
      <ns0:c r="K1407" s="29"/>
    </ns0:row>
    <ns0:row r="1408" ht="28" customHeight="1">
      <ns0:c r="A1408" s="29"/>
      <ns0:c r="B1408" s="30"/>
      <ns0:c r="C1408" s="28"/>
      <ns0:c r="D1408" s="29"/>
      <ns0:c r="E1408" s="31"/>
      <ns0:c r="F1408" s="32"/>
      <ns0:c r="G1408" s="29"/>
      <ns0:c r="H1408" s="29"/>
      <ns0:c r="I1408" s="29"/>
      <ns0:c r="J1408" s="29"/>
      <ns0:c r="K1408" s="29"/>
    </ns0:row>
    <ns0:row r="1409" ht="28" customHeight="1">
      <ns0:c r="A1409" s="29"/>
      <ns0:c r="B1409" s="30"/>
      <ns0:c r="C1409" s="28"/>
      <ns0:c r="D1409" s="29"/>
      <ns0:c r="E1409" s="31"/>
      <ns0:c r="F1409" s="32"/>
      <ns0:c r="G1409" s="29"/>
      <ns0:c r="H1409" s="29"/>
      <ns0:c r="I1409" s="29"/>
      <ns0:c r="J1409" s="29"/>
      <ns0:c r="K1409" s="29"/>
    </ns0:row>
    <ns0:row r="1410" ht="28" customHeight="1">
      <ns0:c r="A1410" s="29"/>
      <ns0:c r="B1410" s="30"/>
      <ns0:c r="C1410" s="28"/>
      <ns0:c r="D1410" s="29"/>
      <ns0:c r="E1410" s="31"/>
      <ns0:c r="F1410" s="32"/>
      <ns0:c r="G1410" s="29"/>
      <ns0:c r="H1410" s="29"/>
      <ns0:c r="I1410" s="29"/>
      <ns0:c r="J1410" s="29"/>
      <ns0:c r="K1410" s="29"/>
    </ns0:row>
    <ns0:row r="1411" ht="28" customHeight="1">
      <ns0:c r="A1411" s="29"/>
      <ns0:c r="B1411" s="30"/>
      <ns0:c r="C1411" s="28"/>
      <ns0:c r="D1411" s="29"/>
      <ns0:c r="E1411" s="31"/>
      <ns0:c r="F1411" s="32"/>
      <ns0:c r="G1411" s="29"/>
      <ns0:c r="H1411" s="29"/>
      <ns0:c r="I1411" s="29"/>
      <ns0:c r="J1411" s="29"/>
      <ns0:c r="K1411" s="29"/>
    </ns0:row>
    <ns0:row r="1412" ht="28" customHeight="1">
      <ns0:c r="A1412" s="29"/>
      <ns0:c r="B1412" s="30"/>
      <ns0:c r="C1412" s="28"/>
      <ns0:c r="D1412" s="29"/>
      <ns0:c r="E1412" s="31"/>
      <ns0:c r="F1412" s="32"/>
      <ns0:c r="G1412" s="29"/>
      <ns0:c r="H1412" s="29"/>
      <ns0:c r="I1412" s="29"/>
      <ns0:c r="J1412" s="29"/>
      <ns0:c r="K1412" s="29"/>
    </ns0:row>
    <ns0:row r="1413" ht="28" customHeight="1">
      <ns0:c r="A1413" s="29"/>
      <ns0:c r="B1413" s="30"/>
      <ns0:c r="C1413" s="28"/>
      <ns0:c r="D1413" s="29"/>
      <ns0:c r="E1413" s="31"/>
      <ns0:c r="F1413" s="32"/>
      <ns0:c r="G1413" s="29"/>
      <ns0:c r="H1413" s="29"/>
      <ns0:c r="I1413" s="29"/>
      <ns0:c r="J1413" s="29"/>
      <ns0:c r="K1413" s="29"/>
    </ns0:row>
    <ns0:row r="1414" ht="28" customHeight="1">
      <ns0:c r="A1414" s="29"/>
      <ns0:c r="B1414" s="30"/>
      <ns0:c r="C1414" s="28"/>
      <ns0:c r="D1414" s="29"/>
      <ns0:c r="E1414" s="31"/>
      <ns0:c r="F1414" s="32"/>
      <ns0:c r="G1414" s="29"/>
      <ns0:c r="H1414" s="29"/>
      <ns0:c r="I1414" s="29"/>
      <ns0:c r="J1414" s="29"/>
      <ns0:c r="K1414" s="29"/>
    </ns0:row>
    <ns0:row r="1415" ht="28" customHeight="1">
      <ns0:c r="A1415" s="29"/>
      <ns0:c r="B1415" s="30"/>
      <ns0:c r="C1415" s="28"/>
      <ns0:c r="D1415" s="29"/>
      <ns0:c r="E1415" s="31"/>
      <ns0:c r="F1415" s="32"/>
      <ns0:c r="G1415" s="29"/>
      <ns0:c r="H1415" s="29"/>
      <ns0:c r="I1415" s="29"/>
      <ns0:c r="J1415" s="29"/>
      <ns0:c r="K1415" s="29"/>
    </ns0:row>
    <ns0:row r="1416" ht="28" customHeight="1">
      <ns0:c r="A1416" s="29"/>
      <ns0:c r="B1416" s="30"/>
      <ns0:c r="C1416" s="28"/>
      <ns0:c r="D1416" s="29"/>
      <ns0:c r="E1416" s="31"/>
      <ns0:c r="F1416" s="32"/>
      <ns0:c r="G1416" s="29"/>
      <ns0:c r="H1416" s="29"/>
      <ns0:c r="I1416" s="29"/>
      <ns0:c r="J1416" s="29"/>
      <ns0:c r="K1416" s="29"/>
    </ns0:row>
    <ns0:row r="1417" ht="28" customHeight="1">
      <ns0:c r="A1417" s="29"/>
      <ns0:c r="B1417" s="30"/>
      <ns0:c r="C1417" s="28"/>
      <ns0:c r="D1417" s="29"/>
      <ns0:c r="E1417" s="31"/>
      <ns0:c r="F1417" s="32"/>
      <ns0:c r="G1417" s="29"/>
      <ns0:c r="H1417" s="29"/>
      <ns0:c r="I1417" s="29"/>
      <ns0:c r="J1417" s="29"/>
      <ns0:c r="K1417" s="29"/>
    </ns0:row>
    <ns0:row r="1418" ht="28" customHeight="1">
      <ns0:c r="A1418" s="29"/>
      <ns0:c r="B1418" s="30"/>
      <ns0:c r="C1418" s="28"/>
      <ns0:c r="D1418" s="29"/>
      <ns0:c r="E1418" s="31"/>
      <ns0:c r="F1418" s="32"/>
      <ns0:c r="G1418" s="29"/>
      <ns0:c r="H1418" s="29"/>
      <ns0:c r="I1418" s="29"/>
      <ns0:c r="J1418" s="29"/>
      <ns0:c r="K1418" s="29"/>
    </ns0:row>
    <ns0:row r="1419" ht="28" customHeight="1">
      <ns0:c r="A1419" s="29"/>
      <ns0:c r="B1419" s="30"/>
      <ns0:c r="C1419" s="28"/>
      <ns0:c r="D1419" s="29"/>
      <ns0:c r="E1419" s="31"/>
      <ns0:c r="F1419" s="32"/>
      <ns0:c r="G1419" s="29"/>
      <ns0:c r="H1419" s="29"/>
      <ns0:c r="I1419" s="29"/>
      <ns0:c r="J1419" s="29"/>
      <ns0:c r="K1419" s="29"/>
    </ns0:row>
    <ns0:row r="1420" ht="28" customHeight="1">
      <ns0:c r="A1420" s="29"/>
      <ns0:c r="B1420" s="30"/>
      <ns0:c r="C1420" s="28"/>
      <ns0:c r="D1420" s="29"/>
      <ns0:c r="E1420" s="31"/>
      <ns0:c r="F1420" s="32"/>
      <ns0:c r="G1420" s="29"/>
      <ns0:c r="H1420" s="29"/>
      <ns0:c r="I1420" s="29"/>
      <ns0:c r="J1420" s="29"/>
      <ns0:c r="K1420" s="29"/>
    </ns0:row>
    <ns0:row r="1421" ht="28" customHeight="1">
      <ns0:c r="A1421" s="29"/>
      <ns0:c r="B1421" s="30"/>
      <ns0:c r="C1421" s="28"/>
      <ns0:c r="D1421" s="29"/>
      <ns0:c r="E1421" s="31"/>
      <ns0:c r="F1421" s="32"/>
      <ns0:c r="G1421" s="29"/>
      <ns0:c r="H1421" s="29"/>
      <ns0:c r="I1421" s="29"/>
      <ns0:c r="J1421" s="29"/>
      <ns0:c r="K1421" s="29"/>
    </ns0:row>
    <ns0:row r="1422" ht="28" customHeight="1">
      <ns0:c r="A1422" s="29"/>
      <ns0:c r="B1422" s="30"/>
      <ns0:c r="C1422" s="28"/>
      <ns0:c r="D1422" s="29"/>
      <ns0:c r="E1422" s="31"/>
      <ns0:c r="F1422" s="32"/>
      <ns0:c r="G1422" s="29"/>
      <ns0:c r="H1422" s="29"/>
      <ns0:c r="I1422" s="29"/>
      <ns0:c r="J1422" s="29"/>
      <ns0:c r="K1422" s="29"/>
    </ns0:row>
    <ns0:row r="1423" ht="28" customHeight="1">
      <ns0:c r="A1423" s="29"/>
      <ns0:c r="B1423" s="30"/>
      <ns0:c r="C1423" s="28"/>
      <ns0:c r="D1423" s="29"/>
      <ns0:c r="E1423" s="31"/>
      <ns0:c r="F1423" s="32"/>
      <ns0:c r="G1423" s="29"/>
      <ns0:c r="H1423" s="29"/>
      <ns0:c r="I1423" s="29"/>
      <ns0:c r="J1423" s="29"/>
      <ns0:c r="K1423" s="29"/>
    </ns0:row>
    <ns0:row r="1424" ht="28" customHeight="1">
      <ns0:c r="A1424" s="29"/>
      <ns0:c r="B1424" s="30"/>
      <ns0:c r="C1424" s="28"/>
      <ns0:c r="D1424" s="29"/>
      <ns0:c r="E1424" s="31"/>
      <ns0:c r="F1424" s="32"/>
      <ns0:c r="G1424" s="29"/>
      <ns0:c r="H1424" s="29"/>
      <ns0:c r="I1424" s="29"/>
      <ns0:c r="J1424" s="29"/>
      <ns0:c r="K1424" s="29"/>
    </ns0:row>
    <ns0:row r="1425" ht="28" customHeight="1">
      <ns0:c r="A1425" s="29"/>
      <ns0:c r="B1425" s="30"/>
      <ns0:c r="C1425" s="28"/>
      <ns0:c r="D1425" s="29"/>
      <ns0:c r="E1425" s="31"/>
      <ns0:c r="F1425" s="32"/>
      <ns0:c r="G1425" s="29"/>
      <ns0:c r="H1425" s="29"/>
      <ns0:c r="I1425" s="29"/>
      <ns0:c r="J1425" s="29"/>
      <ns0:c r="K1425" s="29"/>
    </ns0:row>
    <ns0:row r="1426" ht="28" customHeight="1">
      <ns0:c r="A1426" s="29"/>
      <ns0:c r="B1426" s="30"/>
      <ns0:c r="C1426" s="28"/>
      <ns0:c r="D1426" s="29"/>
      <ns0:c r="E1426" s="31"/>
      <ns0:c r="F1426" s="32"/>
      <ns0:c r="G1426" s="29"/>
      <ns0:c r="H1426" s="29"/>
      <ns0:c r="I1426" s="29"/>
      <ns0:c r="J1426" s="29"/>
      <ns0:c r="K1426" s="29"/>
    </ns0:row>
    <ns0:row r="1427" ht="28" customHeight="1">
      <ns0:c r="A1427" s="29"/>
      <ns0:c r="B1427" s="30"/>
      <ns0:c r="C1427" s="28"/>
      <ns0:c r="D1427" s="29"/>
      <ns0:c r="E1427" s="31"/>
      <ns0:c r="F1427" s="32"/>
      <ns0:c r="G1427" s="29"/>
      <ns0:c r="H1427" s="29"/>
      <ns0:c r="I1427" s="29"/>
      <ns0:c r="J1427" s="29"/>
      <ns0:c r="K1427" s="29"/>
    </ns0:row>
    <ns0:row r="1428" ht="28" customHeight="1">
      <ns0:c r="A1428" s="29"/>
      <ns0:c r="B1428" s="30"/>
      <ns0:c r="C1428" s="28"/>
      <ns0:c r="D1428" s="29"/>
      <ns0:c r="E1428" s="31"/>
      <ns0:c r="F1428" s="32"/>
      <ns0:c r="G1428" s="29"/>
      <ns0:c r="H1428" s="29"/>
      <ns0:c r="I1428" s="29"/>
      <ns0:c r="J1428" s="29"/>
      <ns0:c r="K1428" s="29"/>
    </ns0:row>
    <ns0:row r="1429" ht="28" customHeight="1">
      <ns0:c r="A1429" s="29"/>
      <ns0:c r="B1429" s="30"/>
      <ns0:c r="C1429" s="28"/>
      <ns0:c r="D1429" s="29"/>
      <ns0:c r="E1429" s="31"/>
      <ns0:c r="F1429" s="32"/>
      <ns0:c r="G1429" s="29"/>
      <ns0:c r="H1429" s="29"/>
      <ns0:c r="I1429" s="29"/>
      <ns0:c r="J1429" s="29"/>
      <ns0:c r="K1429" s="29"/>
    </ns0:row>
    <ns0:row r="1430" ht="28" customHeight="1">
      <ns0:c r="A1430" s="29"/>
      <ns0:c r="B1430" s="30"/>
      <ns0:c r="C1430" s="28"/>
      <ns0:c r="D1430" s="29"/>
      <ns0:c r="E1430" s="31"/>
      <ns0:c r="F1430" s="32"/>
      <ns0:c r="G1430" s="29"/>
      <ns0:c r="H1430" s="29"/>
      <ns0:c r="I1430" s="29"/>
      <ns0:c r="J1430" s="29"/>
      <ns0:c r="K1430" s="29"/>
    </ns0:row>
    <ns0:row r="1431" ht="28" customHeight="1">
      <ns0:c r="A1431" s="29"/>
      <ns0:c r="B1431" s="30"/>
      <ns0:c r="C1431" s="28"/>
      <ns0:c r="D1431" s="29"/>
      <ns0:c r="E1431" s="31"/>
      <ns0:c r="F1431" s="32"/>
      <ns0:c r="G1431" s="29"/>
      <ns0:c r="H1431" s="29"/>
      <ns0:c r="I1431" s="29"/>
      <ns0:c r="J1431" s="29"/>
      <ns0:c r="K1431" s="29"/>
    </ns0:row>
    <ns0:row r="1432" ht="28" customHeight="1">
      <ns0:c r="A1432" s="29"/>
      <ns0:c r="B1432" s="30"/>
      <ns0:c r="C1432" s="28"/>
      <ns0:c r="D1432" s="29"/>
      <ns0:c r="E1432" s="31"/>
      <ns0:c r="F1432" s="32"/>
      <ns0:c r="G1432" s="29"/>
      <ns0:c r="H1432" s="29"/>
      <ns0:c r="I1432" s="29"/>
      <ns0:c r="J1432" s="29"/>
      <ns0:c r="K1432" s="29"/>
    </ns0:row>
    <ns0:row r="1433" ht="28" customHeight="1">
      <ns0:c r="A1433" s="29"/>
      <ns0:c r="B1433" s="30"/>
      <ns0:c r="C1433" s="28"/>
      <ns0:c r="D1433" s="29"/>
      <ns0:c r="E1433" s="31"/>
      <ns0:c r="F1433" s="32"/>
      <ns0:c r="G1433" s="29"/>
      <ns0:c r="H1433" s="29"/>
      <ns0:c r="I1433" s="29"/>
      <ns0:c r="J1433" s="29"/>
      <ns0:c r="K1433" s="29"/>
    </ns0:row>
    <ns0:row r="1434" ht="28" customHeight="1">
      <ns0:c r="A1434" s="29"/>
      <ns0:c r="B1434" s="30"/>
      <ns0:c r="C1434" s="28"/>
      <ns0:c r="D1434" s="29"/>
      <ns0:c r="E1434" s="31"/>
      <ns0:c r="F1434" s="32"/>
      <ns0:c r="G1434" s="29"/>
      <ns0:c r="H1434" s="29"/>
      <ns0:c r="I1434" s="29"/>
      <ns0:c r="J1434" s="29"/>
      <ns0:c r="K1434" s="29"/>
    </ns0:row>
    <ns0:row r="1435" ht="28" customHeight="1">
      <ns0:c r="A1435" s="29"/>
      <ns0:c r="B1435" s="30"/>
      <ns0:c r="C1435" s="28"/>
      <ns0:c r="D1435" s="29"/>
      <ns0:c r="E1435" s="31"/>
      <ns0:c r="F1435" s="32"/>
      <ns0:c r="G1435" s="29"/>
      <ns0:c r="H1435" s="29"/>
      <ns0:c r="I1435" s="29"/>
      <ns0:c r="J1435" s="29"/>
      <ns0:c r="K1435" s="29"/>
    </ns0:row>
    <ns0:row r="1436" ht="28" customHeight="1">
      <ns0:c r="A1436" s="29"/>
      <ns0:c r="B1436" s="30"/>
      <ns0:c r="C1436" s="28"/>
      <ns0:c r="D1436" s="29"/>
      <ns0:c r="E1436" s="31"/>
      <ns0:c r="F1436" s="32"/>
      <ns0:c r="G1436" s="29"/>
      <ns0:c r="H1436" s="29"/>
      <ns0:c r="I1436" s="29"/>
      <ns0:c r="J1436" s="29"/>
      <ns0:c r="K1436" s="29"/>
    </ns0:row>
    <ns0:row r="1437" ht="28" customHeight="1">
      <ns0:c r="A1437" s="29"/>
      <ns0:c r="B1437" s="30"/>
      <ns0:c r="C1437" s="28"/>
      <ns0:c r="D1437" s="29"/>
      <ns0:c r="E1437" s="31"/>
      <ns0:c r="F1437" s="32"/>
      <ns0:c r="G1437" s="29"/>
      <ns0:c r="H1437" s="29"/>
      <ns0:c r="I1437" s="29"/>
      <ns0:c r="J1437" s="29"/>
      <ns0:c r="K1437" s="29"/>
    </ns0:row>
    <ns0:row r="1438" ht="28" customHeight="1">
      <ns0:c r="A1438" s="29"/>
      <ns0:c r="B1438" s="30"/>
      <ns0:c r="C1438" s="28"/>
      <ns0:c r="D1438" s="29"/>
      <ns0:c r="E1438" s="31"/>
      <ns0:c r="F1438" s="32"/>
      <ns0:c r="G1438" s="29"/>
      <ns0:c r="H1438" s="29"/>
      <ns0:c r="I1438" s="29"/>
      <ns0:c r="J1438" s="29"/>
      <ns0:c r="K1438" s="29"/>
    </ns0:row>
    <ns0:row r="1439" ht="28" customHeight="1">
      <ns0:c r="A1439" s="29"/>
      <ns0:c r="B1439" s="30"/>
      <ns0:c r="C1439" s="28"/>
      <ns0:c r="D1439" s="29"/>
      <ns0:c r="E1439" s="31"/>
      <ns0:c r="F1439" s="32"/>
      <ns0:c r="G1439" s="29"/>
      <ns0:c r="H1439" s="29"/>
      <ns0:c r="I1439" s="29"/>
      <ns0:c r="J1439" s="29"/>
      <ns0:c r="K1439" s="29"/>
    </ns0:row>
    <ns0:row r="1440" ht="28" customHeight="1">
      <ns0:c r="A1440" s="29"/>
      <ns0:c r="B1440" s="30"/>
      <ns0:c r="C1440" s="28"/>
      <ns0:c r="D1440" s="29"/>
      <ns0:c r="E1440" s="31"/>
      <ns0:c r="F1440" s="32"/>
      <ns0:c r="G1440" s="29"/>
      <ns0:c r="H1440" s="29"/>
      <ns0:c r="I1440" s="29"/>
      <ns0:c r="J1440" s="29"/>
      <ns0:c r="K1440" s="29"/>
    </ns0:row>
    <ns0:row r="1441" ht="28" customHeight="1">
      <ns0:c r="A1441" s="29"/>
      <ns0:c r="B1441" s="30"/>
      <ns0:c r="C1441" s="28"/>
      <ns0:c r="D1441" s="29"/>
      <ns0:c r="E1441" s="31"/>
      <ns0:c r="F1441" s="32"/>
      <ns0:c r="G1441" s="29"/>
      <ns0:c r="H1441" s="29"/>
      <ns0:c r="I1441" s="29"/>
      <ns0:c r="J1441" s="29"/>
      <ns0:c r="K1441" s="29"/>
    </ns0:row>
    <ns0:row r="1442" ht="28" customHeight="1">
      <ns0:c r="A1442" s="29"/>
      <ns0:c r="B1442" s="30"/>
      <ns0:c r="C1442" s="28"/>
      <ns0:c r="D1442" s="29"/>
      <ns0:c r="E1442" s="31"/>
      <ns0:c r="F1442" s="32"/>
      <ns0:c r="G1442" s="29"/>
      <ns0:c r="H1442" s="29"/>
      <ns0:c r="I1442" s="29"/>
      <ns0:c r="J1442" s="29"/>
      <ns0:c r="K1442" s="29"/>
    </ns0:row>
    <ns0:row r="1443" ht="28" customHeight="1">
      <ns0:c r="A1443" s="29"/>
      <ns0:c r="B1443" s="30"/>
      <ns0:c r="C1443" s="28"/>
      <ns0:c r="D1443" s="29"/>
      <ns0:c r="E1443" s="31"/>
      <ns0:c r="F1443" s="32"/>
      <ns0:c r="G1443" s="29"/>
      <ns0:c r="H1443" s="29"/>
      <ns0:c r="I1443" s="29"/>
      <ns0:c r="J1443" s="29"/>
      <ns0:c r="K1443" s="29"/>
    </ns0:row>
    <ns0:row r="1444" ht="28" customHeight="1">
      <ns0:c r="A1444" s="29"/>
      <ns0:c r="B1444" s="30"/>
      <ns0:c r="C1444" s="28"/>
      <ns0:c r="D1444" s="29"/>
      <ns0:c r="E1444" s="31"/>
      <ns0:c r="F1444" s="32"/>
      <ns0:c r="G1444" s="29"/>
      <ns0:c r="H1444" s="29"/>
      <ns0:c r="I1444" s="29"/>
      <ns0:c r="J1444" s="29"/>
      <ns0:c r="K1444" s="29"/>
    </ns0:row>
    <ns0:row r="1445" ht="28" customHeight="1">
      <ns0:c r="A1445" s="29"/>
      <ns0:c r="B1445" s="30"/>
      <ns0:c r="C1445" s="28"/>
      <ns0:c r="D1445" s="29"/>
      <ns0:c r="E1445" s="31"/>
      <ns0:c r="F1445" s="32"/>
      <ns0:c r="G1445" s="29"/>
      <ns0:c r="H1445" s="29"/>
      <ns0:c r="I1445" s="29"/>
      <ns0:c r="J1445" s="29"/>
      <ns0:c r="K1445" s="29"/>
    </ns0:row>
    <ns0:row r="1446" ht="28" customHeight="1">
      <ns0:c r="A1446" s="29"/>
      <ns0:c r="B1446" s="30"/>
      <ns0:c r="C1446" s="28"/>
      <ns0:c r="D1446" s="29"/>
      <ns0:c r="E1446" s="31"/>
      <ns0:c r="F1446" s="32"/>
      <ns0:c r="G1446" s="29"/>
      <ns0:c r="H1446" s="29"/>
      <ns0:c r="I1446" s="29"/>
      <ns0:c r="J1446" s="29"/>
      <ns0:c r="K1446" s="29"/>
    </ns0:row>
    <ns0:row r="1447" ht="28" customHeight="1">
      <ns0:c r="A1447" s="29"/>
      <ns0:c r="B1447" s="30"/>
      <ns0:c r="C1447" s="28"/>
      <ns0:c r="D1447" s="29"/>
      <ns0:c r="E1447" s="31"/>
      <ns0:c r="F1447" s="32"/>
      <ns0:c r="G1447" s="29"/>
      <ns0:c r="H1447" s="29"/>
      <ns0:c r="I1447" s="29"/>
      <ns0:c r="J1447" s="29"/>
      <ns0:c r="K1447" s="29"/>
    </ns0:row>
    <ns0:row r="1448" ht="28" customHeight="1">
      <ns0:c r="A1448" s="29"/>
      <ns0:c r="B1448" s="30"/>
      <ns0:c r="C1448" s="28"/>
      <ns0:c r="D1448" s="29"/>
      <ns0:c r="E1448" s="31"/>
      <ns0:c r="F1448" s="32"/>
      <ns0:c r="G1448" s="29"/>
      <ns0:c r="H1448" s="29"/>
      <ns0:c r="I1448" s="29"/>
      <ns0:c r="J1448" s="29"/>
      <ns0:c r="K1448" s="29"/>
    </ns0:row>
    <ns0:row r="1449" ht="28" customHeight="1">
      <ns0:c r="A1449" s="29"/>
      <ns0:c r="B1449" s="30"/>
      <ns0:c r="C1449" s="28"/>
      <ns0:c r="D1449" s="29"/>
      <ns0:c r="E1449" s="31"/>
      <ns0:c r="F1449" s="32"/>
      <ns0:c r="G1449" s="29"/>
      <ns0:c r="H1449" s="29"/>
      <ns0:c r="I1449" s="29"/>
      <ns0:c r="J1449" s="29"/>
      <ns0:c r="K1449" s="29"/>
    </ns0:row>
    <ns0:row r="1450" ht="28" customHeight="1">
      <ns0:c r="A1450" s="29"/>
      <ns0:c r="B1450" s="30"/>
      <ns0:c r="C1450" s="28"/>
      <ns0:c r="D1450" s="29"/>
      <ns0:c r="E1450" s="31"/>
      <ns0:c r="F1450" s="32"/>
      <ns0:c r="G1450" s="29"/>
      <ns0:c r="H1450" s="29"/>
      <ns0:c r="I1450" s="29"/>
      <ns0:c r="J1450" s="29"/>
      <ns0:c r="K1450" s="29"/>
    </ns0:row>
    <ns0:row r="1451" ht="28" customHeight="1">
      <ns0:c r="A1451" s="29"/>
      <ns0:c r="B1451" s="30"/>
      <ns0:c r="C1451" s="28"/>
      <ns0:c r="D1451" s="29"/>
      <ns0:c r="E1451" s="31"/>
      <ns0:c r="F1451" s="32"/>
      <ns0:c r="G1451" s="29"/>
      <ns0:c r="H1451" s="29"/>
      <ns0:c r="I1451" s="29"/>
      <ns0:c r="J1451" s="29"/>
      <ns0:c r="K1451" s="29"/>
    </ns0:row>
    <ns0:row r="1452" ht="28" customHeight="1">
      <ns0:c r="A1452" s="29"/>
      <ns0:c r="B1452" s="30"/>
      <ns0:c r="C1452" s="28"/>
      <ns0:c r="D1452" s="29"/>
      <ns0:c r="E1452" s="31"/>
      <ns0:c r="F1452" s="32"/>
      <ns0:c r="G1452" s="29"/>
      <ns0:c r="H1452" s="29"/>
      <ns0:c r="I1452" s="29"/>
      <ns0:c r="J1452" s="29"/>
      <ns0:c r="K1452" s="29"/>
    </ns0:row>
    <ns0:row r="1453" ht="28" customHeight="1">
      <ns0:c r="A1453" s="29"/>
      <ns0:c r="B1453" s="30"/>
      <ns0:c r="C1453" s="28"/>
      <ns0:c r="D1453" s="29"/>
      <ns0:c r="E1453" s="31"/>
      <ns0:c r="F1453" s="32"/>
      <ns0:c r="G1453" s="29"/>
      <ns0:c r="H1453" s="29"/>
      <ns0:c r="I1453" s="29"/>
      <ns0:c r="J1453" s="29"/>
      <ns0:c r="K1453" s="29"/>
    </ns0:row>
    <ns0:row r="1454" ht="28" customHeight="1">
      <ns0:c r="A1454" s="29"/>
      <ns0:c r="B1454" s="30"/>
      <ns0:c r="C1454" s="28"/>
      <ns0:c r="D1454" s="29"/>
      <ns0:c r="E1454" s="31"/>
      <ns0:c r="F1454" s="32"/>
      <ns0:c r="G1454" s="29"/>
      <ns0:c r="H1454" s="29"/>
      <ns0:c r="I1454" s="29"/>
      <ns0:c r="J1454" s="29"/>
      <ns0:c r="K1454" s="29"/>
    </ns0:row>
    <ns0:row r="1455" ht="28" customHeight="1">
      <ns0:c r="A1455" s="29"/>
      <ns0:c r="B1455" s="30"/>
      <ns0:c r="C1455" s="28"/>
      <ns0:c r="D1455" s="29"/>
      <ns0:c r="E1455" s="31"/>
      <ns0:c r="F1455" s="32"/>
      <ns0:c r="G1455" s="29"/>
      <ns0:c r="H1455" s="29"/>
      <ns0:c r="I1455" s="29"/>
      <ns0:c r="J1455" s="29"/>
      <ns0:c r="K1455" s="29"/>
    </ns0:row>
    <ns0:row r="1456" ht="28" customHeight="1">
      <ns0:c r="A1456" s="29"/>
      <ns0:c r="B1456" s="30"/>
      <ns0:c r="C1456" s="28"/>
      <ns0:c r="D1456" s="29"/>
      <ns0:c r="E1456" s="31"/>
      <ns0:c r="F1456" s="32"/>
      <ns0:c r="G1456" s="29"/>
      <ns0:c r="H1456" s="29"/>
      <ns0:c r="I1456" s="29"/>
      <ns0:c r="J1456" s="29"/>
      <ns0:c r="K1456" s="29"/>
    </ns0:row>
    <ns0:row r="1457" ht="28" customHeight="1">
      <ns0:c r="A1457" s="29"/>
      <ns0:c r="B1457" s="30"/>
      <ns0:c r="C1457" s="28"/>
      <ns0:c r="D1457" s="29"/>
      <ns0:c r="E1457" s="31"/>
      <ns0:c r="F1457" s="32"/>
      <ns0:c r="G1457" s="29"/>
      <ns0:c r="H1457" s="29"/>
      <ns0:c r="I1457" s="29"/>
      <ns0:c r="J1457" s="29"/>
      <ns0:c r="K1457" s="29"/>
    </ns0:row>
    <ns0:row r="1458" ht="28" customHeight="1">
      <ns0:c r="A1458" s="29"/>
      <ns0:c r="B1458" s="30"/>
      <ns0:c r="C1458" s="28"/>
      <ns0:c r="D1458" s="29"/>
      <ns0:c r="E1458" s="31"/>
      <ns0:c r="F1458" s="32"/>
      <ns0:c r="G1458" s="29"/>
      <ns0:c r="H1458" s="29"/>
      <ns0:c r="I1458" s="29"/>
      <ns0:c r="J1458" s="29"/>
      <ns0:c r="K1458" s="29"/>
    </ns0:row>
    <ns0:row r="1459" ht="28" customHeight="1">
      <ns0:c r="A1459" s="29"/>
      <ns0:c r="B1459" s="30"/>
      <ns0:c r="C1459" s="28"/>
      <ns0:c r="D1459" s="29"/>
      <ns0:c r="E1459" s="31"/>
      <ns0:c r="F1459" s="32"/>
      <ns0:c r="G1459" s="29"/>
      <ns0:c r="H1459" s="29"/>
      <ns0:c r="I1459" s="29"/>
      <ns0:c r="J1459" s="29"/>
      <ns0:c r="K1459" s="29"/>
    </ns0:row>
    <ns0:row r="1460" ht="28" customHeight="1">
      <ns0:c r="A1460" s="29"/>
      <ns0:c r="B1460" s="30"/>
      <ns0:c r="C1460" s="28"/>
      <ns0:c r="D1460" s="29"/>
      <ns0:c r="E1460" s="31"/>
      <ns0:c r="F1460" s="32"/>
      <ns0:c r="G1460" s="29"/>
      <ns0:c r="H1460" s="29"/>
      <ns0:c r="I1460" s="29"/>
      <ns0:c r="J1460" s="29"/>
      <ns0:c r="K1460" s="29"/>
    </ns0:row>
    <ns0:row r="1461" ht="28" customHeight="1">
      <ns0:c r="A1461" s="29"/>
      <ns0:c r="B1461" s="30"/>
      <ns0:c r="C1461" s="28"/>
      <ns0:c r="D1461" s="29"/>
      <ns0:c r="E1461" s="31"/>
      <ns0:c r="F1461" s="32"/>
      <ns0:c r="G1461" s="29"/>
      <ns0:c r="H1461" s="29"/>
      <ns0:c r="I1461" s="29"/>
      <ns0:c r="J1461" s="29"/>
      <ns0:c r="K1461" s="29"/>
    </ns0:row>
    <ns0:row r="1462" ht="28" customHeight="1">
      <ns0:c r="A1462" s="29"/>
      <ns0:c r="B1462" s="30"/>
      <ns0:c r="C1462" s="28"/>
      <ns0:c r="D1462" s="29"/>
      <ns0:c r="E1462" s="31"/>
      <ns0:c r="F1462" s="32"/>
      <ns0:c r="G1462" s="29"/>
      <ns0:c r="H1462" s="29"/>
      <ns0:c r="I1462" s="29"/>
      <ns0:c r="J1462" s="29"/>
      <ns0:c r="K1462" s="29"/>
    </ns0:row>
    <ns0:row r="1463" ht="28" customHeight="1">
      <ns0:c r="A1463" s="29"/>
      <ns0:c r="B1463" s="30"/>
      <ns0:c r="C1463" s="28"/>
      <ns0:c r="D1463" s="29"/>
      <ns0:c r="E1463" s="31"/>
      <ns0:c r="F1463" s="32"/>
      <ns0:c r="G1463" s="29"/>
      <ns0:c r="H1463" s="29"/>
      <ns0:c r="I1463" s="29"/>
      <ns0:c r="J1463" s="29"/>
      <ns0:c r="K1463" s="29"/>
    </ns0:row>
    <ns0:row r="1464" ht="28" customHeight="1">
      <ns0:c r="A1464" s="29"/>
      <ns0:c r="B1464" s="30"/>
      <ns0:c r="C1464" s="28"/>
      <ns0:c r="D1464" s="29"/>
      <ns0:c r="E1464" s="31"/>
      <ns0:c r="F1464" s="32"/>
      <ns0:c r="G1464" s="29"/>
      <ns0:c r="H1464" s="29"/>
      <ns0:c r="I1464" s="29"/>
      <ns0:c r="J1464" s="29"/>
      <ns0:c r="K1464" s="29"/>
    </ns0:row>
    <ns0:row r="1465" ht="28" customHeight="1">
      <ns0:c r="A1465" s="29"/>
      <ns0:c r="B1465" s="30"/>
      <ns0:c r="C1465" s="28"/>
      <ns0:c r="D1465" s="29"/>
      <ns0:c r="E1465" s="31"/>
      <ns0:c r="F1465" s="32"/>
      <ns0:c r="G1465" s="29"/>
      <ns0:c r="H1465" s="29"/>
      <ns0:c r="I1465" s="29"/>
      <ns0:c r="J1465" s="29"/>
      <ns0:c r="K1465" s="29"/>
    </ns0:row>
    <ns0:row r="1466" ht="28" customHeight="1">
      <ns0:c r="A1466" s="29"/>
      <ns0:c r="B1466" s="30"/>
      <ns0:c r="C1466" s="28"/>
      <ns0:c r="D1466" s="29"/>
      <ns0:c r="E1466" s="31"/>
      <ns0:c r="F1466" s="32"/>
      <ns0:c r="G1466" s="29"/>
      <ns0:c r="H1466" s="29"/>
      <ns0:c r="I1466" s="29"/>
      <ns0:c r="J1466" s="29"/>
      <ns0:c r="K1466" s="29"/>
    </ns0:row>
    <ns0:row r="1467" ht="28" customHeight="1">
      <ns0:c r="A1467" s="29"/>
      <ns0:c r="B1467" s="30"/>
      <ns0:c r="C1467" s="28"/>
      <ns0:c r="D1467" s="29"/>
      <ns0:c r="E1467" s="31"/>
      <ns0:c r="F1467" s="32"/>
      <ns0:c r="G1467" s="29"/>
      <ns0:c r="H1467" s="29"/>
      <ns0:c r="I1467" s="29"/>
      <ns0:c r="J1467" s="29"/>
      <ns0:c r="K1467" s="29"/>
    </ns0:row>
    <ns0:row r="1468" ht="28" customHeight="1">
      <ns0:c r="A1468" s="29"/>
      <ns0:c r="B1468" s="30"/>
      <ns0:c r="C1468" s="28"/>
      <ns0:c r="D1468" s="29"/>
      <ns0:c r="E1468" s="31"/>
      <ns0:c r="F1468" s="32"/>
      <ns0:c r="G1468" s="29"/>
      <ns0:c r="H1468" s="29"/>
      <ns0:c r="I1468" s="29"/>
      <ns0:c r="J1468" s="29"/>
      <ns0:c r="K1468" s="29"/>
    </ns0:row>
    <ns0:row r="1469" ht="28" customHeight="1">
      <ns0:c r="A1469" s="29"/>
      <ns0:c r="B1469" s="30"/>
      <ns0:c r="C1469" s="28"/>
      <ns0:c r="D1469" s="29"/>
      <ns0:c r="E1469" s="31"/>
      <ns0:c r="F1469" s="32"/>
      <ns0:c r="G1469" s="29"/>
      <ns0:c r="H1469" s="29"/>
      <ns0:c r="I1469" s="29"/>
      <ns0:c r="J1469" s="29"/>
      <ns0:c r="K1469" s="29"/>
    </ns0:row>
    <ns0:row r="1470" ht="28" customHeight="1">
      <ns0:c r="A1470" s="29"/>
      <ns0:c r="B1470" s="30"/>
      <ns0:c r="C1470" s="28"/>
      <ns0:c r="D1470" s="29"/>
      <ns0:c r="E1470" s="31"/>
      <ns0:c r="F1470" s="32"/>
      <ns0:c r="G1470" s="29"/>
      <ns0:c r="H1470" s="29"/>
      <ns0:c r="I1470" s="29"/>
      <ns0:c r="J1470" s="29"/>
      <ns0:c r="K1470" s="29"/>
    </ns0:row>
    <ns0:row r="1471" ht="28" customHeight="1">
      <ns0:c r="A1471" s="29"/>
      <ns0:c r="B1471" s="30"/>
      <ns0:c r="C1471" s="28"/>
      <ns0:c r="D1471" s="29"/>
      <ns0:c r="E1471" s="31"/>
      <ns0:c r="F1471" s="32"/>
      <ns0:c r="G1471" s="29"/>
      <ns0:c r="H1471" s="29"/>
      <ns0:c r="I1471" s="29"/>
      <ns0:c r="J1471" s="29"/>
      <ns0:c r="K1471" s="29"/>
    </ns0:row>
    <ns0:row r="1472" ht="28" customHeight="1">
      <ns0:c r="A1472" s="29"/>
      <ns0:c r="B1472" s="30"/>
      <ns0:c r="C1472" s="28"/>
      <ns0:c r="D1472" s="29"/>
      <ns0:c r="E1472" s="31"/>
      <ns0:c r="F1472" s="32"/>
      <ns0:c r="G1472" s="29"/>
      <ns0:c r="H1472" s="29"/>
      <ns0:c r="I1472" s="29"/>
      <ns0:c r="J1472" s="29"/>
      <ns0:c r="K1472" s="29"/>
    </ns0:row>
    <ns0:row r="1473" ht="28" customHeight="1">
      <ns0:c r="A1473" s="29"/>
      <ns0:c r="B1473" s="30"/>
      <ns0:c r="C1473" s="28"/>
      <ns0:c r="D1473" s="29"/>
      <ns0:c r="E1473" s="31"/>
      <ns0:c r="F1473" s="32"/>
      <ns0:c r="G1473" s="29"/>
      <ns0:c r="H1473" s="29"/>
      <ns0:c r="I1473" s="29"/>
      <ns0:c r="J1473" s="29"/>
      <ns0:c r="K1473" s="29"/>
    </ns0:row>
    <ns0:row r="1474" ht="28" customHeight="1">
      <ns0:c r="A1474" s="29"/>
      <ns0:c r="B1474" s="30"/>
      <ns0:c r="C1474" s="28"/>
      <ns0:c r="D1474" s="29"/>
      <ns0:c r="E1474" s="31"/>
      <ns0:c r="F1474" s="32"/>
      <ns0:c r="G1474" s="29"/>
      <ns0:c r="H1474" s="29"/>
      <ns0:c r="I1474" s="29"/>
      <ns0:c r="J1474" s="29"/>
      <ns0:c r="K1474" s="29"/>
    </ns0:row>
    <ns0:row r="1475" ht="28" customHeight="1">
      <ns0:c r="A1475" s="29"/>
      <ns0:c r="B1475" s="30"/>
      <ns0:c r="C1475" s="28"/>
      <ns0:c r="D1475" s="29"/>
      <ns0:c r="E1475" s="31"/>
      <ns0:c r="F1475" s="32"/>
      <ns0:c r="G1475" s="29"/>
      <ns0:c r="H1475" s="29"/>
      <ns0:c r="I1475" s="29"/>
      <ns0:c r="J1475" s="29"/>
      <ns0:c r="K1475" s="29"/>
    </ns0:row>
    <ns0:row r="1476" ht="28" customHeight="1">
      <ns0:c r="A1476" s="29"/>
      <ns0:c r="B1476" s="30"/>
      <ns0:c r="C1476" s="28"/>
      <ns0:c r="D1476" s="29"/>
      <ns0:c r="E1476" s="31"/>
      <ns0:c r="F1476" s="32"/>
      <ns0:c r="G1476" s="29"/>
      <ns0:c r="H1476" s="29"/>
      <ns0:c r="I1476" s="29"/>
      <ns0:c r="J1476" s="29"/>
      <ns0:c r="K1476" s="29"/>
    </ns0:row>
    <ns0:row r="1477" ht="28" customHeight="1">
      <ns0:c r="A1477" s="29"/>
      <ns0:c r="B1477" s="30"/>
      <ns0:c r="C1477" s="28"/>
      <ns0:c r="D1477" s="29"/>
      <ns0:c r="E1477" s="31"/>
      <ns0:c r="F1477" s="32"/>
      <ns0:c r="G1477" s="29"/>
      <ns0:c r="H1477" s="29"/>
      <ns0:c r="I1477" s="29"/>
      <ns0:c r="J1477" s="29"/>
      <ns0:c r="K1477" s="29"/>
    </ns0:row>
    <ns0:row r="1478" ht="28" customHeight="1">
      <ns0:c r="A1478" s="29"/>
      <ns0:c r="B1478" s="30"/>
      <ns0:c r="C1478" s="28"/>
      <ns0:c r="D1478" s="29"/>
      <ns0:c r="E1478" s="31"/>
      <ns0:c r="F1478" s="32"/>
      <ns0:c r="G1478" s="29"/>
      <ns0:c r="H1478" s="29"/>
      <ns0:c r="I1478" s="29"/>
      <ns0:c r="J1478" s="29"/>
      <ns0:c r="K1478" s="29"/>
    </ns0:row>
    <ns0:row r="1479" ht="28" customHeight="1">
      <ns0:c r="A1479" s="29"/>
      <ns0:c r="B1479" s="30"/>
      <ns0:c r="C1479" s="28"/>
      <ns0:c r="D1479" s="29"/>
      <ns0:c r="E1479" s="31"/>
      <ns0:c r="F1479" s="32"/>
      <ns0:c r="G1479" s="29"/>
      <ns0:c r="H1479" s="29"/>
      <ns0:c r="I1479" s="29"/>
      <ns0:c r="J1479" s="29"/>
      <ns0:c r="K1479" s="29"/>
    </ns0:row>
    <ns0:row r="1480" ht="28" customHeight="1">
      <ns0:c r="A1480" s="29"/>
      <ns0:c r="B1480" s="30"/>
      <ns0:c r="C1480" s="28"/>
      <ns0:c r="D1480" s="29"/>
      <ns0:c r="E1480" s="31"/>
      <ns0:c r="F1480" s="32"/>
      <ns0:c r="G1480" s="29"/>
      <ns0:c r="H1480" s="29"/>
      <ns0:c r="I1480" s="29"/>
      <ns0:c r="J1480" s="29"/>
      <ns0:c r="K1480" s="29"/>
    </ns0:row>
    <ns0:row r="1481" ht="28" customHeight="1">
      <ns0:c r="A1481" s="29"/>
      <ns0:c r="B1481" s="30"/>
      <ns0:c r="C1481" s="28"/>
      <ns0:c r="D1481" s="29"/>
      <ns0:c r="E1481" s="31"/>
      <ns0:c r="F1481" s="32"/>
      <ns0:c r="G1481" s="29"/>
      <ns0:c r="H1481" s="29"/>
      <ns0:c r="I1481" s="29"/>
      <ns0:c r="J1481" s="29"/>
      <ns0:c r="K1481" s="29"/>
    </ns0:row>
    <ns0:row r="1482" ht="28" customHeight="1">
      <ns0:c r="A1482" s="29"/>
      <ns0:c r="B1482" s="30"/>
      <ns0:c r="C1482" s="28"/>
      <ns0:c r="D1482" s="29"/>
      <ns0:c r="E1482" s="31"/>
      <ns0:c r="F1482" s="32"/>
      <ns0:c r="G1482" s="29"/>
      <ns0:c r="H1482" s="29"/>
      <ns0:c r="I1482" s="29"/>
      <ns0:c r="J1482" s="29"/>
      <ns0:c r="K1482" s="29"/>
    </ns0:row>
    <ns0:row r="1483" ht="28" customHeight="1">
      <ns0:c r="A1483" s="29"/>
      <ns0:c r="B1483" s="30"/>
      <ns0:c r="C1483" s="28"/>
      <ns0:c r="D1483" s="29"/>
      <ns0:c r="E1483" s="31"/>
      <ns0:c r="F1483" s="32"/>
      <ns0:c r="G1483" s="29"/>
      <ns0:c r="H1483" s="29"/>
      <ns0:c r="I1483" s="29"/>
      <ns0:c r="J1483" s="29"/>
      <ns0:c r="K1483" s="29"/>
    </ns0:row>
    <ns0:row r="1484" ht="28" customHeight="1">
      <ns0:c r="A1484" s="29"/>
      <ns0:c r="B1484" s="30"/>
      <ns0:c r="C1484" s="28"/>
      <ns0:c r="D1484" s="29"/>
      <ns0:c r="E1484" s="31"/>
      <ns0:c r="F1484" s="32"/>
      <ns0:c r="G1484" s="29"/>
      <ns0:c r="H1484" s="29"/>
      <ns0:c r="I1484" s="29"/>
      <ns0:c r="J1484" s="29"/>
      <ns0:c r="K1484" s="29"/>
    </ns0:row>
    <ns0:row r="1485" ht="28" customHeight="1">
      <ns0:c r="A1485" s="29"/>
      <ns0:c r="B1485" s="30"/>
      <ns0:c r="C1485" s="28"/>
      <ns0:c r="D1485" s="29"/>
      <ns0:c r="E1485" s="31"/>
      <ns0:c r="F1485" s="32"/>
      <ns0:c r="G1485" s="29"/>
      <ns0:c r="H1485" s="29"/>
      <ns0:c r="I1485" s="29"/>
      <ns0:c r="J1485" s="29"/>
      <ns0:c r="K1485" s="29"/>
    </ns0:row>
    <ns0:row r="1486" ht="28" customHeight="1">
      <ns0:c r="A1486" s="29"/>
      <ns0:c r="B1486" s="30"/>
      <ns0:c r="C1486" s="28"/>
      <ns0:c r="D1486" s="29"/>
      <ns0:c r="E1486" s="31"/>
      <ns0:c r="F1486" s="32"/>
      <ns0:c r="G1486" s="29"/>
      <ns0:c r="H1486" s="29"/>
      <ns0:c r="I1486" s="29"/>
      <ns0:c r="J1486" s="29"/>
      <ns0:c r="K1486" s="29"/>
    </ns0:row>
    <ns0:row r="1487" ht="28" customHeight="1">
      <ns0:c r="A1487" s="29"/>
      <ns0:c r="B1487" s="30"/>
      <ns0:c r="C1487" s="28"/>
      <ns0:c r="D1487" s="29"/>
      <ns0:c r="E1487" s="31"/>
      <ns0:c r="F1487" s="32"/>
      <ns0:c r="G1487" s="29"/>
      <ns0:c r="H1487" s="29"/>
      <ns0:c r="I1487" s="29"/>
      <ns0:c r="J1487" s="29"/>
      <ns0:c r="K1487" s="29"/>
    </ns0:row>
    <ns0:row r="1488" ht="28" customHeight="1">
      <ns0:c r="A1488" s="29"/>
      <ns0:c r="B1488" s="30"/>
      <ns0:c r="C1488" s="28"/>
      <ns0:c r="D1488" s="29"/>
      <ns0:c r="E1488" s="31"/>
      <ns0:c r="F1488" s="32"/>
      <ns0:c r="G1488" s="29"/>
      <ns0:c r="H1488" s="29"/>
      <ns0:c r="I1488" s="29"/>
      <ns0:c r="J1488" s="29"/>
      <ns0:c r="K1488" s="29"/>
    </ns0:row>
    <ns0:row r="1489" ht="28" customHeight="1">
      <ns0:c r="A1489" s="29"/>
      <ns0:c r="B1489" s="30"/>
      <ns0:c r="C1489" s="28"/>
      <ns0:c r="D1489" s="29"/>
      <ns0:c r="E1489" s="31"/>
      <ns0:c r="F1489" s="32"/>
      <ns0:c r="G1489" s="29"/>
      <ns0:c r="H1489" s="29"/>
      <ns0:c r="I1489" s="29"/>
      <ns0:c r="J1489" s="29"/>
      <ns0:c r="K1489" s="29"/>
    </ns0:row>
    <ns0:row r="1490" ht="28" customHeight="1">
      <ns0:c r="A1490" s="29"/>
      <ns0:c r="B1490" s="30"/>
      <ns0:c r="C1490" s="28"/>
      <ns0:c r="D1490" s="29"/>
      <ns0:c r="E1490" s="31"/>
      <ns0:c r="F1490" s="32"/>
      <ns0:c r="G1490" s="29"/>
      <ns0:c r="H1490" s="29"/>
      <ns0:c r="I1490" s="29"/>
      <ns0:c r="J1490" s="29"/>
      <ns0:c r="K1490" s="29"/>
    </ns0:row>
    <ns0:row r="1491" ht="28" customHeight="1">
      <ns0:c r="A1491" s="29"/>
      <ns0:c r="B1491" s="30"/>
      <ns0:c r="C1491" s="28"/>
      <ns0:c r="D1491" s="29"/>
      <ns0:c r="E1491" s="31"/>
      <ns0:c r="F1491" s="32"/>
      <ns0:c r="G1491" s="29"/>
      <ns0:c r="H1491" s="29"/>
      <ns0:c r="I1491" s="29"/>
      <ns0:c r="J1491" s="29"/>
      <ns0:c r="K1491" s="29"/>
    </ns0:row>
    <ns0:row r="1492" ht="28" customHeight="1">
      <ns0:c r="A1492" s="29"/>
      <ns0:c r="B1492" s="30"/>
      <ns0:c r="C1492" s="28"/>
      <ns0:c r="D1492" s="29"/>
      <ns0:c r="E1492" s="31"/>
      <ns0:c r="F1492" s="32"/>
      <ns0:c r="G1492" s="29"/>
      <ns0:c r="H1492" s="29"/>
      <ns0:c r="I1492" s="29"/>
      <ns0:c r="J1492" s="29"/>
      <ns0:c r="K1492" s="29"/>
    </ns0:row>
    <ns0:row r="1493" ht="28" customHeight="1">
      <ns0:c r="A1493" s="29"/>
      <ns0:c r="B1493" s="30"/>
      <ns0:c r="C1493" s="28"/>
      <ns0:c r="D1493" s="29"/>
      <ns0:c r="E1493" s="31"/>
      <ns0:c r="F1493" s="32"/>
      <ns0:c r="G1493" s="29"/>
      <ns0:c r="H1493" s="29"/>
      <ns0:c r="I1493" s="29"/>
      <ns0:c r="J1493" s="29"/>
      <ns0:c r="K1493" s="29"/>
    </ns0:row>
    <ns0:row r="1494" ht="28" customHeight="1">
      <ns0:c r="A1494" s="29"/>
      <ns0:c r="B1494" s="30"/>
      <ns0:c r="C1494" s="28"/>
      <ns0:c r="D1494" s="29"/>
      <ns0:c r="E1494" s="31"/>
      <ns0:c r="F1494" s="32"/>
      <ns0:c r="G1494" s="29"/>
      <ns0:c r="H1494" s="29"/>
      <ns0:c r="I1494" s="29"/>
      <ns0:c r="J1494" s="29"/>
      <ns0:c r="K1494" s="29"/>
    </ns0:row>
    <ns0:row r="1495" ht="28" customHeight="1">
      <ns0:c r="A1495" s="29"/>
      <ns0:c r="B1495" s="30"/>
      <ns0:c r="C1495" s="28"/>
      <ns0:c r="D1495" s="29"/>
      <ns0:c r="E1495" s="31"/>
      <ns0:c r="F1495" s="32"/>
      <ns0:c r="G1495" s="29"/>
      <ns0:c r="H1495" s="29"/>
      <ns0:c r="I1495" s="29"/>
      <ns0:c r="J1495" s="29"/>
      <ns0:c r="K1495" s="29"/>
    </ns0:row>
    <ns0:row r="1496" ht="28" customHeight="1">
      <ns0:c r="A1496" s="29"/>
      <ns0:c r="B1496" s="30"/>
      <ns0:c r="C1496" s="28"/>
      <ns0:c r="D1496" s="29"/>
      <ns0:c r="E1496" s="31"/>
      <ns0:c r="F1496" s="32"/>
      <ns0:c r="G1496" s="29"/>
      <ns0:c r="H1496" s="29"/>
      <ns0:c r="I1496" s="29"/>
      <ns0:c r="J1496" s="29"/>
      <ns0:c r="K1496" s="29"/>
    </ns0:row>
    <ns0:row r="1497" ht="28" customHeight="1">
      <ns0:c r="A1497" s="29"/>
      <ns0:c r="B1497" s="30"/>
      <ns0:c r="C1497" s="28"/>
      <ns0:c r="D1497" s="29"/>
      <ns0:c r="E1497" s="31"/>
      <ns0:c r="F1497" s="32"/>
      <ns0:c r="G1497" s="29"/>
      <ns0:c r="H1497" s="29"/>
      <ns0:c r="I1497" s="29"/>
      <ns0:c r="J1497" s="29"/>
      <ns0:c r="K1497" s="29"/>
    </ns0:row>
    <ns0:row r="1498" ht="28" customHeight="1">
      <ns0:c r="A1498" s="29"/>
      <ns0:c r="B1498" s="30"/>
      <ns0:c r="C1498" s="28"/>
      <ns0:c r="D1498" s="29"/>
      <ns0:c r="E1498" s="31"/>
      <ns0:c r="F1498" s="32"/>
      <ns0:c r="G1498" s="29"/>
      <ns0:c r="H1498" s="29"/>
      <ns0:c r="I1498" s="29"/>
      <ns0:c r="J1498" s="29"/>
      <ns0:c r="K1498" s="29"/>
    </ns0:row>
    <ns0:row r="1499" ht="28" customHeight="1">
      <ns0:c r="A1499" s="29"/>
      <ns0:c r="B1499" s="30"/>
      <ns0:c r="C1499" s="28"/>
      <ns0:c r="D1499" s="29"/>
      <ns0:c r="E1499" s="31"/>
      <ns0:c r="F1499" s="32"/>
      <ns0:c r="G1499" s="29"/>
      <ns0:c r="H1499" s="29"/>
      <ns0:c r="I1499" s="29"/>
      <ns0:c r="J1499" s="29"/>
      <ns0:c r="K1499" s="29"/>
    </ns0:row>
    <ns0:row r="1500" ht="28" customHeight="1">
      <ns0:c r="A1500" s="29"/>
      <ns0:c r="B1500" s="30"/>
      <ns0:c r="C1500" s="28"/>
      <ns0:c r="D1500" s="29"/>
      <ns0:c r="E1500" s="31"/>
      <ns0:c r="F1500" s="32"/>
      <ns0:c r="G1500" s="29"/>
      <ns0:c r="H1500" s="29"/>
      <ns0:c r="I1500" s="29"/>
      <ns0:c r="J1500" s="29"/>
      <ns0:c r="K1500" s="29"/>
    </ns0:row>
    <ns0:row r="1501" ht="28" customHeight="1">
      <ns0:c r="A1501" s="29"/>
      <ns0:c r="B1501" s="30"/>
      <ns0:c r="C1501" s="28"/>
      <ns0:c r="D1501" s="29"/>
      <ns0:c r="E1501" s="31"/>
      <ns0:c r="F1501" s="32"/>
      <ns0:c r="G1501" s="29"/>
      <ns0:c r="H1501" s="29"/>
      <ns0:c r="I1501" s="29"/>
      <ns0:c r="J1501" s="29"/>
      <ns0:c r="K1501" s="29"/>
    </ns0:row>
    <ns0:row r="1502" ht="28" customHeight="1">
      <ns0:c r="A1502" s="29"/>
      <ns0:c r="B1502" s="30"/>
      <ns0:c r="C1502" s="28"/>
      <ns0:c r="D1502" s="29"/>
      <ns0:c r="E1502" s="31"/>
      <ns0:c r="F1502" s="32"/>
      <ns0:c r="G1502" s="29"/>
      <ns0:c r="H1502" s="29"/>
      <ns0:c r="I1502" s="29"/>
      <ns0:c r="J1502" s="29"/>
      <ns0:c r="K1502" s="29"/>
    </ns0:row>
    <ns0:row r="1503" ht="28" customHeight="1">
      <ns0:c r="A1503" s="29"/>
      <ns0:c r="B1503" s="30"/>
      <ns0:c r="C1503" s="28"/>
      <ns0:c r="D1503" s="29"/>
      <ns0:c r="E1503" s="31"/>
      <ns0:c r="F1503" s="32"/>
      <ns0:c r="G1503" s="29"/>
      <ns0:c r="H1503" s="29"/>
      <ns0:c r="I1503" s="29"/>
      <ns0:c r="J1503" s="29"/>
      <ns0:c r="K1503" s="29"/>
    </ns0:row>
    <ns0:row r="1504" ht="28" customHeight="1">
      <ns0:c r="A1504" s="29"/>
      <ns0:c r="B1504" s="30"/>
      <ns0:c r="C1504" s="28"/>
      <ns0:c r="D1504" s="29"/>
      <ns0:c r="E1504" s="31"/>
      <ns0:c r="F1504" s="32"/>
      <ns0:c r="G1504" s="29"/>
      <ns0:c r="H1504" s="29"/>
      <ns0:c r="I1504" s="29"/>
      <ns0:c r="J1504" s="29"/>
      <ns0:c r="K1504" s="29"/>
    </ns0:row>
    <ns0:row r="1505" ht="28" customHeight="1">
      <ns0:c r="A1505" s="29"/>
      <ns0:c r="B1505" s="30"/>
      <ns0:c r="C1505" s="28"/>
      <ns0:c r="D1505" s="29"/>
      <ns0:c r="E1505" s="31"/>
      <ns0:c r="F1505" s="32"/>
      <ns0:c r="G1505" s="29"/>
      <ns0:c r="H1505" s="29"/>
      <ns0:c r="I1505" s="29"/>
      <ns0:c r="J1505" s="29"/>
      <ns0:c r="K1505" s="29"/>
    </ns0:row>
    <ns0:row r="1506" ht="28" customHeight="1">
      <ns0:c r="A1506" s="29"/>
      <ns0:c r="B1506" s="30"/>
      <ns0:c r="C1506" s="28"/>
      <ns0:c r="D1506" s="29"/>
      <ns0:c r="E1506" s="31"/>
      <ns0:c r="F1506" s="32"/>
      <ns0:c r="G1506" s="29"/>
      <ns0:c r="H1506" s="29"/>
      <ns0:c r="I1506" s="29"/>
      <ns0:c r="J1506" s="29"/>
      <ns0:c r="K1506" s="29"/>
    </ns0:row>
    <ns0:row r="1507" ht="28" customHeight="1">
      <ns0:c r="A1507" s="29"/>
      <ns0:c r="B1507" s="30"/>
      <ns0:c r="C1507" s="28"/>
      <ns0:c r="D1507" s="29"/>
      <ns0:c r="E1507" s="31"/>
      <ns0:c r="F1507" s="32"/>
      <ns0:c r="G1507" s="29"/>
      <ns0:c r="H1507" s="29"/>
      <ns0:c r="I1507" s="29"/>
      <ns0:c r="J1507" s="29"/>
      <ns0:c r="K1507" s="29"/>
    </ns0:row>
    <ns0:row r="1508" ht="28" customHeight="1">
      <ns0:c r="A1508" s="29"/>
      <ns0:c r="B1508" s="30"/>
      <ns0:c r="C1508" s="28"/>
      <ns0:c r="D1508" s="29"/>
      <ns0:c r="E1508" s="31"/>
      <ns0:c r="F1508" s="32"/>
      <ns0:c r="G1508" s="29"/>
      <ns0:c r="H1508" s="29"/>
      <ns0:c r="I1508" s="29"/>
      <ns0:c r="J1508" s="29"/>
      <ns0:c r="K1508" s="29"/>
    </ns0:row>
    <ns0:row r="1509" ht="28" customHeight="1">
      <ns0:c r="A1509" s="29"/>
      <ns0:c r="B1509" s="30"/>
      <ns0:c r="C1509" s="28"/>
      <ns0:c r="D1509" s="29"/>
      <ns0:c r="E1509" s="31"/>
      <ns0:c r="F1509" s="32"/>
      <ns0:c r="G1509" s="29"/>
      <ns0:c r="H1509" s="29"/>
      <ns0:c r="I1509" s="29"/>
      <ns0:c r="J1509" s="29"/>
      <ns0:c r="K1509" s="29"/>
    </ns0:row>
    <ns0:row r="1510" ht="28" customHeight="1">
      <ns0:c r="A1510" s="29"/>
      <ns0:c r="B1510" s="30"/>
      <ns0:c r="C1510" s="28"/>
      <ns0:c r="D1510" s="29"/>
      <ns0:c r="E1510" s="31"/>
      <ns0:c r="F1510" s="32"/>
      <ns0:c r="G1510" s="29"/>
      <ns0:c r="H1510" s="29"/>
      <ns0:c r="I1510" s="29"/>
      <ns0:c r="J1510" s="29"/>
      <ns0:c r="K1510" s="29"/>
    </ns0:row>
    <ns0:row r="1511" ht="28" customHeight="1">
      <ns0:c r="A1511" s="29"/>
      <ns0:c r="B1511" s="30"/>
      <ns0:c r="C1511" s="28"/>
      <ns0:c r="D1511" s="29"/>
      <ns0:c r="E1511" s="31"/>
      <ns0:c r="F1511" s="32"/>
      <ns0:c r="G1511" s="29"/>
      <ns0:c r="H1511" s="29"/>
      <ns0:c r="I1511" s="29"/>
      <ns0:c r="J1511" s="29"/>
      <ns0:c r="K1511" s="29"/>
    </ns0:row>
    <ns0:row r="1512" ht="28" customHeight="1">
      <ns0:c r="A1512" s="29"/>
      <ns0:c r="B1512" s="30"/>
      <ns0:c r="C1512" s="28"/>
      <ns0:c r="D1512" s="29"/>
      <ns0:c r="E1512" s="31"/>
      <ns0:c r="F1512" s="32"/>
      <ns0:c r="G1512" s="29"/>
      <ns0:c r="H1512" s="29"/>
      <ns0:c r="I1512" s="29"/>
      <ns0:c r="J1512" s="29"/>
      <ns0:c r="K1512" s="29"/>
    </ns0:row>
    <ns0:row r="1513" ht="28" customHeight="1">
      <ns0:c r="A1513" s="29"/>
      <ns0:c r="B1513" s="30"/>
      <ns0:c r="C1513" s="28"/>
      <ns0:c r="D1513" s="29"/>
      <ns0:c r="E1513" s="31"/>
      <ns0:c r="F1513" s="32"/>
      <ns0:c r="G1513" s="29"/>
      <ns0:c r="H1513" s="29"/>
      <ns0:c r="I1513" s="29"/>
      <ns0:c r="J1513" s="29"/>
      <ns0:c r="K1513" s="29"/>
    </ns0:row>
    <ns0:row r="1514" ht="28" customHeight="1">
      <ns0:c r="A1514" s="29"/>
      <ns0:c r="B1514" s="30"/>
      <ns0:c r="C1514" s="28"/>
      <ns0:c r="D1514" s="29"/>
      <ns0:c r="E1514" s="31"/>
      <ns0:c r="F1514" s="32"/>
      <ns0:c r="G1514" s="29"/>
      <ns0:c r="H1514" s="29"/>
      <ns0:c r="I1514" s="29"/>
      <ns0:c r="J1514" s="29"/>
      <ns0:c r="K1514" s="29"/>
    </ns0:row>
    <ns0:row r="1515" ht="28" customHeight="1">
      <ns0:c r="A1515" s="29"/>
      <ns0:c r="B1515" s="30"/>
      <ns0:c r="C1515" s="28"/>
      <ns0:c r="D1515" s="29"/>
      <ns0:c r="E1515" s="31"/>
      <ns0:c r="F1515" s="32"/>
      <ns0:c r="G1515" s="29"/>
      <ns0:c r="H1515" s="29"/>
      <ns0:c r="I1515" s="29"/>
      <ns0:c r="J1515" s="29"/>
      <ns0:c r="K1515" s="29"/>
    </ns0:row>
    <ns0:row r="1516" ht="28" customHeight="1">
      <ns0:c r="A1516" s="29"/>
      <ns0:c r="B1516" s="30"/>
      <ns0:c r="C1516" s="28"/>
      <ns0:c r="D1516" s="29"/>
      <ns0:c r="E1516" s="31"/>
      <ns0:c r="F1516" s="32"/>
      <ns0:c r="G1516" s="29"/>
      <ns0:c r="H1516" s="29"/>
      <ns0:c r="I1516" s="29"/>
      <ns0:c r="J1516" s="29"/>
      <ns0:c r="K1516" s="29"/>
    </ns0:row>
    <ns0:row r="1517" ht="28" customHeight="1">
      <ns0:c r="A1517" s="29"/>
      <ns0:c r="B1517" s="30"/>
      <ns0:c r="C1517" s="28"/>
      <ns0:c r="D1517" s="29"/>
      <ns0:c r="E1517" s="31"/>
      <ns0:c r="F1517" s="32"/>
      <ns0:c r="G1517" s="29"/>
      <ns0:c r="H1517" s="29"/>
      <ns0:c r="I1517" s="29"/>
      <ns0:c r="J1517" s="29"/>
      <ns0:c r="K1517" s="29"/>
    </ns0:row>
    <ns0:row r="1518" ht="28" customHeight="1">
      <ns0:c r="A1518" s="29"/>
      <ns0:c r="B1518" s="30"/>
      <ns0:c r="C1518" s="28"/>
      <ns0:c r="D1518" s="29"/>
      <ns0:c r="E1518" s="31"/>
      <ns0:c r="F1518" s="32"/>
      <ns0:c r="G1518" s="29"/>
      <ns0:c r="H1518" s="29"/>
      <ns0:c r="I1518" s="29"/>
      <ns0:c r="J1518" s="29"/>
      <ns0:c r="K1518" s="29"/>
    </ns0:row>
    <ns0:row r="1519" ht="28" customHeight="1">
      <ns0:c r="A1519" s="29"/>
      <ns0:c r="B1519" s="30"/>
      <ns0:c r="C1519" s="28"/>
      <ns0:c r="D1519" s="29"/>
      <ns0:c r="E1519" s="31"/>
      <ns0:c r="F1519" s="32"/>
      <ns0:c r="G1519" s="29"/>
      <ns0:c r="H1519" s="29"/>
      <ns0:c r="I1519" s="29"/>
      <ns0:c r="J1519" s="29"/>
      <ns0:c r="K1519" s="29"/>
    </ns0:row>
    <ns0:row r="1520" ht="28" customHeight="1">
      <ns0:c r="A1520" s="29"/>
      <ns0:c r="B1520" s="30"/>
      <ns0:c r="C1520" s="28"/>
      <ns0:c r="D1520" s="29"/>
      <ns0:c r="E1520" s="31"/>
      <ns0:c r="F1520" s="32"/>
      <ns0:c r="G1520" s="29"/>
      <ns0:c r="H1520" s="29"/>
      <ns0:c r="I1520" s="29"/>
      <ns0:c r="J1520" s="29"/>
      <ns0:c r="K1520" s="29"/>
    </ns0:row>
    <ns0:row r="1521" ht="28" customHeight="1">
      <ns0:c r="A1521" s="29"/>
      <ns0:c r="B1521" s="30"/>
      <ns0:c r="C1521" s="28"/>
      <ns0:c r="D1521" s="29"/>
      <ns0:c r="E1521" s="31"/>
      <ns0:c r="F1521" s="32"/>
      <ns0:c r="G1521" s="29"/>
      <ns0:c r="H1521" s="29"/>
      <ns0:c r="I1521" s="29"/>
      <ns0:c r="J1521" s="29"/>
      <ns0:c r="K1521" s="29"/>
    </ns0:row>
    <ns0:row r="1522" ht="28" customHeight="1">
      <ns0:c r="A1522" s="29"/>
      <ns0:c r="B1522" s="30"/>
      <ns0:c r="C1522" s="28"/>
      <ns0:c r="D1522" s="29"/>
      <ns0:c r="E1522" s="31"/>
      <ns0:c r="F1522" s="32"/>
      <ns0:c r="G1522" s="29"/>
      <ns0:c r="H1522" s="29"/>
      <ns0:c r="I1522" s="29"/>
      <ns0:c r="J1522" s="29"/>
      <ns0:c r="K1522" s="29"/>
    </ns0:row>
    <ns0:row r="1523" ht="28" customHeight="1">
      <ns0:c r="A1523" s="29"/>
      <ns0:c r="B1523" s="30"/>
      <ns0:c r="C1523" s="28"/>
      <ns0:c r="D1523" s="29"/>
      <ns0:c r="E1523" s="31"/>
      <ns0:c r="F1523" s="32"/>
      <ns0:c r="G1523" s="29"/>
      <ns0:c r="H1523" s="29"/>
      <ns0:c r="I1523" s="29"/>
      <ns0:c r="J1523" s="29"/>
      <ns0:c r="K1523" s="29"/>
    </ns0:row>
    <ns0:row r="1524" ht="28" customHeight="1">
      <ns0:c r="A1524" s="29"/>
      <ns0:c r="B1524" s="30"/>
      <ns0:c r="C1524" s="28"/>
      <ns0:c r="D1524" s="29"/>
      <ns0:c r="E1524" s="31"/>
      <ns0:c r="F1524" s="32"/>
      <ns0:c r="G1524" s="29"/>
      <ns0:c r="H1524" s="29"/>
      <ns0:c r="I1524" s="29"/>
      <ns0:c r="J1524" s="29"/>
      <ns0:c r="K1524" s="29"/>
    </ns0:row>
    <ns0:row r="1525" ht="28" customHeight="1">
      <ns0:c r="A1525" s="29"/>
      <ns0:c r="B1525" s="30"/>
      <ns0:c r="C1525" s="28"/>
      <ns0:c r="D1525" s="29"/>
      <ns0:c r="E1525" s="31"/>
      <ns0:c r="F1525" s="32"/>
      <ns0:c r="G1525" s="29"/>
      <ns0:c r="H1525" s="29"/>
      <ns0:c r="I1525" s="29"/>
      <ns0:c r="J1525" s="29"/>
      <ns0:c r="K1525" s="29"/>
    </ns0:row>
    <ns0:row r="1526" ht="28" customHeight="1">
      <ns0:c r="A1526" s="29"/>
      <ns0:c r="B1526" s="30"/>
      <ns0:c r="C1526" s="28"/>
      <ns0:c r="D1526" s="29"/>
      <ns0:c r="E1526" s="31"/>
      <ns0:c r="F1526" s="32"/>
      <ns0:c r="G1526" s="29"/>
      <ns0:c r="H1526" s="29"/>
      <ns0:c r="I1526" s="29"/>
      <ns0:c r="J1526" s="29"/>
      <ns0:c r="K1526" s="29"/>
    </ns0:row>
    <ns0:row r="1527" ht="28" customHeight="1">
      <ns0:c r="A1527" s="29"/>
      <ns0:c r="B1527" s="30"/>
      <ns0:c r="C1527" s="28"/>
      <ns0:c r="D1527" s="29"/>
      <ns0:c r="E1527" s="31"/>
      <ns0:c r="F1527" s="32"/>
      <ns0:c r="G1527" s="29"/>
      <ns0:c r="H1527" s="29"/>
      <ns0:c r="I1527" s="29"/>
      <ns0:c r="J1527" s="29"/>
      <ns0:c r="K1527" s="29"/>
    </ns0:row>
    <ns0:row r="1528" ht="28" customHeight="1">
      <ns0:c r="A1528" s="29"/>
      <ns0:c r="B1528" s="30"/>
      <ns0:c r="C1528" s="28"/>
      <ns0:c r="D1528" s="29"/>
      <ns0:c r="E1528" s="31"/>
      <ns0:c r="F1528" s="32"/>
      <ns0:c r="G1528" s="29"/>
      <ns0:c r="H1528" s="29"/>
      <ns0:c r="I1528" s="29"/>
      <ns0:c r="J1528" s="29"/>
      <ns0:c r="K1528" s="29"/>
    </ns0:row>
    <ns0:row r="1529" ht="28" customHeight="1">
      <ns0:c r="A1529" s="29"/>
      <ns0:c r="B1529" s="30"/>
      <ns0:c r="C1529" s="28"/>
      <ns0:c r="D1529" s="29"/>
      <ns0:c r="E1529" s="31"/>
      <ns0:c r="F1529" s="32"/>
      <ns0:c r="G1529" s="29"/>
      <ns0:c r="H1529" s="29"/>
      <ns0:c r="I1529" s="29"/>
      <ns0:c r="J1529" s="29"/>
      <ns0:c r="K1529" s="29"/>
    </ns0:row>
    <ns0:row r="1530" ht="28" customHeight="1">
      <ns0:c r="A1530" s="29"/>
      <ns0:c r="B1530" s="30"/>
      <ns0:c r="C1530" s="28"/>
      <ns0:c r="D1530" s="29"/>
      <ns0:c r="E1530" s="31"/>
      <ns0:c r="F1530" s="32"/>
      <ns0:c r="G1530" s="29"/>
      <ns0:c r="H1530" s="29"/>
      <ns0:c r="I1530" s="29"/>
      <ns0:c r="J1530" s="29"/>
      <ns0:c r="K1530" s="29"/>
    </ns0:row>
    <ns0:row r="1531" ht="28" customHeight="1">
      <ns0:c r="A1531" s="29"/>
      <ns0:c r="B1531" s="30"/>
      <ns0:c r="C1531" s="28"/>
      <ns0:c r="D1531" s="29"/>
      <ns0:c r="E1531" s="31"/>
      <ns0:c r="F1531" s="32"/>
      <ns0:c r="G1531" s="29"/>
      <ns0:c r="H1531" s="29"/>
      <ns0:c r="I1531" s="29"/>
      <ns0:c r="J1531" s="29"/>
      <ns0:c r="K1531" s="29"/>
    </ns0:row>
    <ns0:row r="1532" ht="28" customHeight="1">
      <ns0:c r="A1532" s="29"/>
      <ns0:c r="B1532" s="30"/>
      <ns0:c r="C1532" s="28"/>
      <ns0:c r="D1532" s="29"/>
      <ns0:c r="E1532" s="31"/>
      <ns0:c r="F1532" s="32"/>
      <ns0:c r="G1532" s="29"/>
      <ns0:c r="H1532" s="29"/>
      <ns0:c r="I1532" s="29"/>
      <ns0:c r="J1532" s="29"/>
      <ns0:c r="K1532" s="29"/>
    </ns0:row>
    <ns0:row r="1533" ht="28" customHeight="1">
      <ns0:c r="A1533" s="29"/>
      <ns0:c r="B1533" s="30"/>
      <ns0:c r="C1533" s="28"/>
      <ns0:c r="D1533" s="29"/>
      <ns0:c r="E1533" s="31"/>
      <ns0:c r="F1533" s="32"/>
      <ns0:c r="G1533" s="29"/>
      <ns0:c r="H1533" s="29"/>
      <ns0:c r="I1533" s="29"/>
      <ns0:c r="J1533" s="29"/>
      <ns0:c r="K1533" s="29"/>
    </ns0:row>
    <ns0:row r="1534" ht="28" customHeight="1">
      <ns0:c r="A1534" s="29"/>
      <ns0:c r="B1534" s="30"/>
      <ns0:c r="C1534" s="28"/>
      <ns0:c r="D1534" s="29"/>
      <ns0:c r="E1534" s="31"/>
      <ns0:c r="F1534" s="32"/>
      <ns0:c r="G1534" s="29"/>
      <ns0:c r="H1534" s="29"/>
      <ns0:c r="I1534" s="29"/>
      <ns0:c r="J1534" s="29"/>
      <ns0:c r="K1534" s="29"/>
    </ns0:row>
    <ns0:row r="1535" ht="28" customHeight="1">
      <ns0:c r="A1535" s="29"/>
      <ns0:c r="B1535" s="30"/>
      <ns0:c r="C1535" s="28"/>
      <ns0:c r="D1535" s="29"/>
      <ns0:c r="E1535" s="31"/>
      <ns0:c r="F1535" s="32"/>
      <ns0:c r="G1535" s="29"/>
      <ns0:c r="H1535" s="29"/>
      <ns0:c r="I1535" s="29"/>
      <ns0:c r="J1535" s="29"/>
      <ns0:c r="K1535" s="29"/>
    </ns0:row>
    <ns0:row r="1536" ht="28" customHeight="1">
      <ns0:c r="A1536" s="29"/>
      <ns0:c r="B1536" s="30"/>
      <ns0:c r="C1536" s="28"/>
      <ns0:c r="D1536" s="29"/>
      <ns0:c r="E1536" s="31"/>
      <ns0:c r="F1536" s="32"/>
      <ns0:c r="G1536" s="29"/>
      <ns0:c r="H1536" s="29"/>
      <ns0:c r="I1536" s="29"/>
      <ns0:c r="J1536" s="29"/>
      <ns0:c r="K1536" s="29"/>
    </ns0:row>
    <ns0:row r="1537" ht="28" customHeight="1">
      <ns0:c r="A1537" s="29"/>
      <ns0:c r="B1537" s="30"/>
      <ns0:c r="C1537" s="28"/>
      <ns0:c r="D1537" s="29"/>
      <ns0:c r="E1537" s="31"/>
      <ns0:c r="F1537" s="32"/>
      <ns0:c r="G1537" s="29"/>
      <ns0:c r="H1537" s="29"/>
      <ns0:c r="I1537" s="29"/>
      <ns0:c r="J1537" s="29"/>
      <ns0:c r="K1537" s="29"/>
    </ns0:row>
    <ns0:row r="1538" ht="28" customHeight="1">
      <ns0:c r="A1538" s="29"/>
      <ns0:c r="B1538" s="30"/>
      <ns0:c r="C1538" s="28"/>
      <ns0:c r="D1538" s="29"/>
      <ns0:c r="E1538" s="31"/>
      <ns0:c r="F1538" s="32"/>
      <ns0:c r="G1538" s="29"/>
      <ns0:c r="H1538" s="29"/>
      <ns0:c r="I1538" s="29"/>
      <ns0:c r="J1538" s="29"/>
      <ns0:c r="K1538" s="29"/>
    </ns0:row>
    <ns0:row r="1539" ht="28" customHeight="1">
      <ns0:c r="A1539" s="29"/>
      <ns0:c r="B1539" s="30"/>
      <ns0:c r="C1539" s="28"/>
      <ns0:c r="D1539" s="29"/>
      <ns0:c r="E1539" s="31"/>
      <ns0:c r="F1539" s="32"/>
      <ns0:c r="G1539" s="29"/>
      <ns0:c r="H1539" s="29"/>
      <ns0:c r="I1539" s="29"/>
      <ns0:c r="J1539" s="29"/>
      <ns0:c r="K1539" s="29"/>
    </ns0:row>
    <ns0:row r="1540" ht="28" customHeight="1">
      <ns0:c r="A1540" s="29"/>
      <ns0:c r="B1540" s="30"/>
      <ns0:c r="C1540" s="28"/>
      <ns0:c r="D1540" s="29"/>
      <ns0:c r="E1540" s="31"/>
      <ns0:c r="F1540" s="32"/>
      <ns0:c r="G1540" s="29"/>
      <ns0:c r="H1540" s="29"/>
      <ns0:c r="I1540" s="29"/>
      <ns0:c r="J1540" s="29"/>
      <ns0:c r="K1540" s="29"/>
    </ns0:row>
    <ns0:row r="1541" ht="28" customHeight="1">
      <ns0:c r="A1541" s="29"/>
      <ns0:c r="B1541" s="30"/>
      <ns0:c r="C1541" s="28"/>
      <ns0:c r="D1541" s="29"/>
      <ns0:c r="E1541" s="31"/>
      <ns0:c r="F1541" s="32"/>
      <ns0:c r="G1541" s="29"/>
      <ns0:c r="H1541" s="29"/>
      <ns0:c r="I1541" s="29"/>
      <ns0:c r="J1541" s="29"/>
      <ns0:c r="K1541" s="29"/>
    </ns0:row>
    <ns0:row r="1542" ht="28" customHeight="1">
      <ns0:c r="A1542" s="29"/>
      <ns0:c r="B1542" s="30"/>
      <ns0:c r="C1542" s="28"/>
      <ns0:c r="D1542" s="29"/>
      <ns0:c r="E1542" s="31"/>
      <ns0:c r="F1542" s="32"/>
      <ns0:c r="G1542" s="29"/>
      <ns0:c r="H1542" s="29"/>
      <ns0:c r="I1542" s="29"/>
      <ns0:c r="J1542" s="29"/>
      <ns0:c r="K1542" s="29"/>
    </ns0:row>
    <ns0:row r="1543" ht="28" customHeight="1">
      <ns0:c r="A1543" s="29"/>
      <ns0:c r="B1543" s="30"/>
      <ns0:c r="C1543" s="28"/>
      <ns0:c r="D1543" s="29"/>
      <ns0:c r="E1543" s="31"/>
      <ns0:c r="F1543" s="32"/>
      <ns0:c r="G1543" s="29"/>
      <ns0:c r="H1543" s="29"/>
      <ns0:c r="I1543" s="29"/>
      <ns0:c r="J1543" s="29"/>
      <ns0:c r="K1543" s="29"/>
    </ns0:row>
    <ns0:row r="1544" ht="28" customHeight="1">
      <ns0:c r="A1544" s="29"/>
      <ns0:c r="B1544" s="30"/>
      <ns0:c r="C1544" s="28"/>
      <ns0:c r="D1544" s="29"/>
      <ns0:c r="E1544" s="31"/>
      <ns0:c r="F1544" s="32"/>
      <ns0:c r="G1544" s="29"/>
      <ns0:c r="H1544" s="29"/>
      <ns0:c r="I1544" s="29"/>
      <ns0:c r="J1544" s="29"/>
      <ns0:c r="K1544" s="29"/>
    </ns0:row>
    <ns0:row r="1545" ht="28" customHeight="1">
      <ns0:c r="A1545" s="29"/>
      <ns0:c r="B1545" s="30"/>
      <ns0:c r="C1545" s="28"/>
      <ns0:c r="D1545" s="29"/>
      <ns0:c r="E1545" s="31"/>
      <ns0:c r="F1545" s="32"/>
      <ns0:c r="G1545" s="29"/>
      <ns0:c r="H1545" s="29"/>
      <ns0:c r="I1545" s="29"/>
      <ns0:c r="J1545" s="29"/>
      <ns0:c r="K1545" s="29"/>
    </ns0:row>
    <ns0:row r="1546" ht="28" customHeight="1">
      <ns0:c r="A1546" s="29"/>
      <ns0:c r="B1546" s="30"/>
      <ns0:c r="C1546" s="28"/>
      <ns0:c r="D1546" s="29"/>
      <ns0:c r="E1546" s="31"/>
      <ns0:c r="F1546" s="32"/>
      <ns0:c r="G1546" s="29"/>
      <ns0:c r="H1546" s="29"/>
      <ns0:c r="I1546" s="29"/>
      <ns0:c r="J1546" s="29"/>
      <ns0:c r="K1546" s="29"/>
    </ns0:row>
    <ns0:row r="1547" ht="28" customHeight="1">
      <ns0:c r="A1547" s="29"/>
      <ns0:c r="B1547" s="30"/>
      <ns0:c r="C1547" s="28"/>
      <ns0:c r="D1547" s="29"/>
      <ns0:c r="E1547" s="31"/>
      <ns0:c r="F1547" s="32"/>
      <ns0:c r="G1547" s="29"/>
      <ns0:c r="H1547" s="29"/>
      <ns0:c r="I1547" s="29"/>
      <ns0:c r="J1547" s="29"/>
      <ns0:c r="K1547" s="29"/>
    </ns0:row>
    <ns0:row r="1548" ht="28" customHeight="1">
      <ns0:c r="A1548" s="29"/>
      <ns0:c r="B1548" s="30"/>
      <ns0:c r="C1548" s="28"/>
      <ns0:c r="D1548" s="29"/>
      <ns0:c r="E1548" s="31"/>
      <ns0:c r="F1548" s="32"/>
      <ns0:c r="G1548" s="29"/>
      <ns0:c r="H1548" s="29"/>
      <ns0:c r="I1548" s="29"/>
      <ns0:c r="J1548" s="29"/>
      <ns0:c r="K1548" s="29"/>
    </ns0:row>
    <ns0:row r="1549" ht="28" customHeight="1">
      <ns0:c r="A1549" s="29"/>
      <ns0:c r="B1549" s="30"/>
      <ns0:c r="C1549" s="28"/>
      <ns0:c r="D1549" s="29"/>
      <ns0:c r="E1549" s="31"/>
      <ns0:c r="F1549" s="32"/>
      <ns0:c r="G1549" s="29"/>
      <ns0:c r="H1549" s="29"/>
      <ns0:c r="I1549" s="29"/>
      <ns0:c r="J1549" s="29"/>
      <ns0:c r="K1549" s="29"/>
    </ns0:row>
    <ns0:row r="1550" ht="28" customHeight="1">
      <ns0:c r="A1550" s="29"/>
      <ns0:c r="B1550" s="30"/>
      <ns0:c r="C1550" s="28"/>
      <ns0:c r="D1550" s="29"/>
      <ns0:c r="E1550" s="31"/>
      <ns0:c r="F1550" s="32"/>
      <ns0:c r="G1550" s="29"/>
      <ns0:c r="H1550" s="29"/>
      <ns0:c r="I1550" s="29"/>
      <ns0:c r="J1550" s="29"/>
      <ns0:c r="K1550" s="29"/>
    </ns0:row>
    <ns0:row r="1551" ht="28" customHeight="1">
      <ns0:c r="A1551" s="29"/>
      <ns0:c r="B1551" s="30"/>
      <ns0:c r="C1551" s="28"/>
      <ns0:c r="D1551" s="29"/>
      <ns0:c r="E1551" s="31"/>
      <ns0:c r="F1551" s="32"/>
      <ns0:c r="G1551" s="29"/>
      <ns0:c r="H1551" s="29"/>
      <ns0:c r="I1551" s="29"/>
      <ns0:c r="J1551" s="29"/>
      <ns0:c r="K1551" s="29"/>
    </ns0:row>
    <ns0:row r="1552" ht="28" customHeight="1">
      <ns0:c r="A1552" s="29"/>
      <ns0:c r="B1552" s="30"/>
      <ns0:c r="C1552" s="28"/>
      <ns0:c r="D1552" s="29"/>
      <ns0:c r="E1552" s="31"/>
      <ns0:c r="F1552" s="32"/>
      <ns0:c r="G1552" s="29"/>
      <ns0:c r="H1552" s="29"/>
      <ns0:c r="I1552" s="29"/>
      <ns0:c r="J1552" s="29"/>
      <ns0:c r="K1552" s="29"/>
    </ns0:row>
    <ns0:row r="1553" ht="28" customHeight="1">
      <ns0:c r="A1553" s="29"/>
      <ns0:c r="B1553" s="30"/>
      <ns0:c r="C1553" s="28"/>
      <ns0:c r="D1553" s="29"/>
      <ns0:c r="E1553" s="31"/>
      <ns0:c r="F1553" s="32"/>
      <ns0:c r="G1553" s="29"/>
      <ns0:c r="H1553" s="29"/>
      <ns0:c r="I1553" s="29"/>
      <ns0:c r="J1553" s="29"/>
      <ns0:c r="K1553" s="29"/>
    </ns0:row>
    <ns0:row r="1554" ht="28" customHeight="1">
      <ns0:c r="A1554" s="29"/>
      <ns0:c r="B1554" s="30"/>
      <ns0:c r="C1554" s="28"/>
      <ns0:c r="D1554" s="29"/>
      <ns0:c r="E1554" s="31"/>
      <ns0:c r="F1554" s="32"/>
      <ns0:c r="G1554" s="29"/>
      <ns0:c r="H1554" s="29"/>
      <ns0:c r="I1554" s="29"/>
      <ns0:c r="J1554" s="29"/>
      <ns0:c r="K1554" s="29"/>
    </ns0:row>
    <ns0:row r="1555" ht="28" customHeight="1">
      <ns0:c r="A1555" s="29"/>
      <ns0:c r="B1555" s="30"/>
      <ns0:c r="C1555" s="28"/>
      <ns0:c r="D1555" s="29"/>
      <ns0:c r="E1555" s="31"/>
      <ns0:c r="F1555" s="32"/>
      <ns0:c r="G1555" s="29"/>
      <ns0:c r="H1555" s="29"/>
      <ns0:c r="I1555" s="29"/>
      <ns0:c r="J1555" s="29"/>
      <ns0:c r="K1555" s="29"/>
    </ns0:row>
    <ns0:row r="1556" ht="28" customHeight="1">
      <ns0:c r="A1556" s="29"/>
      <ns0:c r="B1556" s="30"/>
      <ns0:c r="C1556" s="28"/>
      <ns0:c r="D1556" s="29"/>
      <ns0:c r="E1556" s="31"/>
      <ns0:c r="F1556" s="32"/>
      <ns0:c r="G1556" s="29"/>
      <ns0:c r="H1556" s="29"/>
      <ns0:c r="I1556" s="29"/>
      <ns0:c r="J1556" s="29"/>
      <ns0:c r="K1556" s="29"/>
    </ns0:row>
    <ns0:row r="1557" ht="28" customHeight="1">
      <ns0:c r="A1557" s="29"/>
      <ns0:c r="B1557" s="30"/>
      <ns0:c r="C1557" s="28"/>
      <ns0:c r="D1557" s="29"/>
      <ns0:c r="E1557" s="31"/>
      <ns0:c r="F1557" s="32"/>
      <ns0:c r="G1557" s="29"/>
      <ns0:c r="H1557" s="29"/>
      <ns0:c r="I1557" s="29"/>
      <ns0:c r="J1557" s="29"/>
      <ns0:c r="K1557" s="29"/>
    </ns0:row>
    <ns0:row r="1558" ht="28" customHeight="1">
      <ns0:c r="A1558" s="29"/>
      <ns0:c r="B1558" s="30"/>
      <ns0:c r="C1558" s="28"/>
      <ns0:c r="D1558" s="29"/>
      <ns0:c r="E1558" s="31"/>
      <ns0:c r="F1558" s="32"/>
      <ns0:c r="G1558" s="29"/>
      <ns0:c r="H1558" s="29"/>
      <ns0:c r="I1558" s="29"/>
      <ns0:c r="J1558" s="29"/>
      <ns0:c r="K1558" s="29"/>
    </ns0:row>
    <ns0:row r="1559" ht="28" customHeight="1">
      <ns0:c r="A1559" s="29"/>
      <ns0:c r="B1559" s="30"/>
      <ns0:c r="C1559" s="28"/>
      <ns0:c r="D1559" s="29"/>
      <ns0:c r="E1559" s="31"/>
      <ns0:c r="F1559" s="32"/>
      <ns0:c r="G1559" s="29"/>
      <ns0:c r="H1559" s="29"/>
      <ns0:c r="I1559" s="29"/>
      <ns0:c r="J1559" s="29"/>
      <ns0:c r="K1559" s="29"/>
    </ns0:row>
    <ns0:row r="1560" ht="28" customHeight="1">
      <ns0:c r="A1560" s="29"/>
      <ns0:c r="B1560" s="30"/>
      <ns0:c r="C1560" s="28"/>
      <ns0:c r="D1560" s="29"/>
      <ns0:c r="E1560" s="31"/>
      <ns0:c r="F1560" s="32"/>
      <ns0:c r="G1560" s="29"/>
      <ns0:c r="H1560" s="29"/>
      <ns0:c r="I1560" s="29"/>
      <ns0:c r="J1560" s="29"/>
      <ns0:c r="K1560" s="29"/>
    </ns0:row>
    <ns0:row r="1561" ht="28" customHeight="1">
      <ns0:c r="A1561" s="29"/>
      <ns0:c r="B1561" s="30"/>
      <ns0:c r="C1561" s="28"/>
      <ns0:c r="D1561" s="29"/>
      <ns0:c r="E1561" s="31"/>
      <ns0:c r="F1561" s="32"/>
      <ns0:c r="G1561" s="29"/>
      <ns0:c r="H1561" s="29"/>
      <ns0:c r="I1561" s="29"/>
      <ns0:c r="J1561" s="29"/>
      <ns0:c r="K1561" s="29"/>
    </ns0:row>
    <ns0:row r="1562" ht="28" customHeight="1">
      <ns0:c r="A1562" s="29"/>
      <ns0:c r="B1562" s="30"/>
      <ns0:c r="C1562" s="28"/>
      <ns0:c r="D1562" s="29"/>
      <ns0:c r="E1562" s="31"/>
      <ns0:c r="F1562" s="32"/>
      <ns0:c r="G1562" s="29"/>
      <ns0:c r="H1562" s="29"/>
      <ns0:c r="I1562" s="29"/>
      <ns0:c r="J1562" s="29"/>
      <ns0:c r="K1562" s="29"/>
    </ns0:row>
    <ns0:row r="1563" ht="28" customHeight="1">
      <ns0:c r="A1563" s="29"/>
      <ns0:c r="B1563" s="30"/>
      <ns0:c r="C1563" s="28"/>
      <ns0:c r="D1563" s="29"/>
      <ns0:c r="E1563" s="31"/>
      <ns0:c r="F1563" s="32"/>
      <ns0:c r="G1563" s="29"/>
      <ns0:c r="H1563" s="29"/>
      <ns0:c r="I1563" s="29"/>
      <ns0:c r="J1563" s="29"/>
      <ns0:c r="K1563" s="29"/>
    </ns0:row>
    <ns0:row r="1564" ht="28" customHeight="1">
      <ns0:c r="A1564" s="29"/>
      <ns0:c r="B1564" s="30"/>
      <ns0:c r="C1564" s="28"/>
      <ns0:c r="D1564" s="29"/>
      <ns0:c r="E1564" s="31"/>
      <ns0:c r="F1564" s="32"/>
      <ns0:c r="G1564" s="29"/>
      <ns0:c r="H1564" s="29"/>
      <ns0:c r="I1564" s="29"/>
      <ns0:c r="J1564" s="29"/>
      <ns0:c r="K1564" s="29"/>
    </ns0:row>
    <ns0:row r="1565" ht="28" customHeight="1">
      <ns0:c r="A1565" s="29"/>
      <ns0:c r="B1565" s="30"/>
      <ns0:c r="C1565" s="28"/>
      <ns0:c r="D1565" s="29"/>
      <ns0:c r="E1565" s="31"/>
      <ns0:c r="F1565" s="32"/>
      <ns0:c r="G1565" s="29"/>
      <ns0:c r="H1565" s="29"/>
      <ns0:c r="I1565" s="29"/>
      <ns0:c r="J1565" s="29"/>
      <ns0:c r="K1565" s="29"/>
    </ns0:row>
    <ns0:row r="1566" ht="28" customHeight="1">
      <ns0:c r="A1566" s="29"/>
      <ns0:c r="B1566" s="30"/>
      <ns0:c r="C1566" s="28"/>
      <ns0:c r="D1566" s="29"/>
      <ns0:c r="E1566" s="31"/>
      <ns0:c r="F1566" s="32"/>
      <ns0:c r="G1566" s="29"/>
      <ns0:c r="H1566" s="29"/>
      <ns0:c r="I1566" s="29"/>
      <ns0:c r="J1566" s="29"/>
      <ns0:c r="K1566" s="29"/>
    </ns0:row>
    <ns0:row r="1567" ht="28" customHeight="1">
      <ns0:c r="A1567" s="29"/>
      <ns0:c r="B1567" s="30"/>
      <ns0:c r="C1567" s="28"/>
      <ns0:c r="D1567" s="29"/>
      <ns0:c r="E1567" s="31"/>
      <ns0:c r="F1567" s="32"/>
      <ns0:c r="G1567" s="29"/>
      <ns0:c r="H1567" s="29"/>
      <ns0:c r="I1567" s="29"/>
      <ns0:c r="J1567" s="29"/>
      <ns0:c r="K1567" s="29"/>
    </ns0:row>
    <ns0:row r="1568" ht="28" customHeight="1">
      <ns0:c r="A1568" s="29"/>
      <ns0:c r="B1568" s="30"/>
      <ns0:c r="C1568" s="28"/>
      <ns0:c r="D1568" s="29"/>
      <ns0:c r="E1568" s="31"/>
      <ns0:c r="F1568" s="32"/>
      <ns0:c r="G1568" s="29"/>
      <ns0:c r="H1568" s="29"/>
      <ns0:c r="I1568" s="29"/>
      <ns0:c r="J1568" s="29"/>
      <ns0:c r="K1568" s="29"/>
    </ns0:row>
    <ns0:row r="1569" ht="28" customHeight="1">
      <ns0:c r="A1569" s="29"/>
      <ns0:c r="B1569" s="30"/>
      <ns0:c r="C1569" s="28"/>
      <ns0:c r="D1569" s="29"/>
      <ns0:c r="E1569" s="31"/>
      <ns0:c r="F1569" s="32"/>
      <ns0:c r="G1569" s="29"/>
      <ns0:c r="H1569" s="29"/>
      <ns0:c r="I1569" s="29"/>
      <ns0:c r="J1569" s="29"/>
      <ns0:c r="K1569" s="29"/>
    </ns0:row>
    <ns0:row r="1570" ht="28" customHeight="1">
      <ns0:c r="A1570" s="29"/>
      <ns0:c r="B1570" s="30"/>
      <ns0:c r="C1570" s="28"/>
      <ns0:c r="D1570" s="29"/>
      <ns0:c r="E1570" s="31"/>
      <ns0:c r="F1570" s="32"/>
      <ns0:c r="G1570" s="29"/>
      <ns0:c r="H1570" s="29"/>
      <ns0:c r="I1570" s="29"/>
      <ns0:c r="J1570" s="29"/>
      <ns0:c r="K1570" s="29"/>
    </ns0:row>
    <ns0:row r="1571" ht="28" customHeight="1">
      <ns0:c r="A1571" s="29"/>
      <ns0:c r="B1571" s="30"/>
      <ns0:c r="C1571" s="28"/>
      <ns0:c r="D1571" s="29"/>
      <ns0:c r="E1571" s="31"/>
      <ns0:c r="F1571" s="32"/>
      <ns0:c r="G1571" s="29"/>
      <ns0:c r="H1571" s="29"/>
      <ns0:c r="I1571" s="29"/>
      <ns0:c r="J1571" s="29"/>
      <ns0:c r="K1571" s="29"/>
    </ns0:row>
    <ns0:row r="1572" ht="28" customHeight="1">
      <ns0:c r="A1572" s="29"/>
      <ns0:c r="B1572" s="30"/>
      <ns0:c r="C1572" s="28"/>
      <ns0:c r="D1572" s="29"/>
      <ns0:c r="E1572" s="31"/>
      <ns0:c r="F1572" s="32"/>
      <ns0:c r="G1572" s="29"/>
      <ns0:c r="H1572" s="29"/>
      <ns0:c r="I1572" s="29"/>
      <ns0:c r="J1572" s="29"/>
      <ns0:c r="K1572" s="29"/>
    </ns0:row>
    <ns0:row r="1573" ht="28" customHeight="1">
      <ns0:c r="A1573" s="29"/>
      <ns0:c r="B1573" s="30"/>
      <ns0:c r="C1573" s="28"/>
      <ns0:c r="D1573" s="29"/>
      <ns0:c r="E1573" s="31"/>
      <ns0:c r="F1573" s="32"/>
      <ns0:c r="G1573" s="29"/>
      <ns0:c r="H1573" s="29"/>
      <ns0:c r="I1573" s="29"/>
      <ns0:c r="J1573" s="29"/>
      <ns0:c r="K1573" s="29"/>
    </ns0:row>
    <ns0:row r="1574" ht="28" customHeight="1">
      <ns0:c r="A1574" s="29"/>
      <ns0:c r="B1574" s="30"/>
      <ns0:c r="C1574" s="28"/>
      <ns0:c r="D1574" s="29"/>
      <ns0:c r="E1574" s="31"/>
      <ns0:c r="F1574" s="32"/>
      <ns0:c r="G1574" s="29"/>
      <ns0:c r="H1574" s="29"/>
      <ns0:c r="I1574" s="29"/>
      <ns0:c r="J1574" s="29"/>
      <ns0:c r="K1574" s="29"/>
    </ns0:row>
    <ns0:row r="1575" ht="28" customHeight="1">
      <ns0:c r="A1575" s="29"/>
      <ns0:c r="B1575" s="30"/>
      <ns0:c r="C1575" s="28"/>
      <ns0:c r="D1575" s="29"/>
      <ns0:c r="E1575" s="31"/>
      <ns0:c r="F1575" s="32"/>
      <ns0:c r="G1575" s="29"/>
      <ns0:c r="H1575" s="29"/>
      <ns0:c r="I1575" s="29"/>
      <ns0:c r="J1575" s="29"/>
      <ns0:c r="K1575" s="29"/>
    </ns0:row>
    <ns0:row r="1576" ht="28" customHeight="1">
      <ns0:c r="A1576" s="29"/>
      <ns0:c r="B1576" s="30"/>
      <ns0:c r="C1576" s="28"/>
      <ns0:c r="D1576" s="29"/>
      <ns0:c r="E1576" s="31"/>
      <ns0:c r="F1576" s="32"/>
      <ns0:c r="G1576" s="29"/>
      <ns0:c r="H1576" s="29"/>
      <ns0:c r="I1576" s="29"/>
      <ns0:c r="J1576" s="29"/>
      <ns0:c r="K1576" s="29"/>
    </ns0:row>
    <ns0:row r="1577" ht="28" customHeight="1">
      <ns0:c r="A1577" s="29"/>
      <ns0:c r="B1577" s="30"/>
      <ns0:c r="C1577" s="28"/>
      <ns0:c r="D1577" s="29"/>
      <ns0:c r="E1577" s="31"/>
      <ns0:c r="F1577" s="32"/>
      <ns0:c r="G1577" s="29"/>
      <ns0:c r="H1577" s="29"/>
      <ns0:c r="I1577" s="29"/>
      <ns0:c r="J1577" s="29"/>
      <ns0:c r="K1577" s="29"/>
    </ns0:row>
    <ns0:row r="1578" ht="28" customHeight="1">
      <ns0:c r="A1578" s="29"/>
      <ns0:c r="B1578" s="30"/>
      <ns0:c r="C1578" s="28"/>
      <ns0:c r="D1578" s="29"/>
      <ns0:c r="E1578" s="31"/>
      <ns0:c r="F1578" s="32"/>
      <ns0:c r="G1578" s="29"/>
      <ns0:c r="H1578" s="29"/>
      <ns0:c r="I1578" s="29"/>
      <ns0:c r="J1578" s="29"/>
      <ns0:c r="K1578" s="29"/>
    </ns0:row>
    <ns0:row r="1579" ht="28" customHeight="1">
      <ns0:c r="A1579" s="29"/>
      <ns0:c r="B1579" s="30"/>
      <ns0:c r="C1579" s="28"/>
      <ns0:c r="D1579" s="29"/>
      <ns0:c r="E1579" s="31"/>
      <ns0:c r="F1579" s="32"/>
      <ns0:c r="G1579" s="29"/>
      <ns0:c r="H1579" s="29"/>
      <ns0:c r="I1579" s="29"/>
      <ns0:c r="J1579" s="29"/>
      <ns0:c r="K1579" s="29"/>
    </ns0:row>
    <ns0:row r="1580" ht="28" customHeight="1">
      <ns0:c r="A1580" s="29"/>
      <ns0:c r="B1580" s="30"/>
      <ns0:c r="C1580" s="28"/>
      <ns0:c r="D1580" s="29"/>
      <ns0:c r="E1580" s="31"/>
      <ns0:c r="F1580" s="32"/>
      <ns0:c r="G1580" s="29"/>
      <ns0:c r="H1580" s="29"/>
      <ns0:c r="I1580" s="29"/>
      <ns0:c r="J1580" s="29"/>
      <ns0:c r="K1580" s="29"/>
    </ns0:row>
    <ns0:row r="1581" ht="28" customHeight="1">
      <ns0:c r="A1581" s="29"/>
      <ns0:c r="B1581" s="30"/>
      <ns0:c r="C1581" s="28"/>
      <ns0:c r="D1581" s="29"/>
      <ns0:c r="E1581" s="31"/>
      <ns0:c r="F1581" s="32"/>
      <ns0:c r="G1581" s="29"/>
      <ns0:c r="H1581" s="29"/>
      <ns0:c r="I1581" s="29"/>
      <ns0:c r="J1581" s="29"/>
      <ns0:c r="K1581" s="29"/>
    </ns0:row>
    <ns0:row r="1582" ht="28" customHeight="1">
      <ns0:c r="A1582" s="29"/>
      <ns0:c r="B1582" s="30"/>
      <ns0:c r="C1582" s="28"/>
      <ns0:c r="D1582" s="29"/>
      <ns0:c r="E1582" s="31"/>
      <ns0:c r="F1582" s="32"/>
      <ns0:c r="G1582" s="29"/>
      <ns0:c r="H1582" s="29"/>
      <ns0:c r="I1582" s="29"/>
      <ns0:c r="J1582" s="29"/>
      <ns0:c r="K1582" s="29"/>
    </ns0:row>
    <ns0:row r="1583" ht="28" customHeight="1">
      <ns0:c r="A1583" s="29"/>
      <ns0:c r="B1583" s="30"/>
      <ns0:c r="C1583" s="28"/>
      <ns0:c r="D1583" s="29"/>
      <ns0:c r="E1583" s="31"/>
      <ns0:c r="F1583" s="32"/>
      <ns0:c r="G1583" s="29"/>
      <ns0:c r="H1583" s="29"/>
      <ns0:c r="I1583" s="29"/>
      <ns0:c r="J1583" s="29"/>
      <ns0:c r="K1583" s="29"/>
    </ns0:row>
    <ns0:row r="1584" ht="28" customHeight="1">
      <ns0:c r="A1584" s="29"/>
      <ns0:c r="B1584" s="30"/>
      <ns0:c r="C1584" s="28"/>
      <ns0:c r="D1584" s="29"/>
      <ns0:c r="E1584" s="31"/>
      <ns0:c r="F1584" s="32"/>
      <ns0:c r="G1584" s="29"/>
      <ns0:c r="H1584" s="29"/>
      <ns0:c r="I1584" s="29"/>
      <ns0:c r="J1584" s="29"/>
      <ns0:c r="K1584" s="29"/>
    </ns0:row>
    <ns0:row r="1585" ht="28" customHeight="1">
      <ns0:c r="A1585" s="29"/>
      <ns0:c r="B1585" s="30"/>
      <ns0:c r="C1585" s="28"/>
      <ns0:c r="D1585" s="29"/>
      <ns0:c r="E1585" s="31"/>
      <ns0:c r="F1585" s="32"/>
      <ns0:c r="G1585" s="29"/>
      <ns0:c r="H1585" s="29"/>
      <ns0:c r="I1585" s="29"/>
      <ns0:c r="J1585" s="29"/>
      <ns0:c r="K1585" s="29"/>
    </ns0:row>
    <ns0:row r="1586" ht="28" customHeight="1">
      <ns0:c r="A1586" s="29"/>
      <ns0:c r="B1586" s="30"/>
      <ns0:c r="C1586" s="28"/>
      <ns0:c r="D1586" s="29"/>
      <ns0:c r="E1586" s="31"/>
      <ns0:c r="F1586" s="32"/>
      <ns0:c r="G1586" s="29"/>
      <ns0:c r="H1586" s="29"/>
      <ns0:c r="I1586" s="29"/>
      <ns0:c r="J1586" s="29"/>
      <ns0:c r="K1586" s="29"/>
    </ns0:row>
    <ns0:row r="1587" ht="28" customHeight="1">
      <ns0:c r="A1587" s="29"/>
      <ns0:c r="B1587" s="30"/>
      <ns0:c r="C1587" s="28"/>
      <ns0:c r="D1587" s="29"/>
      <ns0:c r="E1587" s="31"/>
      <ns0:c r="F1587" s="32"/>
      <ns0:c r="G1587" s="29"/>
      <ns0:c r="H1587" s="29"/>
      <ns0:c r="I1587" s="29"/>
      <ns0:c r="J1587" s="29"/>
      <ns0:c r="K1587" s="29"/>
    </ns0:row>
    <ns0:row r="1588" ht="28" customHeight="1">
      <ns0:c r="A1588" s="29"/>
      <ns0:c r="B1588" s="30"/>
      <ns0:c r="C1588" s="28"/>
      <ns0:c r="D1588" s="29"/>
      <ns0:c r="E1588" s="31"/>
      <ns0:c r="F1588" s="32"/>
      <ns0:c r="G1588" s="29"/>
      <ns0:c r="H1588" s="29"/>
      <ns0:c r="I1588" s="29"/>
      <ns0:c r="J1588" s="29"/>
      <ns0:c r="K1588" s="29"/>
    </ns0:row>
    <ns0:row r="1589" ht="28" customHeight="1">
      <ns0:c r="A1589" s="29"/>
      <ns0:c r="B1589" s="30"/>
      <ns0:c r="C1589" s="28"/>
      <ns0:c r="D1589" s="29"/>
      <ns0:c r="E1589" s="31"/>
      <ns0:c r="F1589" s="32"/>
      <ns0:c r="G1589" s="29"/>
      <ns0:c r="H1589" s="29"/>
      <ns0:c r="I1589" s="29"/>
      <ns0:c r="J1589" s="29"/>
      <ns0:c r="K1589" s="29"/>
    </ns0:row>
    <ns0:row r="1590" ht="28" customHeight="1">
      <ns0:c r="A1590" s="29"/>
      <ns0:c r="B1590" s="30"/>
      <ns0:c r="C1590" s="28"/>
      <ns0:c r="D1590" s="29"/>
      <ns0:c r="E1590" s="31"/>
      <ns0:c r="F1590" s="32"/>
      <ns0:c r="G1590" s="29"/>
      <ns0:c r="H1590" s="29"/>
      <ns0:c r="I1590" s="29"/>
      <ns0:c r="J1590" s="29"/>
      <ns0:c r="K1590" s="29"/>
    </ns0:row>
    <ns0:row r="1591" ht="28" customHeight="1">
      <ns0:c r="A1591" s="29"/>
      <ns0:c r="B1591" s="30"/>
      <ns0:c r="C1591" s="28"/>
      <ns0:c r="D1591" s="29"/>
      <ns0:c r="E1591" s="31"/>
      <ns0:c r="F1591" s="32"/>
      <ns0:c r="G1591" s="29"/>
      <ns0:c r="H1591" s="29"/>
      <ns0:c r="I1591" s="29"/>
      <ns0:c r="J1591" s="29"/>
      <ns0:c r="K1591" s="29"/>
    </ns0:row>
    <ns0:row r="1592" ht="28" customHeight="1">
      <ns0:c r="A1592" s="29"/>
      <ns0:c r="B1592" s="30"/>
      <ns0:c r="C1592" s="28"/>
      <ns0:c r="D1592" s="29"/>
      <ns0:c r="E1592" s="31"/>
      <ns0:c r="F1592" s="32"/>
      <ns0:c r="G1592" s="29"/>
      <ns0:c r="H1592" s="29"/>
      <ns0:c r="I1592" s="29"/>
      <ns0:c r="J1592" s="29"/>
      <ns0:c r="K1592" s="29"/>
    </ns0:row>
    <ns0:row r="1593" ht="28" customHeight="1">
      <ns0:c r="A1593" s="29"/>
      <ns0:c r="B1593" s="30"/>
      <ns0:c r="C1593" s="28"/>
      <ns0:c r="D1593" s="29"/>
      <ns0:c r="E1593" s="31"/>
      <ns0:c r="F1593" s="32"/>
      <ns0:c r="G1593" s="29"/>
      <ns0:c r="H1593" s="29"/>
      <ns0:c r="I1593" s="29"/>
      <ns0:c r="J1593" s="29"/>
      <ns0:c r="K1593" s="29"/>
    </ns0:row>
    <ns0:row r="1594" ht="28" customHeight="1">
      <ns0:c r="A1594" s="29"/>
      <ns0:c r="B1594" s="30"/>
      <ns0:c r="C1594" s="28"/>
      <ns0:c r="D1594" s="29"/>
      <ns0:c r="E1594" s="31"/>
      <ns0:c r="F1594" s="32"/>
      <ns0:c r="G1594" s="29"/>
      <ns0:c r="H1594" s="29"/>
      <ns0:c r="I1594" s="29"/>
      <ns0:c r="J1594" s="29"/>
      <ns0:c r="K1594" s="29"/>
    </ns0:row>
    <ns0:row r="1595" ht="28" customHeight="1">
      <ns0:c r="A1595" s="29"/>
      <ns0:c r="B1595" s="30"/>
      <ns0:c r="C1595" s="28"/>
      <ns0:c r="D1595" s="29"/>
      <ns0:c r="E1595" s="31"/>
      <ns0:c r="F1595" s="32"/>
      <ns0:c r="G1595" s="29"/>
      <ns0:c r="H1595" s="29"/>
      <ns0:c r="I1595" s="29"/>
      <ns0:c r="J1595" s="29"/>
      <ns0:c r="K1595" s="29"/>
    </ns0:row>
    <ns0:row r="1596" ht="28" customHeight="1">
      <ns0:c r="A1596" s="29"/>
      <ns0:c r="B1596" s="30"/>
      <ns0:c r="C1596" s="28"/>
      <ns0:c r="D1596" s="29"/>
      <ns0:c r="E1596" s="31"/>
      <ns0:c r="F1596" s="32"/>
      <ns0:c r="G1596" s="29"/>
      <ns0:c r="H1596" s="29"/>
      <ns0:c r="I1596" s="29"/>
      <ns0:c r="J1596" s="29"/>
      <ns0:c r="K1596" s="29"/>
    </ns0:row>
    <ns0:row r="1597" ht="28" customHeight="1">
      <ns0:c r="A1597" s="29"/>
      <ns0:c r="B1597" s="30"/>
      <ns0:c r="C1597" s="28"/>
      <ns0:c r="D1597" s="29"/>
      <ns0:c r="E1597" s="31"/>
      <ns0:c r="F1597" s="32"/>
      <ns0:c r="G1597" s="29"/>
      <ns0:c r="H1597" s="29"/>
      <ns0:c r="I1597" s="29"/>
      <ns0:c r="J1597" s="29"/>
      <ns0:c r="K1597" s="29"/>
    </ns0:row>
    <ns0:row r="1598" ht="28" customHeight="1">
      <ns0:c r="A1598" s="29"/>
      <ns0:c r="B1598" s="30"/>
      <ns0:c r="C1598" s="28"/>
      <ns0:c r="D1598" s="29"/>
      <ns0:c r="E1598" s="31"/>
      <ns0:c r="F1598" s="32"/>
      <ns0:c r="G1598" s="29"/>
      <ns0:c r="H1598" s="29"/>
      <ns0:c r="I1598" s="29"/>
      <ns0:c r="J1598" s="29"/>
      <ns0:c r="K1598" s="29"/>
    </ns0:row>
    <ns0:row r="1599" ht="28" customHeight="1">
      <ns0:c r="A1599" s="29"/>
      <ns0:c r="B1599" s="30"/>
      <ns0:c r="C1599" s="28"/>
      <ns0:c r="D1599" s="29"/>
      <ns0:c r="E1599" s="31"/>
      <ns0:c r="F1599" s="32"/>
      <ns0:c r="G1599" s="29"/>
      <ns0:c r="H1599" s="29"/>
      <ns0:c r="I1599" s="29"/>
      <ns0:c r="J1599" s="29"/>
      <ns0:c r="K1599" s="29"/>
    </ns0:row>
    <ns0:row r="1600" ht="28" customHeight="1">
      <ns0:c r="A1600" s="29"/>
      <ns0:c r="B1600" s="30"/>
      <ns0:c r="C1600" s="28"/>
      <ns0:c r="D1600" s="29"/>
      <ns0:c r="E1600" s="31"/>
      <ns0:c r="F1600" s="32"/>
      <ns0:c r="G1600" s="29"/>
      <ns0:c r="H1600" s="29"/>
      <ns0:c r="I1600" s="29"/>
      <ns0:c r="J1600" s="29"/>
      <ns0:c r="K1600" s="29"/>
    </ns0:row>
    <ns0:row r="1601" ht="28" customHeight="1">
      <ns0:c r="A1601" s="29"/>
      <ns0:c r="B1601" s="30"/>
      <ns0:c r="C1601" s="28"/>
      <ns0:c r="D1601" s="29"/>
      <ns0:c r="E1601" s="31"/>
      <ns0:c r="F1601" s="32"/>
      <ns0:c r="G1601" s="29"/>
      <ns0:c r="H1601" s="29"/>
      <ns0:c r="I1601" s="29"/>
      <ns0:c r="J1601" s="29"/>
      <ns0:c r="K1601" s="29"/>
    </ns0:row>
    <ns0:row r="1602" ht="28" customHeight="1">
      <ns0:c r="A1602" s="29"/>
      <ns0:c r="B1602" s="30"/>
      <ns0:c r="C1602" s="28"/>
      <ns0:c r="D1602" s="29"/>
      <ns0:c r="E1602" s="31"/>
      <ns0:c r="F1602" s="32"/>
      <ns0:c r="G1602" s="29"/>
      <ns0:c r="H1602" s="29"/>
      <ns0:c r="I1602" s="29"/>
      <ns0:c r="J1602" s="29"/>
      <ns0:c r="K1602" s="29"/>
    </ns0:row>
    <ns0:row r="1603" ht="28" customHeight="1">
      <ns0:c r="A1603" s="29"/>
      <ns0:c r="B1603" s="30"/>
      <ns0:c r="C1603" s="28"/>
      <ns0:c r="D1603" s="29"/>
      <ns0:c r="E1603" s="31"/>
      <ns0:c r="F1603" s="32"/>
      <ns0:c r="G1603" s="29"/>
      <ns0:c r="H1603" s="29"/>
      <ns0:c r="I1603" s="29"/>
      <ns0:c r="J1603" s="29"/>
      <ns0:c r="K1603" s="29"/>
    </ns0:row>
    <ns0:row r="1604" ht="28" customHeight="1">
      <ns0:c r="A1604" s="29"/>
      <ns0:c r="B1604" s="30"/>
      <ns0:c r="C1604" s="28"/>
      <ns0:c r="D1604" s="29"/>
      <ns0:c r="E1604" s="31"/>
      <ns0:c r="F1604" s="32"/>
      <ns0:c r="G1604" s="29"/>
      <ns0:c r="H1604" s="29"/>
      <ns0:c r="I1604" s="29"/>
      <ns0:c r="J1604" s="29"/>
      <ns0:c r="K1604" s="29"/>
    </ns0:row>
    <ns0:row r="1605" ht="28" customHeight="1">
      <ns0:c r="A1605" s="29"/>
      <ns0:c r="B1605" s="30"/>
      <ns0:c r="C1605" s="28"/>
      <ns0:c r="D1605" s="29"/>
      <ns0:c r="E1605" s="31"/>
      <ns0:c r="F1605" s="32"/>
      <ns0:c r="G1605" s="29"/>
      <ns0:c r="H1605" s="29"/>
      <ns0:c r="I1605" s="29"/>
      <ns0:c r="J1605" s="29"/>
      <ns0:c r="K1605" s="29"/>
    </ns0:row>
    <ns0:row r="1606" ht="28" customHeight="1">
      <ns0:c r="A1606" s="29"/>
      <ns0:c r="B1606" s="30"/>
      <ns0:c r="C1606" s="28"/>
      <ns0:c r="D1606" s="29"/>
      <ns0:c r="E1606" s="31"/>
      <ns0:c r="F1606" s="32"/>
      <ns0:c r="G1606" s="29"/>
      <ns0:c r="H1606" s="29"/>
      <ns0:c r="I1606" s="29"/>
      <ns0:c r="J1606" s="29"/>
      <ns0:c r="K1606" s="29"/>
    </ns0:row>
    <ns0:row r="1607" ht="28" customHeight="1">
      <ns0:c r="A1607" s="29"/>
      <ns0:c r="B1607" s="30"/>
      <ns0:c r="C1607" s="28"/>
      <ns0:c r="D1607" s="29"/>
      <ns0:c r="E1607" s="31"/>
      <ns0:c r="F1607" s="32"/>
      <ns0:c r="G1607" s="29"/>
      <ns0:c r="H1607" s="29"/>
      <ns0:c r="I1607" s="29"/>
      <ns0:c r="J1607" s="29"/>
      <ns0:c r="K1607" s="29"/>
    </ns0:row>
    <ns0:row r="1608" ht="28" customHeight="1">
      <ns0:c r="A1608" s="29"/>
      <ns0:c r="B1608" s="30"/>
      <ns0:c r="C1608" s="28"/>
      <ns0:c r="D1608" s="29"/>
      <ns0:c r="E1608" s="31"/>
      <ns0:c r="F1608" s="32"/>
      <ns0:c r="G1608" s="29"/>
      <ns0:c r="H1608" s="29"/>
      <ns0:c r="I1608" s="29"/>
      <ns0:c r="J1608" s="29"/>
      <ns0:c r="K1608" s="29"/>
    </ns0:row>
    <ns0:row r="1609" ht="28" customHeight="1">
      <ns0:c r="A1609" s="29"/>
      <ns0:c r="B1609" s="30"/>
      <ns0:c r="C1609" s="28"/>
      <ns0:c r="D1609" s="29"/>
      <ns0:c r="E1609" s="31"/>
      <ns0:c r="F1609" s="32"/>
      <ns0:c r="G1609" s="29"/>
      <ns0:c r="H1609" s="29"/>
      <ns0:c r="I1609" s="29"/>
      <ns0:c r="J1609" s="29"/>
      <ns0:c r="K1609" s="29"/>
    </ns0:row>
    <ns0:row r="1610" ht="28" customHeight="1">
      <ns0:c r="A1610" s="29"/>
      <ns0:c r="B1610" s="30"/>
      <ns0:c r="C1610" s="28"/>
      <ns0:c r="D1610" s="29"/>
      <ns0:c r="E1610" s="31"/>
      <ns0:c r="F1610" s="32"/>
      <ns0:c r="G1610" s="29"/>
      <ns0:c r="H1610" s="29"/>
      <ns0:c r="I1610" s="29"/>
      <ns0:c r="J1610" s="29"/>
      <ns0:c r="K1610" s="29"/>
    </ns0:row>
    <ns0:row r="1611" ht="28" customHeight="1">
      <ns0:c r="A1611" s="29"/>
      <ns0:c r="B1611" s="30"/>
      <ns0:c r="C1611" s="28"/>
      <ns0:c r="D1611" s="29"/>
      <ns0:c r="E1611" s="31"/>
      <ns0:c r="F1611" s="32"/>
      <ns0:c r="G1611" s="29"/>
      <ns0:c r="H1611" s="29"/>
      <ns0:c r="I1611" s="29"/>
      <ns0:c r="J1611" s="29"/>
      <ns0:c r="K1611" s="29"/>
    </ns0:row>
    <ns0:row r="1612" ht="28" customHeight="1">
      <ns0:c r="A1612" s="29"/>
      <ns0:c r="B1612" s="30"/>
      <ns0:c r="C1612" s="28"/>
      <ns0:c r="D1612" s="29"/>
      <ns0:c r="E1612" s="31"/>
      <ns0:c r="F1612" s="32"/>
      <ns0:c r="G1612" s="29"/>
      <ns0:c r="H1612" s="29"/>
      <ns0:c r="I1612" s="29"/>
      <ns0:c r="J1612" s="29"/>
      <ns0:c r="K1612" s="29"/>
    </ns0:row>
    <ns0:row r="1613" ht="28" customHeight="1">
      <ns0:c r="A1613" s="29"/>
      <ns0:c r="B1613" s="30"/>
      <ns0:c r="C1613" s="28"/>
      <ns0:c r="D1613" s="29"/>
      <ns0:c r="E1613" s="31"/>
      <ns0:c r="F1613" s="32"/>
      <ns0:c r="G1613" s="29"/>
      <ns0:c r="H1613" s="29"/>
      <ns0:c r="I1613" s="29"/>
      <ns0:c r="J1613" s="29"/>
      <ns0:c r="K1613" s="29"/>
    </ns0:row>
    <ns0:row r="1614" ht="28" customHeight="1">
      <ns0:c r="A1614" s="29"/>
      <ns0:c r="B1614" s="30"/>
      <ns0:c r="C1614" s="28"/>
      <ns0:c r="D1614" s="29"/>
      <ns0:c r="E1614" s="31"/>
      <ns0:c r="F1614" s="32"/>
      <ns0:c r="G1614" s="29"/>
      <ns0:c r="H1614" s="29"/>
      <ns0:c r="I1614" s="29"/>
      <ns0:c r="J1614" s="29"/>
      <ns0:c r="K1614" s="29"/>
    </ns0:row>
    <ns0:row r="1615" ht="28" customHeight="1">
      <ns0:c r="A1615" s="29"/>
      <ns0:c r="B1615" s="30"/>
      <ns0:c r="C1615" s="28"/>
      <ns0:c r="D1615" s="29"/>
      <ns0:c r="E1615" s="31"/>
      <ns0:c r="F1615" s="32"/>
      <ns0:c r="G1615" s="29"/>
      <ns0:c r="H1615" s="29"/>
      <ns0:c r="I1615" s="29"/>
      <ns0:c r="J1615" s="29"/>
      <ns0:c r="K1615" s="29"/>
    </ns0:row>
    <ns0:row r="1616" ht="28" customHeight="1">
      <ns0:c r="A1616" s="29"/>
      <ns0:c r="B1616" s="30"/>
      <ns0:c r="C1616" s="28"/>
      <ns0:c r="D1616" s="29"/>
      <ns0:c r="E1616" s="31"/>
      <ns0:c r="F1616" s="32"/>
      <ns0:c r="G1616" s="29"/>
      <ns0:c r="H1616" s="29"/>
      <ns0:c r="I1616" s="29"/>
      <ns0:c r="J1616" s="29"/>
      <ns0:c r="K1616" s="29"/>
    </ns0:row>
    <ns0:row r="1617" ht="28" customHeight="1">
      <ns0:c r="A1617" s="29"/>
      <ns0:c r="B1617" s="30"/>
      <ns0:c r="C1617" s="28"/>
      <ns0:c r="D1617" s="29"/>
      <ns0:c r="E1617" s="31"/>
      <ns0:c r="F1617" s="32"/>
      <ns0:c r="G1617" s="29"/>
      <ns0:c r="H1617" s="29"/>
      <ns0:c r="I1617" s="29"/>
      <ns0:c r="J1617" s="29"/>
      <ns0:c r="K1617" s="29"/>
    </ns0:row>
    <ns0:row r="1618" ht="28" customHeight="1">
      <ns0:c r="A1618" s="29"/>
      <ns0:c r="B1618" s="30"/>
      <ns0:c r="C1618" s="28"/>
      <ns0:c r="D1618" s="29"/>
      <ns0:c r="E1618" s="31"/>
      <ns0:c r="F1618" s="32"/>
      <ns0:c r="G1618" s="29"/>
      <ns0:c r="H1618" s="29"/>
      <ns0:c r="I1618" s="29"/>
      <ns0:c r="J1618" s="29"/>
      <ns0:c r="K1618" s="29"/>
    </ns0:row>
    <ns0:row r="1619" ht="28" customHeight="1">
      <ns0:c r="A1619" s="29"/>
      <ns0:c r="B1619" s="30"/>
      <ns0:c r="C1619" s="28"/>
      <ns0:c r="D1619" s="29"/>
      <ns0:c r="E1619" s="31"/>
      <ns0:c r="F1619" s="32"/>
      <ns0:c r="G1619" s="29"/>
      <ns0:c r="H1619" s="29"/>
      <ns0:c r="I1619" s="29"/>
      <ns0:c r="J1619" s="29"/>
      <ns0:c r="K1619" s="29"/>
    </ns0:row>
    <ns0:row r="1620" ht="28" customHeight="1">
      <ns0:c r="A1620" s="29"/>
      <ns0:c r="B1620" s="30"/>
      <ns0:c r="C1620" s="28"/>
      <ns0:c r="D1620" s="29"/>
      <ns0:c r="E1620" s="31"/>
      <ns0:c r="F1620" s="32"/>
      <ns0:c r="G1620" s="29"/>
      <ns0:c r="H1620" s="29"/>
      <ns0:c r="I1620" s="29"/>
      <ns0:c r="J1620" s="29"/>
      <ns0:c r="K1620" s="29"/>
    </ns0:row>
    <ns0:row r="1621" ht="28" customHeight="1">
      <ns0:c r="A1621" s="29"/>
      <ns0:c r="B1621" s="30"/>
      <ns0:c r="C1621" s="28"/>
      <ns0:c r="D1621" s="29"/>
      <ns0:c r="E1621" s="31"/>
      <ns0:c r="F1621" s="32"/>
      <ns0:c r="G1621" s="29"/>
      <ns0:c r="H1621" s="29"/>
      <ns0:c r="I1621" s="29"/>
      <ns0:c r="J1621" s="29"/>
      <ns0:c r="K1621" s="29"/>
    </ns0:row>
    <ns0:row r="1622" ht="28" customHeight="1">
      <ns0:c r="A1622" s="29"/>
      <ns0:c r="B1622" s="30"/>
      <ns0:c r="C1622" s="28"/>
      <ns0:c r="D1622" s="29"/>
      <ns0:c r="E1622" s="31"/>
      <ns0:c r="F1622" s="32"/>
      <ns0:c r="G1622" s="29"/>
      <ns0:c r="H1622" s="29"/>
      <ns0:c r="I1622" s="29"/>
      <ns0:c r="J1622" s="29"/>
      <ns0:c r="K1622" s="29"/>
    </ns0:row>
    <ns0:row r="1623" ht="28" customHeight="1">
      <ns0:c r="A1623" s="29"/>
      <ns0:c r="B1623" s="30"/>
      <ns0:c r="C1623" s="28"/>
      <ns0:c r="D1623" s="29"/>
      <ns0:c r="E1623" s="31"/>
      <ns0:c r="F1623" s="32"/>
      <ns0:c r="G1623" s="29"/>
      <ns0:c r="H1623" s="29"/>
      <ns0:c r="I1623" s="29"/>
      <ns0:c r="J1623" s="29"/>
      <ns0:c r="K1623" s="29"/>
    </ns0:row>
    <ns0:row r="1624" ht="28" customHeight="1">
      <ns0:c r="A1624" s="29"/>
      <ns0:c r="B1624" s="30"/>
      <ns0:c r="C1624" s="28"/>
      <ns0:c r="D1624" s="29"/>
      <ns0:c r="E1624" s="31"/>
      <ns0:c r="F1624" s="32"/>
      <ns0:c r="G1624" s="29"/>
      <ns0:c r="H1624" s="29"/>
      <ns0:c r="I1624" s="29"/>
      <ns0:c r="J1624" s="29"/>
      <ns0:c r="K1624" s="29"/>
    </ns0:row>
    <ns0:row r="1625" ht="28" customHeight="1">
      <ns0:c r="A1625" s="29"/>
      <ns0:c r="B1625" s="30"/>
      <ns0:c r="C1625" s="28"/>
      <ns0:c r="D1625" s="29"/>
      <ns0:c r="E1625" s="31"/>
      <ns0:c r="F1625" s="32"/>
      <ns0:c r="G1625" s="29"/>
      <ns0:c r="H1625" s="29"/>
      <ns0:c r="I1625" s="29"/>
      <ns0:c r="J1625" s="29"/>
      <ns0:c r="K1625" s="29"/>
    </ns0:row>
    <ns0:row r="1626" ht="28" customHeight="1">
      <ns0:c r="A1626" s="29"/>
      <ns0:c r="B1626" s="30"/>
      <ns0:c r="C1626" s="28"/>
      <ns0:c r="D1626" s="29"/>
      <ns0:c r="E1626" s="31"/>
      <ns0:c r="F1626" s="32"/>
      <ns0:c r="G1626" s="29"/>
      <ns0:c r="H1626" s="29"/>
      <ns0:c r="I1626" s="29"/>
      <ns0:c r="J1626" s="29"/>
      <ns0:c r="K1626" s="29"/>
    </ns0:row>
    <ns0:row r="1627" ht="28" customHeight="1">
      <ns0:c r="A1627" s="29"/>
      <ns0:c r="B1627" s="30"/>
      <ns0:c r="C1627" s="28"/>
      <ns0:c r="D1627" s="29"/>
      <ns0:c r="E1627" s="31"/>
      <ns0:c r="F1627" s="32"/>
      <ns0:c r="G1627" s="29"/>
      <ns0:c r="H1627" s="29"/>
      <ns0:c r="I1627" s="29"/>
      <ns0:c r="J1627" s="29"/>
      <ns0:c r="K1627" s="29"/>
    </ns0:row>
    <ns0:row r="1628" ht="28" customHeight="1">
      <ns0:c r="A1628" s="29"/>
      <ns0:c r="B1628" s="30"/>
      <ns0:c r="C1628" s="28"/>
      <ns0:c r="D1628" s="29"/>
      <ns0:c r="E1628" s="31"/>
      <ns0:c r="F1628" s="32"/>
      <ns0:c r="G1628" s="29"/>
      <ns0:c r="H1628" s="29"/>
      <ns0:c r="I1628" s="29"/>
      <ns0:c r="J1628" s="29"/>
      <ns0:c r="K1628" s="29"/>
    </ns0:row>
    <ns0:row r="1629" ht="28" customHeight="1">
      <ns0:c r="A1629" s="29"/>
      <ns0:c r="B1629" s="30"/>
      <ns0:c r="C1629" s="28"/>
      <ns0:c r="D1629" s="29"/>
      <ns0:c r="E1629" s="31"/>
      <ns0:c r="F1629" s="32"/>
      <ns0:c r="G1629" s="29"/>
      <ns0:c r="H1629" s="29"/>
      <ns0:c r="I1629" s="29"/>
      <ns0:c r="J1629" s="29"/>
      <ns0:c r="K1629" s="29"/>
    </ns0:row>
    <ns0:row r="1630" ht="28" customHeight="1">
      <ns0:c r="A1630" s="29"/>
      <ns0:c r="B1630" s="30"/>
      <ns0:c r="C1630" s="28"/>
      <ns0:c r="D1630" s="29"/>
      <ns0:c r="E1630" s="31"/>
      <ns0:c r="F1630" s="32"/>
      <ns0:c r="G1630" s="29"/>
      <ns0:c r="H1630" s="29"/>
      <ns0:c r="I1630" s="29"/>
      <ns0:c r="J1630" s="29"/>
      <ns0:c r="K1630" s="29"/>
    </ns0:row>
    <ns0:row r="1631" ht="28" customHeight="1">
      <ns0:c r="A1631" s="29"/>
      <ns0:c r="B1631" s="30"/>
      <ns0:c r="C1631" s="28"/>
      <ns0:c r="D1631" s="29"/>
      <ns0:c r="E1631" s="31"/>
      <ns0:c r="F1631" s="32"/>
      <ns0:c r="G1631" s="29"/>
      <ns0:c r="H1631" s="29"/>
      <ns0:c r="I1631" s="29"/>
      <ns0:c r="J1631" s="29"/>
      <ns0:c r="K1631" s="29"/>
    </ns0:row>
    <ns0:row r="1632" ht="28" customHeight="1">
      <ns0:c r="A1632" s="29"/>
      <ns0:c r="B1632" s="30"/>
      <ns0:c r="C1632" s="28"/>
      <ns0:c r="D1632" s="29"/>
      <ns0:c r="E1632" s="31"/>
      <ns0:c r="F1632" s="32"/>
      <ns0:c r="G1632" s="29"/>
      <ns0:c r="H1632" s="29"/>
      <ns0:c r="I1632" s="29"/>
      <ns0:c r="J1632" s="29"/>
      <ns0:c r="K1632" s="29"/>
    </ns0:row>
    <ns0:row r="1633" ht="28" customHeight="1">
      <ns0:c r="A1633" s="29"/>
      <ns0:c r="B1633" s="30"/>
      <ns0:c r="C1633" s="28"/>
      <ns0:c r="D1633" s="29"/>
      <ns0:c r="E1633" s="31"/>
      <ns0:c r="F1633" s="32"/>
      <ns0:c r="G1633" s="29"/>
      <ns0:c r="H1633" s="29"/>
      <ns0:c r="I1633" s="29"/>
      <ns0:c r="J1633" s="29"/>
      <ns0:c r="K1633" s="29"/>
    </ns0:row>
    <ns0:row r="1634" ht="28" customHeight="1">
      <ns0:c r="A1634" s="29"/>
      <ns0:c r="B1634" s="30"/>
      <ns0:c r="C1634" s="28"/>
      <ns0:c r="D1634" s="29"/>
      <ns0:c r="E1634" s="31"/>
      <ns0:c r="F1634" s="32"/>
      <ns0:c r="G1634" s="29"/>
      <ns0:c r="H1634" s="29"/>
      <ns0:c r="I1634" s="29"/>
      <ns0:c r="J1634" s="29"/>
      <ns0:c r="K1634" s="29"/>
    </ns0:row>
    <ns0:row r="1635" ht="28" customHeight="1">
      <ns0:c r="A1635" s="29"/>
      <ns0:c r="B1635" s="30"/>
      <ns0:c r="C1635" s="28"/>
      <ns0:c r="D1635" s="29"/>
      <ns0:c r="E1635" s="31"/>
      <ns0:c r="F1635" s="32"/>
      <ns0:c r="G1635" s="29"/>
      <ns0:c r="H1635" s="29"/>
      <ns0:c r="I1635" s="29"/>
      <ns0:c r="J1635" s="29"/>
      <ns0:c r="K1635" s="29"/>
    </ns0:row>
    <ns0:row r="1636" ht="28" customHeight="1">
      <ns0:c r="A1636" s="29"/>
      <ns0:c r="B1636" s="30"/>
      <ns0:c r="C1636" s="28"/>
      <ns0:c r="D1636" s="29"/>
      <ns0:c r="E1636" s="31"/>
      <ns0:c r="F1636" s="32"/>
      <ns0:c r="G1636" s="29"/>
      <ns0:c r="H1636" s="29"/>
      <ns0:c r="I1636" s="29"/>
      <ns0:c r="J1636" s="29"/>
      <ns0:c r="K1636" s="29"/>
    </ns0:row>
    <ns0:row r="1637" ht="28" customHeight="1">
      <ns0:c r="A1637" s="29"/>
      <ns0:c r="B1637" s="30"/>
      <ns0:c r="C1637" s="28"/>
      <ns0:c r="D1637" s="29"/>
      <ns0:c r="E1637" s="31"/>
      <ns0:c r="F1637" s="32"/>
      <ns0:c r="G1637" s="29"/>
      <ns0:c r="H1637" s="29"/>
      <ns0:c r="I1637" s="29"/>
      <ns0:c r="J1637" s="29"/>
      <ns0:c r="K1637" s="29"/>
    </ns0:row>
    <ns0:row r="1638" ht="28" customHeight="1">
      <ns0:c r="A1638" s="29"/>
      <ns0:c r="B1638" s="30"/>
      <ns0:c r="C1638" s="28"/>
      <ns0:c r="D1638" s="29"/>
      <ns0:c r="E1638" s="31"/>
      <ns0:c r="F1638" s="32"/>
      <ns0:c r="G1638" s="29"/>
      <ns0:c r="H1638" s="29"/>
      <ns0:c r="I1638" s="29"/>
      <ns0:c r="J1638" s="29"/>
      <ns0:c r="K1638" s="29"/>
    </ns0:row>
    <ns0:row r="1639" ht="28" customHeight="1">
      <ns0:c r="A1639" s="29"/>
      <ns0:c r="B1639" s="30"/>
      <ns0:c r="C1639" s="28"/>
      <ns0:c r="D1639" s="29"/>
      <ns0:c r="E1639" s="31"/>
      <ns0:c r="F1639" s="32"/>
      <ns0:c r="G1639" s="29"/>
      <ns0:c r="H1639" s="29"/>
      <ns0:c r="I1639" s="29"/>
      <ns0:c r="J1639" s="29"/>
      <ns0:c r="K1639" s="29"/>
    </ns0:row>
    <ns0:row r="1640" ht="28" customHeight="1">
      <ns0:c r="A1640" s="29"/>
      <ns0:c r="B1640" s="30"/>
      <ns0:c r="C1640" s="28"/>
      <ns0:c r="D1640" s="29"/>
      <ns0:c r="E1640" s="31"/>
      <ns0:c r="F1640" s="32"/>
      <ns0:c r="G1640" s="29"/>
      <ns0:c r="H1640" s="29"/>
      <ns0:c r="I1640" s="29"/>
      <ns0:c r="J1640" s="29"/>
      <ns0:c r="K1640" s="29"/>
    </ns0:row>
    <ns0:row r="1641" ht="28" customHeight="1">
      <ns0:c r="A1641" s="29"/>
      <ns0:c r="B1641" s="30"/>
      <ns0:c r="C1641" s="28"/>
      <ns0:c r="D1641" s="29"/>
      <ns0:c r="E1641" s="31"/>
      <ns0:c r="F1641" s="32"/>
      <ns0:c r="G1641" s="29"/>
      <ns0:c r="H1641" s="29"/>
      <ns0:c r="I1641" s="29"/>
      <ns0:c r="J1641" s="29"/>
      <ns0:c r="K1641" s="29"/>
    </ns0:row>
    <ns0:row r="1642" ht="28" customHeight="1">
      <ns0:c r="A1642" s="29"/>
      <ns0:c r="B1642" s="30"/>
      <ns0:c r="C1642" s="28"/>
      <ns0:c r="D1642" s="29"/>
      <ns0:c r="E1642" s="31"/>
      <ns0:c r="F1642" s="32"/>
      <ns0:c r="G1642" s="29"/>
      <ns0:c r="H1642" s="29"/>
      <ns0:c r="I1642" s="29"/>
      <ns0:c r="J1642" s="29"/>
      <ns0:c r="K1642" s="29"/>
    </ns0:row>
    <ns0:row r="1643" ht="28" customHeight="1">
      <ns0:c r="A1643" s="29"/>
      <ns0:c r="B1643" s="30"/>
      <ns0:c r="C1643" s="28"/>
      <ns0:c r="D1643" s="29"/>
      <ns0:c r="E1643" s="31"/>
      <ns0:c r="F1643" s="32"/>
      <ns0:c r="G1643" s="29"/>
      <ns0:c r="H1643" s="29"/>
      <ns0:c r="I1643" s="29"/>
      <ns0:c r="J1643" s="29"/>
      <ns0:c r="K1643" s="29"/>
    </ns0:row>
    <ns0:row r="1644" ht="28" customHeight="1">
      <ns0:c r="A1644" s="29"/>
      <ns0:c r="B1644" s="30"/>
      <ns0:c r="C1644" s="28"/>
      <ns0:c r="D1644" s="29"/>
      <ns0:c r="E1644" s="31"/>
      <ns0:c r="F1644" s="32"/>
      <ns0:c r="G1644" s="29"/>
      <ns0:c r="H1644" s="29"/>
      <ns0:c r="I1644" s="29"/>
      <ns0:c r="J1644" s="29"/>
      <ns0:c r="K1644" s="29"/>
    </ns0:row>
    <ns0:row r="1645" ht="28" customHeight="1">
      <ns0:c r="A1645" s="29"/>
      <ns0:c r="B1645" s="30"/>
      <ns0:c r="C1645" s="28"/>
      <ns0:c r="D1645" s="29"/>
      <ns0:c r="E1645" s="31"/>
      <ns0:c r="F1645" s="32"/>
      <ns0:c r="G1645" s="29"/>
      <ns0:c r="H1645" s="29"/>
      <ns0:c r="I1645" s="29"/>
      <ns0:c r="J1645" s="29"/>
      <ns0:c r="K1645" s="29"/>
    </ns0:row>
    <ns0:row r="1646" ht="28" customHeight="1">
      <ns0:c r="A1646" s="29"/>
      <ns0:c r="B1646" s="30"/>
      <ns0:c r="C1646" s="28"/>
      <ns0:c r="D1646" s="29"/>
      <ns0:c r="E1646" s="31"/>
      <ns0:c r="F1646" s="32"/>
      <ns0:c r="G1646" s="29"/>
      <ns0:c r="H1646" s="29"/>
      <ns0:c r="I1646" s="29"/>
      <ns0:c r="J1646" s="29"/>
      <ns0:c r="K1646" s="29"/>
    </ns0:row>
    <ns0:row r="1647" ht="28" customHeight="1">
      <ns0:c r="A1647" s="29"/>
      <ns0:c r="B1647" s="30"/>
      <ns0:c r="C1647" s="28"/>
      <ns0:c r="D1647" s="29"/>
      <ns0:c r="E1647" s="31"/>
      <ns0:c r="F1647" s="32"/>
      <ns0:c r="G1647" s="29"/>
      <ns0:c r="H1647" s="29"/>
      <ns0:c r="I1647" s="29"/>
      <ns0:c r="J1647" s="29"/>
      <ns0:c r="K1647" s="29"/>
    </ns0:row>
    <ns0:row r="1648" ht="28" customHeight="1">
      <ns0:c r="A1648" s="29"/>
      <ns0:c r="B1648" s="30"/>
      <ns0:c r="C1648" s="28"/>
      <ns0:c r="D1648" s="29"/>
      <ns0:c r="E1648" s="31"/>
      <ns0:c r="F1648" s="32"/>
      <ns0:c r="G1648" s="29"/>
      <ns0:c r="H1648" s="29"/>
      <ns0:c r="I1648" s="29"/>
      <ns0:c r="J1648" s="29"/>
      <ns0:c r="K1648" s="29"/>
    </ns0:row>
    <ns0:row r="1649" ht="28" customHeight="1">
      <ns0:c r="A1649" s="29"/>
      <ns0:c r="B1649" s="30"/>
      <ns0:c r="C1649" s="28"/>
      <ns0:c r="D1649" s="29"/>
      <ns0:c r="E1649" s="31"/>
      <ns0:c r="F1649" s="32"/>
      <ns0:c r="G1649" s="29"/>
      <ns0:c r="H1649" s="29"/>
      <ns0:c r="I1649" s="29"/>
      <ns0:c r="J1649" s="29"/>
      <ns0:c r="K1649" s="29"/>
    </ns0:row>
    <ns0:row r="1650" ht="28" customHeight="1">
      <ns0:c r="A1650" s="29"/>
      <ns0:c r="B1650" s="30"/>
      <ns0:c r="C1650" s="28"/>
      <ns0:c r="D1650" s="29"/>
      <ns0:c r="E1650" s="31"/>
      <ns0:c r="F1650" s="32"/>
      <ns0:c r="G1650" s="29"/>
      <ns0:c r="H1650" s="29"/>
      <ns0:c r="I1650" s="29"/>
      <ns0:c r="J1650" s="29"/>
      <ns0:c r="K1650" s="29"/>
    </ns0:row>
    <ns0:row r="1651" ht="28" customHeight="1">
      <ns0:c r="A1651" s="29"/>
      <ns0:c r="B1651" s="30"/>
      <ns0:c r="C1651" s="28"/>
      <ns0:c r="D1651" s="29"/>
      <ns0:c r="E1651" s="31"/>
      <ns0:c r="F1651" s="32"/>
      <ns0:c r="G1651" s="29"/>
      <ns0:c r="H1651" s="29"/>
      <ns0:c r="I1651" s="29"/>
      <ns0:c r="J1651" s="29"/>
      <ns0:c r="K1651" s="29"/>
    </ns0:row>
    <ns0:row r="1652" ht="28" customHeight="1">
      <ns0:c r="A1652" s="29"/>
      <ns0:c r="B1652" s="30"/>
      <ns0:c r="C1652" s="28"/>
      <ns0:c r="D1652" s="29"/>
      <ns0:c r="E1652" s="31"/>
      <ns0:c r="F1652" s="32"/>
      <ns0:c r="G1652" s="29"/>
      <ns0:c r="H1652" s="29"/>
      <ns0:c r="I1652" s="29"/>
      <ns0:c r="J1652" s="29"/>
      <ns0:c r="K1652" s="29"/>
    </ns0:row>
    <ns0:row r="1653" ht="28" customHeight="1">
      <ns0:c r="A1653" s="29"/>
      <ns0:c r="B1653" s="30"/>
      <ns0:c r="C1653" s="28"/>
      <ns0:c r="D1653" s="29"/>
      <ns0:c r="E1653" s="31"/>
      <ns0:c r="F1653" s="32"/>
      <ns0:c r="G1653" s="29"/>
      <ns0:c r="H1653" s="29"/>
      <ns0:c r="I1653" s="29"/>
      <ns0:c r="J1653" s="29"/>
      <ns0:c r="K1653" s="29"/>
    </ns0:row>
    <ns0:row r="1654" ht="28" customHeight="1">
      <ns0:c r="A1654" s="29"/>
      <ns0:c r="B1654" s="30"/>
      <ns0:c r="C1654" s="28"/>
      <ns0:c r="D1654" s="29"/>
      <ns0:c r="E1654" s="31"/>
      <ns0:c r="F1654" s="32"/>
      <ns0:c r="G1654" s="29"/>
      <ns0:c r="H1654" s="29"/>
      <ns0:c r="I1654" s="29"/>
      <ns0:c r="J1654" s="29"/>
      <ns0:c r="K1654" s="29"/>
    </ns0:row>
    <ns0:row r="1655" ht="28" customHeight="1">
      <ns0:c r="A1655" s="29"/>
      <ns0:c r="B1655" s="30"/>
      <ns0:c r="C1655" s="28"/>
      <ns0:c r="D1655" s="29"/>
      <ns0:c r="E1655" s="31"/>
      <ns0:c r="F1655" s="32"/>
      <ns0:c r="G1655" s="29"/>
      <ns0:c r="H1655" s="29"/>
      <ns0:c r="I1655" s="29"/>
      <ns0:c r="J1655" s="29"/>
      <ns0:c r="K1655" s="29"/>
    </ns0:row>
    <ns0:row r="1656" ht="28" customHeight="1">
      <ns0:c r="A1656" s="29"/>
      <ns0:c r="B1656" s="30"/>
      <ns0:c r="C1656" s="28"/>
      <ns0:c r="D1656" s="29"/>
      <ns0:c r="E1656" s="31"/>
      <ns0:c r="F1656" s="32"/>
      <ns0:c r="G1656" s="29"/>
      <ns0:c r="H1656" s="29"/>
      <ns0:c r="I1656" s="29"/>
      <ns0:c r="J1656" s="29"/>
      <ns0:c r="K1656" s="29"/>
    </ns0:row>
    <ns0:row r="1657" ht="28" customHeight="1">
      <ns0:c r="A1657" s="29"/>
      <ns0:c r="B1657" s="30"/>
      <ns0:c r="C1657" s="28"/>
      <ns0:c r="D1657" s="29"/>
      <ns0:c r="E1657" s="31"/>
      <ns0:c r="F1657" s="32"/>
      <ns0:c r="G1657" s="29"/>
      <ns0:c r="H1657" s="29"/>
      <ns0:c r="I1657" s="29"/>
      <ns0:c r="J1657" s="29"/>
      <ns0:c r="K1657" s="29"/>
    </ns0:row>
    <ns0:row r="1658" ht="28" customHeight="1">
      <ns0:c r="A1658" s="29"/>
      <ns0:c r="B1658" s="30"/>
      <ns0:c r="C1658" s="28"/>
      <ns0:c r="D1658" s="29"/>
      <ns0:c r="E1658" s="31"/>
      <ns0:c r="F1658" s="32"/>
      <ns0:c r="G1658" s="29"/>
      <ns0:c r="H1658" s="29"/>
      <ns0:c r="I1658" s="29"/>
      <ns0:c r="J1658" s="29"/>
      <ns0:c r="K1658" s="29"/>
    </ns0:row>
    <ns0:row r="1659" ht="28" customHeight="1">
      <ns0:c r="A1659" s="29"/>
      <ns0:c r="B1659" s="30"/>
      <ns0:c r="C1659" s="28"/>
      <ns0:c r="D1659" s="29"/>
      <ns0:c r="E1659" s="31"/>
      <ns0:c r="F1659" s="32"/>
      <ns0:c r="G1659" s="29"/>
      <ns0:c r="H1659" s="29"/>
      <ns0:c r="I1659" s="29"/>
      <ns0:c r="J1659" s="29"/>
      <ns0:c r="K1659" s="29"/>
    </ns0:row>
    <ns0:row r="1660" ht="28" customHeight="1">
      <ns0:c r="A1660" s="29"/>
      <ns0:c r="B1660" s="30"/>
      <ns0:c r="C1660" s="28"/>
      <ns0:c r="D1660" s="29"/>
      <ns0:c r="E1660" s="31"/>
      <ns0:c r="F1660" s="32"/>
      <ns0:c r="G1660" s="29"/>
      <ns0:c r="H1660" s="29"/>
      <ns0:c r="I1660" s="29"/>
      <ns0:c r="J1660" s="29"/>
      <ns0:c r="K1660" s="29"/>
    </ns0:row>
    <ns0:row r="1661" ht="28" customHeight="1">
      <ns0:c r="A1661" s="29"/>
      <ns0:c r="B1661" s="30"/>
      <ns0:c r="C1661" s="28"/>
      <ns0:c r="D1661" s="29"/>
      <ns0:c r="E1661" s="31"/>
      <ns0:c r="F1661" s="32"/>
      <ns0:c r="G1661" s="29"/>
      <ns0:c r="H1661" s="29"/>
      <ns0:c r="I1661" s="29"/>
      <ns0:c r="J1661" s="29"/>
      <ns0:c r="K1661" s="29"/>
    </ns0:row>
    <ns0:row r="1662" ht="28" customHeight="1">
      <ns0:c r="A1662" s="29"/>
      <ns0:c r="B1662" s="30"/>
      <ns0:c r="C1662" s="28"/>
      <ns0:c r="D1662" s="29"/>
      <ns0:c r="E1662" s="31"/>
      <ns0:c r="F1662" s="32"/>
      <ns0:c r="G1662" s="29"/>
      <ns0:c r="H1662" s="29"/>
      <ns0:c r="I1662" s="29"/>
      <ns0:c r="J1662" s="29"/>
      <ns0:c r="K1662" s="29"/>
    </ns0:row>
    <ns0:row r="1663" ht="28" customHeight="1">
      <ns0:c r="A1663" s="29"/>
      <ns0:c r="B1663" s="30"/>
      <ns0:c r="C1663" s="28"/>
      <ns0:c r="D1663" s="29"/>
      <ns0:c r="E1663" s="31"/>
      <ns0:c r="F1663" s="32"/>
      <ns0:c r="G1663" s="29"/>
      <ns0:c r="H1663" s="29"/>
      <ns0:c r="I1663" s="29"/>
      <ns0:c r="J1663" s="29"/>
      <ns0:c r="K1663" s="29"/>
    </ns0:row>
    <ns0:row r="1664" ht="28" customHeight="1">
      <ns0:c r="A1664" s="29"/>
      <ns0:c r="B1664" s="30"/>
      <ns0:c r="C1664" s="28"/>
      <ns0:c r="D1664" s="29"/>
      <ns0:c r="E1664" s="31"/>
      <ns0:c r="F1664" s="32"/>
      <ns0:c r="G1664" s="29"/>
      <ns0:c r="H1664" s="29"/>
      <ns0:c r="I1664" s="29"/>
      <ns0:c r="J1664" s="29"/>
      <ns0:c r="K1664" s="29"/>
    </ns0:row>
    <ns0:row r="1665" ht="28" customHeight="1">
      <ns0:c r="A1665" s="29"/>
      <ns0:c r="B1665" s="30"/>
      <ns0:c r="C1665" s="28"/>
      <ns0:c r="D1665" s="29"/>
      <ns0:c r="E1665" s="31"/>
      <ns0:c r="F1665" s="32"/>
      <ns0:c r="G1665" s="29"/>
      <ns0:c r="H1665" s="29"/>
      <ns0:c r="I1665" s="29"/>
      <ns0:c r="J1665" s="29"/>
      <ns0:c r="K1665" s="29"/>
    </ns0:row>
    <ns0:row r="1666" ht="28" customHeight="1">
      <ns0:c r="A1666" s="29"/>
      <ns0:c r="B1666" s="30"/>
      <ns0:c r="C1666" s="28"/>
      <ns0:c r="D1666" s="29"/>
      <ns0:c r="E1666" s="31"/>
      <ns0:c r="F1666" s="32"/>
      <ns0:c r="G1666" s="29"/>
      <ns0:c r="H1666" s="29"/>
      <ns0:c r="I1666" s="29"/>
      <ns0:c r="J1666" s="29"/>
      <ns0:c r="K1666" s="29"/>
    </ns0:row>
    <ns0:row r="1667" ht="28" customHeight="1">
      <ns0:c r="A1667" s="29"/>
      <ns0:c r="B1667" s="30"/>
      <ns0:c r="C1667" s="28"/>
      <ns0:c r="D1667" s="29"/>
      <ns0:c r="E1667" s="31"/>
      <ns0:c r="F1667" s="32"/>
      <ns0:c r="G1667" s="29"/>
      <ns0:c r="H1667" s="29"/>
      <ns0:c r="I1667" s="29"/>
      <ns0:c r="J1667" s="29"/>
      <ns0:c r="K1667" s="29"/>
    </ns0:row>
    <ns0:row r="1668" ht="28" customHeight="1">
      <ns0:c r="A1668" s="29"/>
      <ns0:c r="B1668" s="30"/>
      <ns0:c r="C1668" s="28"/>
      <ns0:c r="D1668" s="29"/>
      <ns0:c r="E1668" s="31"/>
      <ns0:c r="F1668" s="32"/>
      <ns0:c r="G1668" s="29"/>
      <ns0:c r="H1668" s="29"/>
      <ns0:c r="I1668" s="29"/>
      <ns0:c r="J1668" s="29"/>
      <ns0:c r="K1668" s="29"/>
    </ns0:row>
    <ns0:row r="1669" ht="28" customHeight="1">
      <ns0:c r="A1669" s="29"/>
      <ns0:c r="B1669" s="30"/>
      <ns0:c r="C1669" s="28"/>
      <ns0:c r="D1669" s="29"/>
      <ns0:c r="E1669" s="31"/>
      <ns0:c r="F1669" s="32"/>
      <ns0:c r="G1669" s="29"/>
      <ns0:c r="H1669" s="29"/>
      <ns0:c r="I1669" s="29"/>
      <ns0:c r="J1669" s="29"/>
      <ns0:c r="K1669" s="29"/>
    </ns0:row>
    <ns0:row r="1670" ht="28" customHeight="1">
      <ns0:c r="A1670" s="29"/>
      <ns0:c r="B1670" s="30"/>
      <ns0:c r="C1670" s="28"/>
      <ns0:c r="D1670" s="29"/>
      <ns0:c r="E1670" s="31"/>
      <ns0:c r="F1670" s="32"/>
      <ns0:c r="G1670" s="29"/>
      <ns0:c r="H1670" s="29"/>
      <ns0:c r="I1670" s="29"/>
      <ns0:c r="J1670" s="29"/>
      <ns0:c r="K1670" s="29"/>
    </ns0:row>
    <ns0:row r="1671" ht="28" customHeight="1">
      <ns0:c r="A1671" s="29"/>
      <ns0:c r="B1671" s="30"/>
      <ns0:c r="C1671" s="28"/>
      <ns0:c r="D1671" s="29"/>
      <ns0:c r="E1671" s="31"/>
      <ns0:c r="F1671" s="32"/>
      <ns0:c r="G1671" s="29"/>
      <ns0:c r="H1671" s="29"/>
      <ns0:c r="I1671" s="29"/>
      <ns0:c r="J1671" s="29"/>
      <ns0:c r="K1671" s="29"/>
    </ns0:row>
    <ns0:row r="1672" ht="28" customHeight="1">
      <ns0:c r="A1672" s="29"/>
      <ns0:c r="B1672" s="30"/>
      <ns0:c r="C1672" s="28"/>
      <ns0:c r="D1672" s="29"/>
      <ns0:c r="E1672" s="31"/>
      <ns0:c r="F1672" s="32"/>
      <ns0:c r="G1672" s="29"/>
      <ns0:c r="H1672" s="29"/>
      <ns0:c r="I1672" s="29"/>
      <ns0:c r="J1672" s="29"/>
      <ns0:c r="K1672" s="29"/>
    </ns0:row>
    <ns0:row r="1673" ht="28" customHeight="1">
      <ns0:c r="A1673" s="29"/>
      <ns0:c r="B1673" s="30"/>
      <ns0:c r="C1673" s="28"/>
      <ns0:c r="D1673" s="29"/>
      <ns0:c r="E1673" s="31"/>
      <ns0:c r="F1673" s="32"/>
      <ns0:c r="G1673" s="29"/>
      <ns0:c r="H1673" s="29"/>
      <ns0:c r="I1673" s="29"/>
      <ns0:c r="J1673" s="29"/>
      <ns0:c r="K1673" s="29"/>
    </ns0:row>
    <ns0:row r="1674" ht="28" customHeight="1">
      <ns0:c r="A1674" s="29"/>
      <ns0:c r="B1674" s="30"/>
      <ns0:c r="C1674" s="28"/>
      <ns0:c r="D1674" s="29"/>
      <ns0:c r="E1674" s="31"/>
      <ns0:c r="F1674" s="32"/>
      <ns0:c r="G1674" s="29"/>
      <ns0:c r="H1674" s="29"/>
      <ns0:c r="I1674" s="29"/>
      <ns0:c r="J1674" s="29"/>
      <ns0:c r="K1674" s="29"/>
    </ns0:row>
    <ns0:row r="1675" ht="28" customHeight="1">
      <ns0:c r="A1675" s="29"/>
      <ns0:c r="B1675" s="30"/>
      <ns0:c r="C1675" s="28"/>
      <ns0:c r="D1675" s="29"/>
      <ns0:c r="E1675" s="31"/>
      <ns0:c r="F1675" s="32"/>
      <ns0:c r="G1675" s="29"/>
      <ns0:c r="H1675" s="29"/>
      <ns0:c r="I1675" s="29"/>
      <ns0:c r="J1675" s="29"/>
      <ns0:c r="K1675" s="29"/>
    </ns0:row>
    <ns0:row r="1676" ht="28" customHeight="1">
      <ns0:c r="A1676" s="29"/>
      <ns0:c r="B1676" s="30"/>
      <ns0:c r="C1676" s="28"/>
      <ns0:c r="D1676" s="29"/>
      <ns0:c r="E1676" s="31"/>
      <ns0:c r="F1676" s="32"/>
      <ns0:c r="G1676" s="29"/>
      <ns0:c r="H1676" s="29"/>
      <ns0:c r="I1676" s="29"/>
      <ns0:c r="J1676" s="29"/>
      <ns0:c r="K1676" s="29"/>
    </ns0:row>
    <ns0:row r="1677" ht="28" customHeight="1">
      <ns0:c r="A1677" s="29"/>
      <ns0:c r="B1677" s="30"/>
      <ns0:c r="C1677" s="28"/>
      <ns0:c r="D1677" s="29"/>
      <ns0:c r="E1677" s="31"/>
      <ns0:c r="F1677" s="32"/>
      <ns0:c r="G1677" s="29"/>
      <ns0:c r="H1677" s="29"/>
      <ns0:c r="I1677" s="29"/>
      <ns0:c r="J1677" s="29"/>
      <ns0:c r="K1677" s="29"/>
    </ns0:row>
    <ns0:row r="1678" ht="28" customHeight="1">
      <ns0:c r="A1678" s="29"/>
      <ns0:c r="B1678" s="30"/>
      <ns0:c r="C1678" s="28"/>
      <ns0:c r="D1678" s="29"/>
      <ns0:c r="E1678" s="31"/>
      <ns0:c r="F1678" s="32"/>
      <ns0:c r="G1678" s="29"/>
      <ns0:c r="H1678" s="29"/>
      <ns0:c r="I1678" s="29"/>
      <ns0:c r="J1678" s="29"/>
      <ns0:c r="K1678" s="29"/>
    </ns0:row>
    <ns0:row r="1679" ht="28" customHeight="1">
      <ns0:c r="A1679" s="29"/>
      <ns0:c r="B1679" s="30"/>
      <ns0:c r="C1679" s="28"/>
      <ns0:c r="D1679" s="29"/>
      <ns0:c r="E1679" s="31"/>
      <ns0:c r="F1679" s="32"/>
      <ns0:c r="G1679" s="29"/>
      <ns0:c r="H1679" s="29"/>
      <ns0:c r="I1679" s="29"/>
      <ns0:c r="J1679" s="29"/>
      <ns0:c r="K1679" s="29"/>
    </ns0:row>
    <ns0:row r="1680" ht="28" customHeight="1">
      <ns0:c r="A1680" s="29"/>
      <ns0:c r="B1680" s="30"/>
      <ns0:c r="C1680" s="28"/>
      <ns0:c r="D1680" s="29"/>
      <ns0:c r="E1680" s="31"/>
      <ns0:c r="F1680" s="32"/>
      <ns0:c r="G1680" s="29"/>
      <ns0:c r="H1680" s="29"/>
      <ns0:c r="I1680" s="29"/>
      <ns0:c r="J1680" s="29"/>
      <ns0:c r="K1680" s="29"/>
    </ns0:row>
    <ns0:row r="1681" ht="28" customHeight="1">
      <ns0:c r="A1681" s="29"/>
      <ns0:c r="B1681" s="30"/>
      <ns0:c r="C1681" s="28"/>
      <ns0:c r="D1681" s="29"/>
      <ns0:c r="E1681" s="31"/>
      <ns0:c r="F1681" s="32"/>
      <ns0:c r="G1681" s="29"/>
      <ns0:c r="H1681" s="29"/>
      <ns0:c r="I1681" s="29"/>
      <ns0:c r="J1681" s="29"/>
      <ns0:c r="K1681" s="29"/>
    </ns0:row>
    <ns0:row r="1682" ht="28" customHeight="1">
      <ns0:c r="A1682" s="29"/>
      <ns0:c r="B1682" s="30"/>
      <ns0:c r="C1682" s="28"/>
      <ns0:c r="D1682" s="29"/>
      <ns0:c r="E1682" s="31"/>
      <ns0:c r="F1682" s="32"/>
      <ns0:c r="G1682" s="29"/>
      <ns0:c r="H1682" s="29"/>
      <ns0:c r="I1682" s="29"/>
      <ns0:c r="J1682" s="29"/>
      <ns0:c r="K1682" s="29"/>
    </ns0:row>
    <ns0:row r="1683" ht="28" customHeight="1">
      <ns0:c r="A1683" s="29"/>
      <ns0:c r="B1683" s="30"/>
      <ns0:c r="C1683" s="28"/>
      <ns0:c r="D1683" s="29"/>
      <ns0:c r="E1683" s="31"/>
      <ns0:c r="F1683" s="32"/>
      <ns0:c r="G1683" s="29"/>
      <ns0:c r="H1683" s="29"/>
      <ns0:c r="I1683" s="29"/>
      <ns0:c r="J1683" s="29"/>
      <ns0:c r="K1683" s="29"/>
    </ns0:row>
    <ns0:row r="1684" ht="28" customHeight="1">
      <ns0:c r="A1684" s="29"/>
      <ns0:c r="B1684" s="30"/>
      <ns0:c r="C1684" s="28"/>
      <ns0:c r="D1684" s="29"/>
      <ns0:c r="E1684" s="31"/>
      <ns0:c r="F1684" s="32"/>
      <ns0:c r="G1684" s="29"/>
      <ns0:c r="H1684" s="29"/>
      <ns0:c r="I1684" s="29"/>
      <ns0:c r="J1684" s="29"/>
      <ns0:c r="K1684" s="29"/>
    </ns0:row>
    <ns0:row r="1685" ht="28" customHeight="1">
      <ns0:c r="A1685" s="29"/>
      <ns0:c r="B1685" s="30"/>
      <ns0:c r="C1685" s="28"/>
      <ns0:c r="D1685" s="29"/>
      <ns0:c r="E1685" s="31"/>
      <ns0:c r="F1685" s="32"/>
      <ns0:c r="G1685" s="29"/>
      <ns0:c r="H1685" s="29"/>
      <ns0:c r="I1685" s="29"/>
      <ns0:c r="J1685" s="29"/>
      <ns0:c r="K1685" s="29"/>
    </ns0:row>
    <ns0:row r="1686" ht="28" customHeight="1">
      <ns0:c r="A1686" s="29"/>
      <ns0:c r="B1686" s="30"/>
      <ns0:c r="C1686" s="28"/>
      <ns0:c r="D1686" s="29"/>
      <ns0:c r="E1686" s="31"/>
      <ns0:c r="F1686" s="32"/>
      <ns0:c r="G1686" s="29"/>
      <ns0:c r="H1686" s="29"/>
      <ns0:c r="I1686" s="29"/>
      <ns0:c r="J1686" s="29"/>
      <ns0:c r="K1686" s="29"/>
    </ns0:row>
    <ns0:row r="1687" ht="28" customHeight="1">
      <ns0:c r="A1687" s="29"/>
      <ns0:c r="B1687" s="30"/>
      <ns0:c r="C1687" s="28"/>
      <ns0:c r="D1687" s="29"/>
      <ns0:c r="E1687" s="31"/>
      <ns0:c r="F1687" s="32"/>
      <ns0:c r="G1687" s="29"/>
      <ns0:c r="H1687" s="29"/>
      <ns0:c r="I1687" s="29"/>
      <ns0:c r="J1687" s="29"/>
      <ns0:c r="K1687" s="29"/>
    </ns0:row>
    <ns0:row r="1688" ht="28" customHeight="1">
      <ns0:c r="A1688" s="29"/>
      <ns0:c r="B1688" s="30"/>
      <ns0:c r="C1688" s="28"/>
      <ns0:c r="D1688" s="29"/>
      <ns0:c r="E1688" s="31"/>
      <ns0:c r="F1688" s="32"/>
      <ns0:c r="G1688" s="29"/>
      <ns0:c r="H1688" s="29"/>
      <ns0:c r="I1688" s="29"/>
      <ns0:c r="J1688" s="29"/>
      <ns0:c r="K1688" s="29"/>
    </ns0:row>
    <ns0:row r="1689" ht="28" customHeight="1">
      <ns0:c r="A1689" s="29"/>
      <ns0:c r="B1689" s="30"/>
      <ns0:c r="C1689" s="28"/>
      <ns0:c r="D1689" s="29"/>
      <ns0:c r="E1689" s="31"/>
      <ns0:c r="F1689" s="32"/>
      <ns0:c r="G1689" s="29"/>
      <ns0:c r="H1689" s="29"/>
      <ns0:c r="I1689" s="29"/>
      <ns0:c r="J1689" s="29"/>
      <ns0:c r="K1689" s="29"/>
    </ns0:row>
    <ns0:row r="1690" ht="28" customHeight="1">
      <ns0:c r="A1690" s="29"/>
      <ns0:c r="B1690" s="30"/>
      <ns0:c r="C1690" s="28"/>
      <ns0:c r="D1690" s="29"/>
      <ns0:c r="E1690" s="31"/>
      <ns0:c r="F1690" s="32"/>
      <ns0:c r="G1690" s="29"/>
      <ns0:c r="H1690" s="29"/>
      <ns0:c r="I1690" s="29"/>
      <ns0:c r="J1690" s="29"/>
      <ns0:c r="K1690" s="29"/>
    </ns0:row>
    <ns0:row r="1691" ht="28" customHeight="1">
      <ns0:c r="A1691" s="29"/>
      <ns0:c r="B1691" s="30"/>
      <ns0:c r="C1691" s="28"/>
      <ns0:c r="D1691" s="29"/>
      <ns0:c r="E1691" s="31"/>
      <ns0:c r="F1691" s="32"/>
      <ns0:c r="G1691" s="29"/>
      <ns0:c r="H1691" s="29"/>
      <ns0:c r="I1691" s="29"/>
      <ns0:c r="J1691" s="29"/>
      <ns0:c r="K1691" s="29"/>
    </ns0:row>
    <ns0:row r="1692" ht="28" customHeight="1">
      <ns0:c r="A1692" s="29"/>
      <ns0:c r="B1692" s="30"/>
      <ns0:c r="C1692" s="28"/>
      <ns0:c r="D1692" s="29"/>
      <ns0:c r="E1692" s="31"/>
      <ns0:c r="F1692" s="32"/>
      <ns0:c r="G1692" s="29"/>
      <ns0:c r="H1692" s="29"/>
      <ns0:c r="I1692" s="29"/>
      <ns0:c r="J1692" s="29"/>
      <ns0:c r="K1692" s="29"/>
    </ns0:row>
    <ns0:row r="1693" ht="28" customHeight="1">
      <ns0:c r="A1693" s="29"/>
      <ns0:c r="B1693" s="30"/>
      <ns0:c r="C1693" s="28"/>
      <ns0:c r="D1693" s="29"/>
      <ns0:c r="E1693" s="31"/>
      <ns0:c r="F1693" s="32"/>
      <ns0:c r="G1693" s="29"/>
      <ns0:c r="H1693" s="29"/>
      <ns0:c r="I1693" s="29"/>
      <ns0:c r="J1693" s="29"/>
      <ns0:c r="K1693" s="29"/>
    </ns0:row>
    <ns0:row r="1694" ht="28" customHeight="1">
      <ns0:c r="A1694" s="29"/>
      <ns0:c r="B1694" s="30"/>
      <ns0:c r="C1694" s="28"/>
      <ns0:c r="D1694" s="29"/>
      <ns0:c r="E1694" s="31"/>
      <ns0:c r="F1694" s="32"/>
      <ns0:c r="G1694" s="29"/>
      <ns0:c r="H1694" s="29"/>
      <ns0:c r="I1694" s="29"/>
      <ns0:c r="J1694" s="29"/>
      <ns0:c r="K1694" s="29"/>
    </ns0:row>
    <ns0:row r="1695" ht="28" customHeight="1">
      <ns0:c r="A1695" s="29"/>
      <ns0:c r="B1695" s="30"/>
      <ns0:c r="C1695" s="28"/>
      <ns0:c r="D1695" s="29"/>
      <ns0:c r="E1695" s="31"/>
      <ns0:c r="F1695" s="32"/>
      <ns0:c r="G1695" s="29"/>
      <ns0:c r="H1695" s="29"/>
      <ns0:c r="I1695" s="29"/>
      <ns0:c r="J1695" s="29"/>
      <ns0:c r="K1695" s="29"/>
    </ns0:row>
    <ns0:row r="1696" ht="28" customHeight="1">
      <ns0:c r="A1696" s="29"/>
      <ns0:c r="B1696" s="30"/>
      <ns0:c r="C1696" s="28"/>
      <ns0:c r="D1696" s="29"/>
      <ns0:c r="E1696" s="31"/>
      <ns0:c r="F1696" s="32"/>
      <ns0:c r="G1696" s="29"/>
      <ns0:c r="H1696" s="29"/>
      <ns0:c r="I1696" s="29"/>
      <ns0:c r="J1696" s="29"/>
      <ns0:c r="K1696" s="29"/>
    </ns0:row>
    <ns0:row r="1697" ht="28" customHeight="1">
      <ns0:c r="A1697" s="29"/>
      <ns0:c r="B1697" s="30"/>
      <ns0:c r="C1697" s="28"/>
      <ns0:c r="D1697" s="29"/>
      <ns0:c r="E1697" s="31"/>
      <ns0:c r="F1697" s="32"/>
      <ns0:c r="G1697" s="29"/>
      <ns0:c r="H1697" s="29"/>
      <ns0:c r="I1697" s="29"/>
      <ns0:c r="J1697" s="29"/>
      <ns0:c r="K1697" s="29"/>
    </ns0:row>
    <ns0:row r="1698" ht="28" customHeight="1">
      <ns0:c r="A1698" s="29"/>
      <ns0:c r="B1698" s="30"/>
      <ns0:c r="C1698" s="28"/>
      <ns0:c r="D1698" s="29"/>
      <ns0:c r="E1698" s="31"/>
      <ns0:c r="F1698" s="32"/>
      <ns0:c r="G1698" s="29"/>
      <ns0:c r="H1698" s="29"/>
      <ns0:c r="I1698" s="29"/>
      <ns0:c r="J1698" s="29"/>
      <ns0:c r="K1698" s="29"/>
    </ns0:row>
    <ns0:row r="1699" ht="28" customHeight="1">
      <ns0:c r="A1699" s="29"/>
      <ns0:c r="B1699" s="30"/>
      <ns0:c r="C1699" s="28"/>
      <ns0:c r="D1699" s="29"/>
      <ns0:c r="E1699" s="31"/>
      <ns0:c r="F1699" s="32"/>
      <ns0:c r="G1699" s="29"/>
      <ns0:c r="H1699" s="29"/>
      <ns0:c r="I1699" s="29"/>
      <ns0:c r="J1699" s="29"/>
      <ns0:c r="K1699" s="29"/>
    </ns0:row>
    <ns0:row r="1700" ht="28" customHeight="1">
      <ns0:c r="A1700" s="29"/>
      <ns0:c r="B1700" s="30"/>
      <ns0:c r="C1700" s="28"/>
      <ns0:c r="D1700" s="29"/>
      <ns0:c r="E1700" s="31"/>
      <ns0:c r="F1700" s="32"/>
      <ns0:c r="G1700" s="29"/>
      <ns0:c r="H1700" s="29"/>
      <ns0:c r="I1700" s="29"/>
      <ns0:c r="J1700" s="29"/>
      <ns0:c r="K1700" s="29"/>
    </ns0:row>
    <ns0:row r="1701" ht="28" customHeight="1">
      <ns0:c r="A1701" s="29"/>
      <ns0:c r="B1701" s="30"/>
      <ns0:c r="C1701" s="28"/>
      <ns0:c r="D1701" s="29"/>
      <ns0:c r="E1701" s="31"/>
      <ns0:c r="F1701" s="32"/>
      <ns0:c r="G1701" s="29"/>
      <ns0:c r="H1701" s="29"/>
      <ns0:c r="I1701" s="29"/>
      <ns0:c r="J1701" s="29"/>
      <ns0:c r="K1701" s="29"/>
    </ns0:row>
    <ns0:row r="1702" ht="28" customHeight="1">
      <ns0:c r="A1702" s="29"/>
      <ns0:c r="B1702" s="30"/>
      <ns0:c r="C1702" s="28"/>
      <ns0:c r="D1702" s="29"/>
      <ns0:c r="E1702" s="31"/>
      <ns0:c r="F1702" s="32"/>
      <ns0:c r="G1702" s="29"/>
      <ns0:c r="H1702" s="29"/>
      <ns0:c r="I1702" s="29"/>
      <ns0:c r="J1702" s="29"/>
      <ns0:c r="K1702" s="29"/>
    </ns0:row>
    <ns0:row r="1703" ht="28" customHeight="1">
      <ns0:c r="A1703" s="29"/>
      <ns0:c r="B1703" s="30"/>
      <ns0:c r="C1703" s="28"/>
      <ns0:c r="D1703" s="29"/>
      <ns0:c r="E1703" s="31"/>
      <ns0:c r="F1703" s="32"/>
      <ns0:c r="G1703" s="29"/>
      <ns0:c r="H1703" s="29"/>
      <ns0:c r="I1703" s="29"/>
      <ns0:c r="J1703" s="29"/>
      <ns0:c r="K1703" s="29"/>
    </ns0:row>
    <ns0:row r="1704" ht="28" customHeight="1">
      <ns0:c r="A1704" s="29"/>
      <ns0:c r="B1704" s="30"/>
      <ns0:c r="C1704" s="28"/>
      <ns0:c r="D1704" s="29"/>
      <ns0:c r="E1704" s="31"/>
      <ns0:c r="F1704" s="32"/>
      <ns0:c r="G1704" s="29"/>
      <ns0:c r="H1704" s="29"/>
      <ns0:c r="I1704" s="29"/>
      <ns0:c r="J1704" s="29"/>
      <ns0:c r="K1704" s="29"/>
    </ns0:row>
    <ns0:row r="1705" ht="28" customHeight="1">
      <ns0:c r="A1705" s="29"/>
      <ns0:c r="B1705" s="30"/>
      <ns0:c r="C1705" s="28"/>
      <ns0:c r="D1705" s="29"/>
      <ns0:c r="E1705" s="31"/>
      <ns0:c r="F1705" s="32"/>
      <ns0:c r="G1705" s="29"/>
      <ns0:c r="H1705" s="29"/>
      <ns0:c r="I1705" s="29"/>
      <ns0:c r="J1705" s="29"/>
      <ns0:c r="K1705" s="29"/>
    </ns0:row>
    <ns0:row r="1706" ht="28" customHeight="1">
      <ns0:c r="A1706" s="29"/>
      <ns0:c r="B1706" s="30"/>
      <ns0:c r="C1706" s="28"/>
      <ns0:c r="D1706" s="29"/>
      <ns0:c r="E1706" s="31"/>
      <ns0:c r="F1706" s="32"/>
      <ns0:c r="G1706" s="29"/>
      <ns0:c r="H1706" s="29"/>
      <ns0:c r="I1706" s="29"/>
      <ns0:c r="J1706" s="29"/>
      <ns0:c r="K1706" s="29"/>
    </ns0:row>
    <ns0:row r="1707" ht="28" customHeight="1">
      <ns0:c r="A1707" s="29"/>
      <ns0:c r="B1707" s="30"/>
      <ns0:c r="C1707" s="28"/>
      <ns0:c r="D1707" s="29"/>
      <ns0:c r="E1707" s="31"/>
      <ns0:c r="F1707" s="32"/>
      <ns0:c r="G1707" s="29"/>
      <ns0:c r="H1707" s="29"/>
      <ns0:c r="I1707" s="29"/>
      <ns0:c r="J1707" s="29"/>
      <ns0:c r="K1707" s="29"/>
    </ns0:row>
    <ns0:row r="1708" ht="28" customHeight="1">
      <ns0:c r="A1708" s="29"/>
      <ns0:c r="B1708" s="30"/>
      <ns0:c r="C1708" s="28"/>
      <ns0:c r="D1708" s="29"/>
      <ns0:c r="E1708" s="31"/>
      <ns0:c r="F1708" s="32"/>
      <ns0:c r="G1708" s="29"/>
      <ns0:c r="H1708" s="29"/>
      <ns0:c r="I1708" s="29"/>
      <ns0:c r="J1708" s="29"/>
      <ns0:c r="K1708" s="29"/>
    </ns0:row>
    <ns0:row r="1709" ht="28" customHeight="1">
      <ns0:c r="A1709" s="29"/>
      <ns0:c r="B1709" s="30"/>
      <ns0:c r="C1709" s="28"/>
      <ns0:c r="D1709" s="29"/>
      <ns0:c r="E1709" s="31"/>
      <ns0:c r="F1709" s="32"/>
      <ns0:c r="G1709" s="29"/>
      <ns0:c r="H1709" s="29"/>
      <ns0:c r="I1709" s="29"/>
      <ns0:c r="J1709" s="29"/>
      <ns0:c r="K1709" s="29"/>
    </ns0:row>
    <ns0:row r="1710" ht="28" customHeight="1">
      <ns0:c r="A1710" s="29"/>
      <ns0:c r="B1710" s="30"/>
      <ns0:c r="C1710" s="28"/>
      <ns0:c r="D1710" s="29"/>
      <ns0:c r="E1710" s="31"/>
      <ns0:c r="F1710" s="32"/>
      <ns0:c r="G1710" s="29"/>
      <ns0:c r="H1710" s="29"/>
      <ns0:c r="I1710" s="29"/>
      <ns0:c r="J1710" s="29"/>
      <ns0:c r="K1710" s="29"/>
    </ns0:row>
    <ns0:row r="1711" ht="28" customHeight="1">
      <ns0:c r="A1711" s="29"/>
      <ns0:c r="B1711" s="30"/>
      <ns0:c r="C1711" s="28"/>
      <ns0:c r="D1711" s="29"/>
      <ns0:c r="E1711" s="31"/>
      <ns0:c r="F1711" s="32"/>
      <ns0:c r="G1711" s="29"/>
      <ns0:c r="H1711" s="29"/>
      <ns0:c r="I1711" s="29"/>
      <ns0:c r="J1711" s="29"/>
      <ns0:c r="K1711" s="29"/>
    </ns0:row>
    <ns0:row r="1712" ht="28" customHeight="1">
      <ns0:c r="A1712" s="29"/>
      <ns0:c r="B1712" s="30"/>
      <ns0:c r="C1712" s="28"/>
      <ns0:c r="D1712" s="29"/>
      <ns0:c r="E1712" s="31"/>
      <ns0:c r="F1712" s="32"/>
      <ns0:c r="G1712" s="29"/>
      <ns0:c r="H1712" s="29"/>
      <ns0:c r="I1712" s="29"/>
      <ns0:c r="J1712" s="29"/>
      <ns0:c r="K1712" s="29"/>
    </ns0:row>
    <ns0:row r="1713" ht="28" customHeight="1">
      <ns0:c r="A1713" s="29"/>
      <ns0:c r="B1713" s="30"/>
      <ns0:c r="C1713" s="28"/>
      <ns0:c r="D1713" s="29"/>
      <ns0:c r="E1713" s="31"/>
      <ns0:c r="F1713" s="32"/>
      <ns0:c r="G1713" s="29"/>
      <ns0:c r="H1713" s="29"/>
      <ns0:c r="I1713" s="29"/>
      <ns0:c r="J1713" s="29"/>
      <ns0:c r="K1713" s="29"/>
    </ns0:row>
    <ns0:row r="1714" ht="28" customHeight="1">
      <ns0:c r="A1714" s="29"/>
      <ns0:c r="B1714" s="30"/>
      <ns0:c r="C1714" s="28"/>
      <ns0:c r="D1714" s="29"/>
      <ns0:c r="E1714" s="31"/>
      <ns0:c r="F1714" s="32"/>
      <ns0:c r="G1714" s="29"/>
      <ns0:c r="H1714" s="29"/>
      <ns0:c r="I1714" s="29"/>
      <ns0:c r="J1714" s="29"/>
      <ns0:c r="K1714" s="29"/>
    </ns0:row>
    <ns0:row r="1715" ht="28" customHeight="1">
      <ns0:c r="A1715" s="29"/>
      <ns0:c r="B1715" s="30"/>
      <ns0:c r="C1715" s="28"/>
      <ns0:c r="D1715" s="29"/>
      <ns0:c r="E1715" s="31"/>
      <ns0:c r="F1715" s="32"/>
      <ns0:c r="G1715" s="29"/>
      <ns0:c r="H1715" s="29"/>
      <ns0:c r="I1715" s="29"/>
      <ns0:c r="J1715" s="29"/>
      <ns0:c r="K1715" s="29"/>
    </ns0:row>
    <ns0:row r="1716" ht="28" customHeight="1">
      <ns0:c r="A1716" s="29"/>
      <ns0:c r="B1716" s="30"/>
      <ns0:c r="C1716" s="28"/>
      <ns0:c r="D1716" s="29"/>
      <ns0:c r="E1716" s="31"/>
      <ns0:c r="F1716" s="32"/>
      <ns0:c r="G1716" s="29"/>
      <ns0:c r="H1716" s="29"/>
      <ns0:c r="I1716" s="29"/>
      <ns0:c r="J1716" s="29"/>
      <ns0:c r="K1716" s="29"/>
    </ns0:row>
    <ns0:row r="1717" ht="28" customHeight="1">
      <ns0:c r="A1717" s="29"/>
      <ns0:c r="B1717" s="30"/>
      <ns0:c r="C1717" s="28"/>
      <ns0:c r="D1717" s="29"/>
      <ns0:c r="E1717" s="31"/>
      <ns0:c r="F1717" s="32"/>
      <ns0:c r="G1717" s="29"/>
      <ns0:c r="H1717" s="29"/>
      <ns0:c r="I1717" s="29"/>
      <ns0:c r="J1717" s="29"/>
      <ns0:c r="K1717" s="29"/>
    </ns0:row>
    <ns0:row r="1718" ht="28" customHeight="1">
      <ns0:c r="A1718" s="29"/>
      <ns0:c r="B1718" s="30"/>
      <ns0:c r="C1718" s="28"/>
      <ns0:c r="D1718" s="29"/>
      <ns0:c r="E1718" s="31"/>
      <ns0:c r="F1718" s="32"/>
      <ns0:c r="G1718" s="29"/>
      <ns0:c r="H1718" s="29"/>
      <ns0:c r="I1718" s="29"/>
      <ns0:c r="J1718" s="29"/>
      <ns0:c r="K1718" s="29"/>
    </ns0:row>
    <ns0:row r="1719" ht="28" customHeight="1">
      <ns0:c r="A1719" s="29"/>
      <ns0:c r="B1719" s="30"/>
      <ns0:c r="C1719" s="28"/>
      <ns0:c r="D1719" s="29"/>
      <ns0:c r="E1719" s="31"/>
      <ns0:c r="F1719" s="32"/>
      <ns0:c r="G1719" s="29"/>
      <ns0:c r="H1719" s="29"/>
      <ns0:c r="I1719" s="29"/>
      <ns0:c r="J1719" s="29"/>
      <ns0:c r="K1719" s="29"/>
    </ns0:row>
    <ns0:row r="1720" ht="28" customHeight="1">
      <ns0:c r="A1720" s="29"/>
      <ns0:c r="B1720" s="30"/>
      <ns0:c r="C1720" s="28"/>
      <ns0:c r="D1720" s="29"/>
      <ns0:c r="E1720" s="31"/>
      <ns0:c r="F1720" s="32"/>
      <ns0:c r="G1720" s="29"/>
      <ns0:c r="H1720" s="29"/>
      <ns0:c r="I1720" s="29"/>
      <ns0:c r="J1720" s="29"/>
      <ns0:c r="K1720" s="29"/>
    </ns0:row>
    <ns0:row r="1721" ht="28" customHeight="1">
      <ns0:c r="A1721" s="29"/>
      <ns0:c r="B1721" s="30"/>
      <ns0:c r="C1721" s="28"/>
      <ns0:c r="D1721" s="29"/>
      <ns0:c r="E1721" s="31"/>
      <ns0:c r="F1721" s="32"/>
      <ns0:c r="G1721" s="29"/>
      <ns0:c r="H1721" s="29"/>
      <ns0:c r="I1721" s="29"/>
      <ns0:c r="J1721" s="29"/>
      <ns0:c r="K1721" s="29"/>
    </ns0:row>
    <ns0:row r="1722" ht="28" customHeight="1">
      <ns0:c r="A1722" s="29"/>
      <ns0:c r="B1722" s="30"/>
      <ns0:c r="C1722" s="28"/>
      <ns0:c r="D1722" s="29"/>
      <ns0:c r="E1722" s="31"/>
      <ns0:c r="F1722" s="32"/>
      <ns0:c r="G1722" s="29"/>
      <ns0:c r="H1722" s="29"/>
      <ns0:c r="I1722" s="29"/>
      <ns0:c r="J1722" s="29"/>
      <ns0:c r="K1722" s="29"/>
    </ns0:row>
    <ns0:row r="1723" ht="28" customHeight="1">
      <ns0:c r="A1723" s="29"/>
      <ns0:c r="B1723" s="30"/>
      <ns0:c r="C1723" s="28"/>
      <ns0:c r="D1723" s="29"/>
      <ns0:c r="E1723" s="31"/>
      <ns0:c r="F1723" s="32"/>
      <ns0:c r="G1723" s="29"/>
      <ns0:c r="H1723" s="29"/>
      <ns0:c r="I1723" s="29"/>
      <ns0:c r="J1723" s="29"/>
      <ns0:c r="K1723" s="29"/>
    </ns0:row>
    <ns0:row r="1724" ht="28" customHeight="1">
      <ns0:c r="A1724" s="29"/>
      <ns0:c r="B1724" s="30"/>
      <ns0:c r="C1724" s="28"/>
      <ns0:c r="D1724" s="29"/>
      <ns0:c r="E1724" s="31"/>
      <ns0:c r="F1724" s="32"/>
      <ns0:c r="G1724" s="29"/>
      <ns0:c r="H1724" s="29"/>
      <ns0:c r="I1724" s="29"/>
      <ns0:c r="J1724" s="29"/>
      <ns0:c r="K1724" s="29"/>
    </ns0:row>
    <ns0:row r="1725" ht="28" customHeight="1">
      <ns0:c r="A1725" s="29"/>
      <ns0:c r="B1725" s="30"/>
      <ns0:c r="C1725" s="28"/>
      <ns0:c r="D1725" s="29"/>
      <ns0:c r="E1725" s="31"/>
      <ns0:c r="F1725" s="32"/>
      <ns0:c r="G1725" s="29"/>
      <ns0:c r="H1725" s="29"/>
      <ns0:c r="I1725" s="29"/>
      <ns0:c r="J1725" s="29"/>
      <ns0:c r="K1725" s="29"/>
    </ns0:row>
    <ns0:row r="1726" ht="28" customHeight="1">
      <ns0:c r="A1726" s="29"/>
      <ns0:c r="B1726" s="30"/>
      <ns0:c r="C1726" s="28"/>
      <ns0:c r="D1726" s="29"/>
      <ns0:c r="E1726" s="31"/>
      <ns0:c r="F1726" s="32"/>
      <ns0:c r="G1726" s="29"/>
      <ns0:c r="H1726" s="29"/>
      <ns0:c r="I1726" s="29"/>
      <ns0:c r="J1726" s="29"/>
      <ns0:c r="K1726" s="29"/>
    </ns0:row>
    <ns0:row r="1727" ht="28" customHeight="1">
      <ns0:c r="A1727" s="29"/>
      <ns0:c r="B1727" s="30"/>
      <ns0:c r="C1727" s="28"/>
      <ns0:c r="D1727" s="29"/>
      <ns0:c r="E1727" s="31"/>
      <ns0:c r="F1727" s="32"/>
      <ns0:c r="G1727" s="29"/>
      <ns0:c r="H1727" s="29"/>
      <ns0:c r="I1727" s="29"/>
      <ns0:c r="J1727" s="29"/>
      <ns0:c r="K1727" s="29"/>
    </ns0:row>
    <ns0:row r="1728" ht="28" customHeight="1">
      <ns0:c r="A1728" s="29"/>
      <ns0:c r="B1728" s="30"/>
      <ns0:c r="C1728" s="28"/>
      <ns0:c r="D1728" s="29"/>
      <ns0:c r="E1728" s="31"/>
      <ns0:c r="F1728" s="32"/>
      <ns0:c r="G1728" s="29"/>
      <ns0:c r="H1728" s="29"/>
      <ns0:c r="I1728" s="29"/>
      <ns0:c r="J1728" s="29"/>
      <ns0:c r="K1728" s="29"/>
    </ns0:row>
    <ns0:row r="1729" ht="28" customHeight="1">
      <ns0:c r="A1729" s="29"/>
      <ns0:c r="B1729" s="30"/>
      <ns0:c r="C1729" s="28"/>
      <ns0:c r="D1729" s="29"/>
      <ns0:c r="E1729" s="31"/>
      <ns0:c r="F1729" s="32"/>
      <ns0:c r="G1729" s="29"/>
      <ns0:c r="H1729" s="29"/>
      <ns0:c r="I1729" s="29"/>
      <ns0:c r="J1729" s="29"/>
      <ns0:c r="K1729" s="29"/>
    </ns0:row>
    <ns0:row r="1730" ht="28" customHeight="1">
      <ns0:c r="A1730" s="29"/>
      <ns0:c r="B1730" s="30"/>
      <ns0:c r="C1730" s="28"/>
      <ns0:c r="D1730" s="29"/>
      <ns0:c r="E1730" s="31"/>
      <ns0:c r="F1730" s="32"/>
      <ns0:c r="G1730" s="29"/>
      <ns0:c r="H1730" s="29"/>
      <ns0:c r="I1730" s="29"/>
      <ns0:c r="J1730" s="29"/>
      <ns0:c r="K1730" s="29"/>
    </ns0:row>
    <ns0:row r="1731" ht="28" customHeight="1">
      <ns0:c r="A1731" s="29"/>
      <ns0:c r="B1731" s="30"/>
      <ns0:c r="C1731" s="28"/>
      <ns0:c r="D1731" s="29"/>
      <ns0:c r="E1731" s="31"/>
      <ns0:c r="F1731" s="32"/>
      <ns0:c r="G1731" s="29"/>
      <ns0:c r="H1731" s="29"/>
      <ns0:c r="I1731" s="29"/>
      <ns0:c r="J1731" s="29"/>
      <ns0:c r="K1731" s="29"/>
    </ns0:row>
    <ns0:row r="1732" ht="28" customHeight="1">
      <ns0:c r="A1732" s="29"/>
      <ns0:c r="B1732" s="30"/>
      <ns0:c r="C1732" s="28"/>
      <ns0:c r="D1732" s="29"/>
      <ns0:c r="E1732" s="31"/>
      <ns0:c r="F1732" s="32"/>
      <ns0:c r="G1732" s="29"/>
      <ns0:c r="H1732" s="29"/>
      <ns0:c r="I1732" s="29"/>
      <ns0:c r="J1732" s="29"/>
      <ns0:c r="K1732" s="29"/>
    </ns0:row>
    <ns0:row r="1733" ht="28" customHeight="1">
      <ns0:c r="A1733" s="29"/>
      <ns0:c r="B1733" s="30"/>
      <ns0:c r="C1733" s="28"/>
      <ns0:c r="D1733" s="29"/>
      <ns0:c r="E1733" s="31"/>
      <ns0:c r="F1733" s="32"/>
      <ns0:c r="G1733" s="29"/>
      <ns0:c r="H1733" s="29"/>
      <ns0:c r="I1733" s="29"/>
      <ns0:c r="J1733" s="29"/>
      <ns0:c r="K1733" s="29"/>
    </ns0:row>
    <ns0:row r="1734" ht="28" customHeight="1">
      <ns0:c r="A1734" s="29"/>
      <ns0:c r="B1734" s="30"/>
      <ns0:c r="C1734" s="28"/>
      <ns0:c r="D1734" s="29"/>
      <ns0:c r="E1734" s="31"/>
      <ns0:c r="F1734" s="32"/>
      <ns0:c r="G1734" s="29"/>
      <ns0:c r="H1734" s="29"/>
      <ns0:c r="I1734" s="29"/>
      <ns0:c r="J1734" s="29"/>
      <ns0:c r="K1734" s="29"/>
    </ns0:row>
    <ns0:row r="1735" ht="28" customHeight="1">
      <ns0:c r="A1735" s="29"/>
      <ns0:c r="B1735" s="30"/>
      <ns0:c r="C1735" s="28"/>
      <ns0:c r="D1735" s="29"/>
      <ns0:c r="E1735" s="31"/>
      <ns0:c r="F1735" s="32"/>
      <ns0:c r="G1735" s="29"/>
      <ns0:c r="H1735" s="29"/>
      <ns0:c r="I1735" s="29"/>
      <ns0:c r="J1735" s="29"/>
      <ns0:c r="K1735" s="29"/>
    </ns0:row>
    <ns0:row r="1736" ht="28" customHeight="1">
      <ns0:c r="A1736" s="29"/>
      <ns0:c r="B1736" s="30"/>
      <ns0:c r="C1736" s="28"/>
      <ns0:c r="D1736" s="29"/>
      <ns0:c r="E1736" s="31"/>
      <ns0:c r="F1736" s="32"/>
      <ns0:c r="G1736" s="29"/>
      <ns0:c r="H1736" s="29"/>
      <ns0:c r="I1736" s="29"/>
      <ns0:c r="J1736" s="29"/>
      <ns0:c r="K1736" s="29"/>
    </ns0:row>
    <ns0:row r="1737" ht="28" customHeight="1">
      <ns0:c r="A1737" s="29"/>
      <ns0:c r="B1737" s="30"/>
      <ns0:c r="C1737" s="28"/>
      <ns0:c r="D1737" s="29"/>
      <ns0:c r="E1737" s="31"/>
      <ns0:c r="F1737" s="32"/>
      <ns0:c r="G1737" s="29"/>
      <ns0:c r="H1737" s="29"/>
      <ns0:c r="I1737" s="29"/>
      <ns0:c r="J1737" s="29"/>
      <ns0:c r="K1737" s="29"/>
    </ns0:row>
    <ns0:row r="1738" ht="28" customHeight="1">
      <ns0:c r="A1738" s="29"/>
      <ns0:c r="B1738" s="30"/>
      <ns0:c r="C1738" s="28"/>
      <ns0:c r="D1738" s="29"/>
      <ns0:c r="E1738" s="31"/>
      <ns0:c r="F1738" s="32"/>
      <ns0:c r="G1738" s="29"/>
      <ns0:c r="H1738" s="29"/>
      <ns0:c r="I1738" s="29"/>
      <ns0:c r="J1738" s="29"/>
      <ns0:c r="K1738" s="29"/>
    </ns0:row>
    <ns0:row r="1739" ht="28" customHeight="1">
      <ns0:c r="A1739" s="29"/>
      <ns0:c r="B1739" s="30"/>
      <ns0:c r="C1739" s="28"/>
      <ns0:c r="D1739" s="29"/>
      <ns0:c r="E1739" s="31"/>
      <ns0:c r="F1739" s="32"/>
      <ns0:c r="G1739" s="29"/>
      <ns0:c r="H1739" s="29"/>
      <ns0:c r="I1739" s="29"/>
      <ns0:c r="J1739" s="29"/>
      <ns0:c r="K1739" s="29"/>
    </ns0:row>
    <ns0:row r="1740" ht="28" customHeight="1">
      <ns0:c r="A1740" s="29"/>
      <ns0:c r="B1740" s="30"/>
      <ns0:c r="C1740" s="28"/>
      <ns0:c r="D1740" s="29"/>
      <ns0:c r="E1740" s="31"/>
      <ns0:c r="F1740" s="32"/>
      <ns0:c r="G1740" s="29"/>
      <ns0:c r="H1740" s="29"/>
      <ns0:c r="I1740" s="29"/>
      <ns0:c r="J1740" s="29"/>
      <ns0:c r="K1740" s="29"/>
    </ns0:row>
    <ns0:row r="1741" ht="28" customHeight="1">
      <ns0:c r="A1741" s="29"/>
      <ns0:c r="B1741" s="30"/>
      <ns0:c r="C1741" s="28"/>
      <ns0:c r="D1741" s="29"/>
      <ns0:c r="E1741" s="31"/>
      <ns0:c r="F1741" s="32"/>
      <ns0:c r="G1741" s="29"/>
      <ns0:c r="H1741" s="29"/>
      <ns0:c r="I1741" s="29"/>
      <ns0:c r="J1741" s="29"/>
      <ns0:c r="K1741" s="29"/>
    </ns0:row>
    <ns0:row r="1742" ht="28" customHeight="1">
      <ns0:c r="A1742" s="29"/>
      <ns0:c r="B1742" s="30"/>
      <ns0:c r="C1742" s="28"/>
      <ns0:c r="D1742" s="29"/>
      <ns0:c r="E1742" s="31"/>
      <ns0:c r="F1742" s="32"/>
      <ns0:c r="G1742" s="29"/>
      <ns0:c r="H1742" s="29"/>
      <ns0:c r="I1742" s="29"/>
      <ns0:c r="J1742" s="29"/>
      <ns0:c r="K1742" s="29"/>
    </ns0:row>
    <ns0:row r="1743" ht="28" customHeight="1">
      <ns0:c r="A1743" s="29"/>
      <ns0:c r="B1743" s="30"/>
      <ns0:c r="C1743" s="28"/>
      <ns0:c r="D1743" s="29"/>
      <ns0:c r="E1743" s="31"/>
      <ns0:c r="F1743" s="32"/>
      <ns0:c r="G1743" s="29"/>
      <ns0:c r="H1743" s="29"/>
      <ns0:c r="I1743" s="29"/>
      <ns0:c r="J1743" s="29"/>
      <ns0:c r="K1743" s="29"/>
    </ns0:row>
    <ns0:row r="1744" ht="28" customHeight="1">
      <ns0:c r="A1744" s="29"/>
      <ns0:c r="B1744" s="30"/>
      <ns0:c r="C1744" s="28"/>
      <ns0:c r="D1744" s="29"/>
      <ns0:c r="E1744" s="31"/>
      <ns0:c r="F1744" s="32"/>
      <ns0:c r="G1744" s="29"/>
      <ns0:c r="H1744" s="29"/>
      <ns0:c r="I1744" s="29"/>
      <ns0:c r="J1744" s="29"/>
      <ns0:c r="K1744" s="29"/>
    </ns0:row>
    <ns0:row r="1745" ht="28" customHeight="1">
      <ns0:c r="A1745" s="29"/>
      <ns0:c r="B1745" s="30"/>
      <ns0:c r="C1745" s="28"/>
      <ns0:c r="D1745" s="29"/>
      <ns0:c r="E1745" s="31"/>
      <ns0:c r="F1745" s="32"/>
      <ns0:c r="G1745" s="29"/>
      <ns0:c r="H1745" s="29"/>
      <ns0:c r="I1745" s="29"/>
      <ns0:c r="J1745" s="29"/>
      <ns0:c r="K1745" s="29"/>
    </ns0:row>
    <ns0:row r="1746" ht="28" customHeight="1">
      <ns0:c r="A1746" s="29"/>
      <ns0:c r="B1746" s="30"/>
      <ns0:c r="C1746" s="28"/>
      <ns0:c r="D1746" s="29"/>
      <ns0:c r="E1746" s="31"/>
      <ns0:c r="F1746" s="32"/>
      <ns0:c r="G1746" s="29"/>
      <ns0:c r="H1746" s="29"/>
      <ns0:c r="I1746" s="29"/>
      <ns0:c r="J1746" s="29"/>
      <ns0:c r="K1746" s="29"/>
    </ns0:row>
    <ns0:row r="1747" ht="28" customHeight="1">
      <ns0:c r="A1747" s="29"/>
      <ns0:c r="B1747" s="30"/>
      <ns0:c r="C1747" s="28"/>
      <ns0:c r="D1747" s="29"/>
      <ns0:c r="E1747" s="31"/>
      <ns0:c r="F1747" s="32"/>
      <ns0:c r="G1747" s="29"/>
      <ns0:c r="H1747" s="29"/>
      <ns0:c r="I1747" s="29"/>
      <ns0:c r="J1747" s="29"/>
      <ns0:c r="K1747" s="29"/>
    </ns0:row>
    <ns0:row r="1748" ht="28" customHeight="1">
      <ns0:c r="A1748" s="29"/>
      <ns0:c r="B1748" s="30"/>
      <ns0:c r="C1748" s="28"/>
      <ns0:c r="D1748" s="29"/>
      <ns0:c r="E1748" s="31"/>
      <ns0:c r="F1748" s="32"/>
      <ns0:c r="G1748" s="29"/>
      <ns0:c r="H1748" s="29"/>
      <ns0:c r="I1748" s="29"/>
      <ns0:c r="J1748" s="29"/>
      <ns0:c r="K1748" s="29"/>
    </ns0:row>
    <ns0:row r="1749" ht="28" customHeight="1">
      <ns0:c r="A1749" s="29"/>
      <ns0:c r="B1749" s="30"/>
      <ns0:c r="C1749" s="28"/>
      <ns0:c r="D1749" s="29"/>
      <ns0:c r="E1749" s="31"/>
      <ns0:c r="F1749" s="32"/>
      <ns0:c r="G1749" s="29"/>
      <ns0:c r="H1749" s="29"/>
      <ns0:c r="I1749" s="29"/>
      <ns0:c r="J1749" s="29"/>
      <ns0:c r="K1749" s="29"/>
    </ns0:row>
    <ns0:row r="1750" ht="28" customHeight="1">
      <ns0:c r="A1750" s="29"/>
      <ns0:c r="B1750" s="30"/>
      <ns0:c r="C1750" s="28"/>
      <ns0:c r="D1750" s="29"/>
      <ns0:c r="E1750" s="31"/>
      <ns0:c r="F1750" s="32"/>
      <ns0:c r="G1750" s="29"/>
      <ns0:c r="H1750" s="29"/>
      <ns0:c r="I1750" s="29"/>
      <ns0:c r="J1750" s="29"/>
      <ns0:c r="K1750" s="29"/>
    </ns0:row>
    <ns0:row r="1751" ht="28" customHeight="1">
      <ns0:c r="A1751" s="29"/>
      <ns0:c r="B1751" s="30"/>
      <ns0:c r="C1751" s="28"/>
      <ns0:c r="D1751" s="29"/>
      <ns0:c r="E1751" s="31"/>
      <ns0:c r="F1751" s="32"/>
      <ns0:c r="G1751" s="29"/>
      <ns0:c r="H1751" s="29"/>
      <ns0:c r="I1751" s="29"/>
      <ns0:c r="J1751" s="29"/>
      <ns0:c r="K1751" s="29"/>
    </ns0:row>
    <ns0:row r="1752" ht="28" customHeight="1">
      <ns0:c r="A1752" s="29"/>
      <ns0:c r="B1752" s="30"/>
      <ns0:c r="C1752" s="28"/>
      <ns0:c r="D1752" s="29"/>
      <ns0:c r="E1752" s="31"/>
      <ns0:c r="F1752" s="32"/>
      <ns0:c r="G1752" s="29"/>
      <ns0:c r="H1752" s="29"/>
      <ns0:c r="I1752" s="29"/>
      <ns0:c r="J1752" s="29"/>
      <ns0:c r="K1752" s="29"/>
    </ns0:row>
    <ns0:row r="1753" ht="28" customHeight="1">
      <ns0:c r="A1753" s="29"/>
      <ns0:c r="B1753" s="30"/>
      <ns0:c r="C1753" s="28"/>
      <ns0:c r="D1753" s="29"/>
      <ns0:c r="E1753" s="31"/>
      <ns0:c r="F1753" s="32"/>
      <ns0:c r="G1753" s="29"/>
      <ns0:c r="H1753" s="29"/>
      <ns0:c r="I1753" s="29"/>
      <ns0:c r="J1753" s="29"/>
      <ns0:c r="K1753" s="29"/>
    </ns0:row>
    <ns0:row r="1754" ht="28" customHeight="1">
      <ns0:c r="A1754" s="29"/>
      <ns0:c r="B1754" s="30"/>
      <ns0:c r="C1754" s="28"/>
      <ns0:c r="D1754" s="29"/>
      <ns0:c r="E1754" s="31"/>
      <ns0:c r="F1754" s="32"/>
      <ns0:c r="G1754" s="29"/>
      <ns0:c r="H1754" s="29"/>
      <ns0:c r="I1754" s="29"/>
      <ns0:c r="J1754" s="29"/>
      <ns0:c r="K1754" s="29"/>
    </ns0:row>
    <ns0:row r="1755" ht="28" customHeight="1">
      <ns0:c r="A1755" s="29"/>
      <ns0:c r="B1755" s="30"/>
      <ns0:c r="C1755" s="28"/>
      <ns0:c r="D1755" s="29"/>
      <ns0:c r="E1755" s="31"/>
      <ns0:c r="F1755" s="32"/>
      <ns0:c r="G1755" s="29"/>
      <ns0:c r="H1755" s="29"/>
      <ns0:c r="I1755" s="29"/>
      <ns0:c r="J1755" s="29"/>
      <ns0:c r="K1755" s="29"/>
    </ns0:row>
    <ns0:row r="1756" ht="28" customHeight="1">
      <ns0:c r="A1756" s="29"/>
      <ns0:c r="B1756" s="30"/>
      <ns0:c r="C1756" s="28"/>
      <ns0:c r="D1756" s="29"/>
      <ns0:c r="E1756" s="31"/>
      <ns0:c r="F1756" s="32"/>
      <ns0:c r="G1756" s="29"/>
      <ns0:c r="H1756" s="29"/>
      <ns0:c r="I1756" s="29"/>
      <ns0:c r="J1756" s="29"/>
      <ns0:c r="K1756" s="29"/>
    </ns0:row>
    <ns0:row r="1757" ht="28" customHeight="1">
      <ns0:c r="A1757" s="29"/>
      <ns0:c r="B1757" s="30"/>
      <ns0:c r="C1757" s="28"/>
      <ns0:c r="D1757" s="29"/>
      <ns0:c r="E1757" s="31"/>
      <ns0:c r="F1757" s="32"/>
      <ns0:c r="G1757" s="29"/>
      <ns0:c r="H1757" s="29"/>
      <ns0:c r="I1757" s="29"/>
      <ns0:c r="J1757" s="29"/>
      <ns0:c r="K1757" s="29"/>
    </ns0:row>
    <ns0:row r="1758" ht="28" customHeight="1">
      <ns0:c r="A1758" s="29"/>
      <ns0:c r="B1758" s="30"/>
      <ns0:c r="C1758" s="28"/>
      <ns0:c r="D1758" s="29"/>
      <ns0:c r="E1758" s="31"/>
      <ns0:c r="F1758" s="32"/>
      <ns0:c r="G1758" s="29"/>
      <ns0:c r="H1758" s="29"/>
      <ns0:c r="I1758" s="29"/>
      <ns0:c r="J1758" s="29"/>
      <ns0:c r="K1758" s="29"/>
    </ns0:row>
    <ns0:row r="1759" ht="28" customHeight="1">
      <ns0:c r="A1759" s="29"/>
      <ns0:c r="B1759" s="30"/>
      <ns0:c r="C1759" s="28"/>
      <ns0:c r="D1759" s="29"/>
      <ns0:c r="E1759" s="31"/>
      <ns0:c r="F1759" s="32"/>
      <ns0:c r="G1759" s="29"/>
      <ns0:c r="H1759" s="29"/>
      <ns0:c r="I1759" s="29"/>
      <ns0:c r="J1759" s="29"/>
      <ns0:c r="K1759" s="29"/>
    </ns0:row>
    <ns0:row r="1760" ht="28" customHeight="1">
      <ns0:c r="A1760" s="29"/>
      <ns0:c r="B1760" s="30"/>
      <ns0:c r="C1760" s="28"/>
      <ns0:c r="D1760" s="29"/>
      <ns0:c r="E1760" s="31"/>
      <ns0:c r="F1760" s="32"/>
      <ns0:c r="G1760" s="29"/>
      <ns0:c r="H1760" s="29"/>
      <ns0:c r="I1760" s="29"/>
      <ns0:c r="J1760" s="29"/>
      <ns0:c r="K1760" s="29"/>
    </ns0:row>
    <ns0:row r="1761" ht="28" customHeight="1">
      <ns0:c r="A1761" s="29"/>
      <ns0:c r="B1761" s="30"/>
      <ns0:c r="C1761" s="28"/>
      <ns0:c r="D1761" s="29"/>
      <ns0:c r="E1761" s="31"/>
      <ns0:c r="F1761" s="32"/>
      <ns0:c r="G1761" s="29"/>
      <ns0:c r="H1761" s="29"/>
      <ns0:c r="I1761" s="29"/>
      <ns0:c r="J1761" s="29"/>
      <ns0:c r="K1761" s="29"/>
    </ns0:row>
    <ns0:row r="1762" ht="28" customHeight="1">
      <ns0:c r="A1762" s="29"/>
      <ns0:c r="B1762" s="30"/>
      <ns0:c r="C1762" s="28"/>
      <ns0:c r="D1762" s="29"/>
      <ns0:c r="E1762" s="31"/>
      <ns0:c r="F1762" s="32"/>
      <ns0:c r="G1762" s="29"/>
      <ns0:c r="H1762" s="29"/>
      <ns0:c r="I1762" s="29"/>
      <ns0:c r="J1762" s="29"/>
      <ns0:c r="K1762" s="29"/>
    </ns0:row>
    <ns0:row r="1763" ht="28" customHeight="1">
      <ns0:c r="A1763" s="29"/>
      <ns0:c r="B1763" s="30"/>
      <ns0:c r="C1763" s="28"/>
      <ns0:c r="D1763" s="29"/>
      <ns0:c r="E1763" s="31"/>
      <ns0:c r="F1763" s="32"/>
      <ns0:c r="G1763" s="29"/>
      <ns0:c r="H1763" s="29"/>
      <ns0:c r="I1763" s="29"/>
      <ns0:c r="J1763" s="29"/>
      <ns0:c r="K1763" s="29"/>
    </ns0:row>
    <ns0:row r="1764" ht="28" customHeight="1">
      <ns0:c r="A1764" s="29"/>
      <ns0:c r="B1764" s="30"/>
      <ns0:c r="C1764" s="28"/>
      <ns0:c r="D1764" s="29"/>
      <ns0:c r="E1764" s="31"/>
      <ns0:c r="F1764" s="32"/>
      <ns0:c r="G1764" s="29"/>
      <ns0:c r="H1764" s="29"/>
      <ns0:c r="I1764" s="29"/>
      <ns0:c r="J1764" s="29"/>
      <ns0:c r="K1764" s="29"/>
    </ns0:row>
    <ns0:row r="1765" ht="28" customHeight="1">
      <ns0:c r="A1765" s="29"/>
      <ns0:c r="B1765" s="30"/>
      <ns0:c r="C1765" s="28"/>
      <ns0:c r="D1765" s="29"/>
      <ns0:c r="E1765" s="31"/>
      <ns0:c r="F1765" s="32"/>
      <ns0:c r="G1765" s="29"/>
      <ns0:c r="H1765" s="29"/>
      <ns0:c r="I1765" s="29"/>
      <ns0:c r="J1765" s="29"/>
      <ns0:c r="K1765" s="29"/>
    </ns0:row>
    <ns0:row r="1766" ht="28" customHeight="1">
      <ns0:c r="A1766" s="29"/>
      <ns0:c r="B1766" s="30"/>
      <ns0:c r="C1766" s="28"/>
      <ns0:c r="D1766" s="29"/>
      <ns0:c r="E1766" s="31"/>
      <ns0:c r="F1766" s="32"/>
      <ns0:c r="G1766" s="29"/>
      <ns0:c r="H1766" s="29"/>
      <ns0:c r="I1766" s="29"/>
      <ns0:c r="J1766" s="29"/>
      <ns0:c r="K1766" s="29"/>
    </ns0:row>
    <ns0:row r="1767" ht="28" customHeight="1">
      <ns0:c r="A1767" s="29"/>
      <ns0:c r="B1767" s="30"/>
      <ns0:c r="C1767" s="28"/>
      <ns0:c r="D1767" s="29"/>
      <ns0:c r="E1767" s="31"/>
      <ns0:c r="F1767" s="32"/>
      <ns0:c r="G1767" s="29"/>
      <ns0:c r="H1767" s="29"/>
      <ns0:c r="I1767" s="29"/>
      <ns0:c r="J1767" s="29"/>
      <ns0:c r="K1767" s="29"/>
    </ns0:row>
    <ns0:row r="1768" ht="28" customHeight="1">
      <ns0:c r="A1768" s="29"/>
      <ns0:c r="B1768" s="30"/>
      <ns0:c r="C1768" s="28"/>
      <ns0:c r="D1768" s="29"/>
      <ns0:c r="E1768" s="31"/>
      <ns0:c r="F1768" s="32"/>
      <ns0:c r="G1768" s="29"/>
      <ns0:c r="H1768" s="29"/>
      <ns0:c r="I1768" s="29"/>
      <ns0:c r="J1768" s="29"/>
      <ns0:c r="K1768" s="29"/>
    </ns0:row>
    <ns0:row r="1769" ht="28" customHeight="1">
      <ns0:c r="A1769" s="29"/>
      <ns0:c r="B1769" s="30"/>
      <ns0:c r="C1769" s="28"/>
      <ns0:c r="D1769" s="29"/>
      <ns0:c r="E1769" s="31"/>
      <ns0:c r="F1769" s="32"/>
      <ns0:c r="G1769" s="29"/>
      <ns0:c r="H1769" s="29"/>
      <ns0:c r="I1769" s="29"/>
      <ns0:c r="J1769" s="29"/>
      <ns0:c r="K1769" s="29"/>
    </ns0:row>
    <ns0:row r="1770" ht="28" customHeight="1">
      <ns0:c r="A1770" s="29"/>
      <ns0:c r="B1770" s="30"/>
      <ns0:c r="C1770" s="28"/>
      <ns0:c r="D1770" s="29"/>
      <ns0:c r="E1770" s="31"/>
      <ns0:c r="F1770" s="32"/>
      <ns0:c r="G1770" s="29"/>
      <ns0:c r="H1770" s="29"/>
      <ns0:c r="I1770" s="29"/>
      <ns0:c r="J1770" s="29"/>
      <ns0:c r="K1770" s="29"/>
    </ns0:row>
    <ns0:row r="1771" ht="28" customHeight="1">
      <ns0:c r="A1771" s="29"/>
      <ns0:c r="B1771" s="30"/>
      <ns0:c r="C1771" s="28"/>
      <ns0:c r="D1771" s="29"/>
      <ns0:c r="E1771" s="31"/>
      <ns0:c r="F1771" s="32"/>
      <ns0:c r="G1771" s="29"/>
      <ns0:c r="H1771" s="29"/>
      <ns0:c r="I1771" s="29"/>
      <ns0:c r="J1771" s="29"/>
      <ns0:c r="K1771" s="29"/>
    </ns0:row>
    <ns0:row r="1772" ht="28" customHeight="1">
      <ns0:c r="A1772" s="29"/>
      <ns0:c r="B1772" s="30"/>
      <ns0:c r="C1772" s="28"/>
      <ns0:c r="D1772" s="29"/>
      <ns0:c r="E1772" s="31"/>
      <ns0:c r="F1772" s="32"/>
      <ns0:c r="G1772" s="29"/>
      <ns0:c r="H1772" s="29"/>
      <ns0:c r="I1772" s="29"/>
      <ns0:c r="J1772" s="29"/>
      <ns0:c r="K1772" s="29"/>
    </ns0:row>
    <ns0:row r="1773" ht="28" customHeight="1">
      <ns0:c r="A1773" s="29"/>
      <ns0:c r="B1773" s="30"/>
      <ns0:c r="C1773" s="28"/>
      <ns0:c r="D1773" s="29"/>
      <ns0:c r="E1773" s="31"/>
      <ns0:c r="F1773" s="32"/>
      <ns0:c r="G1773" s="29"/>
      <ns0:c r="H1773" s="29"/>
      <ns0:c r="I1773" s="29"/>
      <ns0:c r="J1773" s="29"/>
      <ns0:c r="K1773" s="29"/>
    </ns0:row>
    <ns0:row r="1774" ht="28" customHeight="1">
      <ns0:c r="A1774" s="29"/>
      <ns0:c r="B1774" s="30"/>
      <ns0:c r="C1774" s="28"/>
      <ns0:c r="D1774" s="29"/>
      <ns0:c r="E1774" s="31"/>
      <ns0:c r="F1774" s="32"/>
      <ns0:c r="G1774" s="29"/>
      <ns0:c r="H1774" s="29"/>
      <ns0:c r="I1774" s="29"/>
      <ns0:c r="J1774" s="29"/>
      <ns0:c r="K1774" s="29"/>
    </ns0:row>
    <ns0:row r="1775" ht="28" customHeight="1">
      <ns0:c r="A1775" s="29"/>
      <ns0:c r="B1775" s="30"/>
      <ns0:c r="C1775" s="28"/>
      <ns0:c r="D1775" s="29"/>
      <ns0:c r="E1775" s="31"/>
      <ns0:c r="F1775" s="32"/>
      <ns0:c r="G1775" s="29"/>
      <ns0:c r="H1775" s="29"/>
      <ns0:c r="I1775" s="29"/>
      <ns0:c r="J1775" s="29"/>
      <ns0:c r="K1775" s="29"/>
    </ns0:row>
    <ns0:row r="1776" ht="28" customHeight="1">
      <ns0:c r="A1776" s="29"/>
      <ns0:c r="B1776" s="30"/>
      <ns0:c r="C1776" s="28"/>
      <ns0:c r="D1776" s="29"/>
      <ns0:c r="E1776" s="31"/>
      <ns0:c r="F1776" s="32"/>
      <ns0:c r="G1776" s="29"/>
      <ns0:c r="H1776" s="29"/>
      <ns0:c r="I1776" s="29"/>
      <ns0:c r="J1776" s="29"/>
      <ns0:c r="K1776" s="29"/>
    </ns0:row>
    <ns0:row r="1777" ht="28" customHeight="1">
      <ns0:c r="A1777" s="29"/>
      <ns0:c r="B1777" s="30"/>
      <ns0:c r="C1777" s="28"/>
      <ns0:c r="D1777" s="29"/>
      <ns0:c r="E1777" s="31"/>
      <ns0:c r="F1777" s="32"/>
      <ns0:c r="G1777" s="29"/>
      <ns0:c r="H1777" s="29"/>
      <ns0:c r="I1777" s="29"/>
      <ns0:c r="J1777" s="29"/>
      <ns0:c r="K1777" s="29"/>
    </ns0:row>
    <ns0:row r="1778" ht="28" customHeight="1">
      <ns0:c r="A1778" s="29"/>
      <ns0:c r="B1778" s="30"/>
      <ns0:c r="C1778" s="28"/>
      <ns0:c r="D1778" s="29"/>
      <ns0:c r="E1778" s="31"/>
      <ns0:c r="F1778" s="32"/>
      <ns0:c r="G1778" s="29"/>
      <ns0:c r="H1778" s="29"/>
      <ns0:c r="I1778" s="29"/>
      <ns0:c r="J1778" s="29"/>
      <ns0:c r="K1778" s="29"/>
    </ns0:row>
    <ns0:row r="1779" ht="28" customHeight="1">
      <ns0:c r="A1779" s="29"/>
      <ns0:c r="B1779" s="30"/>
      <ns0:c r="C1779" s="28"/>
      <ns0:c r="D1779" s="29"/>
      <ns0:c r="E1779" s="31"/>
      <ns0:c r="F1779" s="32"/>
      <ns0:c r="G1779" s="29"/>
      <ns0:c r="H1779" s="29"/>
      <ns0:c r="I1779" s="29"/>
      <ns0:c r="J1779" s="29"/>
      <ns0:c r="K1779" s="29"/>
    </ns0:row>
    <ns0:row r="1780" ht="28" customHeight="1">
      <ns0:c r="A1780" s="29"/>
      <ns0:c r="B1780" s="30"/>
      <ns0:c r="C1780" s="28"/>
      <ns0:c r="D1780" s="29"/>
      <ns0:c r="E1780" s="31"/>
      <ns0:c r="F1780" s="32"/>
      <ns0:c r="G1780" s="29"/>
      <ns0:c r="H1780" s="29"/>
      <ns0:c r="I1780" s="29"/>
      <ns0:c r="J1780" s="29"/>
      <ns0:c r="K1780" s="29"/>
    </ns0:row>
    <ns0:row r="1781" ht="28" customHeight="1">
      <ns0:c r="A1781" s="29"/>
      <ns0:c r="B1781" s="30"/>
      <ns0:c r="C1781" s="28"/>
      <ns0:c r="D1781" s="29"/>
      <ns0:c r="E1781" s="31"/>
      <ns0:c r="F1781" s="32"/>
      <ns0:c r="G1781" s="29"/>
      <ns0:c r="H1781" s="29"/>
      <ns0:c r="I1781" s="29"/>
      <ns0:c r="J1781" s="29"/>
      <ns0:c r="K1781" s="29"/>
    </ns0:row>
    <ns0:row r="1782" ht="28" customHeight="1">
      <ns0:c r="A1782" s="29"/>
      <ns0:c r="B1782" s="30"/>
      <ns0:c r="C1782" s="28"/>
      <ns0:c r="D1782" s="29"/>
      <ns0:c r="E1782" s="31"/>
      <ns0:c r="F1782" s="32"/>
      <ns0:c r="G1782" s="29"/>
      <ns0:c r="H1782" s="29"/>
      <ns0:c r="I1782" s="29"/>
      <ns0:c r="J1782" s="29"/>
      <ns0:c r="K1782" s="29"/>
    </ns0:row>
    <ns0:row r="1783" ht="28" customHeight="1">
      <ns0:c r="A1783" s="29"/>
      <ns0:c r="B1783" s="30"/>
      <ns0:c r="C1783" s="28"/>
      <ns0:c r="D1783" s="29"/>
      <ns0:c r="E1783" s="31"/>
      <ns0:c r="F1783" s="32"/>
      <ns0:c r="G1783" s="29"/>
      <ns0:c r="H1783" s="29"/>
      <ns0:c r="I1783" s="29"/>
      <ns0:c r="J1783" s="29"/>
      <ns0:c r="K1783" s="29"/>
    </ns0:row>
    <ns0:row r="1784" ht="28" customHeight="1">
      <ns0:c r="A1784" s="29"/>
      <ns0:c r="B1784" s="30"/>
      <ns0:c r="C1784" s="28"/>
      <ns0:c r="D1784" s="29"/>
      <ns0:c r="E1784" s="31"/>
      <ns0:c r="F1784" s="32"/>
      <ns0:c r="G1784" s="29"/>
      <ns0:c r="H1784" s="29"/>
      <ns0:c r="I1784" s="29"/>
      <ns0:c r="J1784" s="29"/>
      <ns0:c r="K1784" s="29"/>
    </ns0:row>
    <ns0:row r="1785" ht="28" customHeight="1">
      <ns0:c r="A1785" s="29"/>
      <ns0:c r="B1785" s="30"/>
      <ns0:c r="C1785" s="28"/>
      <ns0:c r="D1785" s="29"/>
      <ns0:c r="E1785" s="31"/>
      <ns0:c r="F1785" s="32"/>
      <ns0:c r="G1785" s="29"/>
      <ns0:c r="H1785" s="29"/>
      <ns0:c r="I1785" s="29"/>
      <ns0:c r="J1785" s="29"/>
      <ns0:c r="K1785" s="29"/>
    </ns0:row>
    <ns0:row r="1786" ht="28" customHeight="1">
      <ns0:c r="A1786" s="29"/>
      <ns0:c r="B1786" s="30"/>
      <ns0:c r="C1786" s="28"/>
      <ns0:c r="D1786" s="29"/>
      <ns0:c r="E1786" s="31"/>
      <ns0:c r="F1786" s="32"/>
      <ns0:c r="G1786" s="29"/>
      <ns0:c r="H1786" s="29"/>
      <ns0:c r="I1786" s="29"/>
      <ns0:c r="J1786" s="29"/>
      <ns0:c r="K1786" s="29"/>
    </ns0:row>
    <ns0:row r="1787" ht="28" customHeight="1">
      <ns0:c r="A1787" s="29"/>
      <ns0:c r="B1787" s="30"/>
      <ns0:c r="C1787" s="28"/>
      <ns0:c r="D1787" s="29"/>
      <ns0:c r="E1787" s="31"/>
      <ns0:c r="F1787" s="32"/>
      <ns0:c r="G1787" s="29"/>
      <ns0:c r="H1787" s="29"/>
      <ns0:c r="I1787" s="29"/>
      <ns0:c r="J1787" s="29"/>
      <ns0:c r="K1787" s="29"/>
    </ns0:row>
    <ns0:row r="1788" ht="28" customHeight="1">
      <ns0:c r="A1788" s="29"/>
      <ns0:c r="B1788" s="30"/>
      <ns0:c r="C1788" s="28"/>
      <ns0:c r="D1788" s="29"/>
      <ns0:c r="E1788" s="31"/>
      <ns0:c r="F1788" s="32"/>
      <ns0:c r="G1788" s="29"/>
      <ns0:c r="H1788" s="29"/>
      <ns0:c r="I1788" s="29"/>
      <ns0:c r="J1788" s="29"/>
      <ns0:c r="K1788" s="29"/>
    </ns0:row>
    <ns0:row r="1789" ht="28" customHeight="1">
      <ns0:c r="A1789" s="29"/>
      <ns0:c r="B1789" s="30"/>
      <ns0:c r="C1789" s="28"/>
      <ns0:c r="D1789" s="29"/>
      <ns0:c r="E1789" s="31"/>
      <ns0:c r="F1789" s="32"/>
      <ns0:c r="G1789" s="29"/>
      <ns0:c r="H1789" s="29"/>
      <ns0:c r="I1789" s="29"/>
      <ns0:c r="J1789" s="29"/>
      <ns0:c r="K1789" s="29"/>
    </ns0:row>
    <ns0:row r="1790" ht="28" customHeight="1">
      <ns0:c r="A1790" s="29"/>
      <ns0:c r="B1790" s="30"/>
      <ns0:c r="C1790" s="28"/>
      <ns0:c r="D1790" s="29"/>
      <ns0:c r="E1790" s="31"/>
      <ns0:c r="F1790" s="32"/>
      <ns0:c r="G1790" s="29"/>
      <ns0:c r="H1790" s="29"/>
      <ns0:c r="I1790" s="29"/>
      <ns0:c r="J1790" s="29"/>
      <ns0:c r="K1790" s="29"/>
    </ns0:row>
    <ns0:row r="1791" ht="28" customHeight="1">
      <ns0:c r="A1791" s="29"/>
      <ns0:c r="B1791" s="30"/>
      <ns0:c r="C1791" s="28"/>
      <ns0:c r="D1791" s="29"/>
      <ns0:c r="E1791" s="31"/>
      <ns0:c r="F1791" s="32"/>
      <ns0:c r="G1791" s="29"/>
      <ns0:c r="H1791" s="29"/>
      <ns0:c r="I1791" s="29"/>
      <ns0:c r="J1791" s="29"/>
      <ns0:c r="K1791" s="29"/>
    </ns0:row>
    <ns0:row r="1792" ht="28" customHeight="1">
      <ns0:c r="A1792" s="29"/>
      <ns0:c r="B1792" s="30"/>
      <ns0:c r="C1792" s="28"/>
      <ns0:c r="D1792" s="29"/>
      <ns0:c r="E1792" s="31"/>
      <ns0:c r="F1792" s="32"/>
      <ns0:c r="G1792" s="29"/>
      <ns0:c r="H1792" s="29"/>
      <ns0:c r="I1792" s="29"/>
      <ns0:c r="J1792" s="29"/>
      <ns0:c r="K1792" s="29"/>
    </ns0:row>
    <ns0:row r="1793" ht="28" customHeight="1">
      <ns0:c r="A1793" s="29"/>
      <ns0:c r="B1793" s="30"/>
      <ns0:c r="C1793" s="28"/>
      <ns0:c r="D1793" s="29"/>
      <ns0:c r="E1793" s="31"/>
      <ns0:c r="F1793" s="32"/>
      <ns0:c r="G1793" s="29"/>
      <ns0:c r="H1793" s="29"/>
      <ns0:c r="I1793" s="29"/>
      <ns0:c r="J1793" s="29"/>
      <ns0:c r="K1793" s="29"/>
    </ns0:row>
    <ns0:row r="1794" ht="28" customHeight="1">
      <ns0:c r="A1794" s="29"/>
      <ns0:c r="B1794" s="30"/>
      <ns0:c r="C1794" s="28"/>
      <ns0:c r="D1794" s="29"/>
      <ns0:c r="E1794" s="31"/>
      <ns0:c r="F1794" s="32"/>
      <ns0:c r="G1794" s="29"/>
      <ns0:c r="H1794" s="29"/>
      <ns0:c r="I1794" s="29"/>
      <ns0:c r="J1794" s="29"/>
      <ns0:c r="K1794" s="29"/>
    </ns0:row>
    <ns0:row r="1795" ht="28" customHeight="1">
      <ns0:c r="A1795" s="29"/>
      <ns0:c r="B1795" s="30"/>
      <ns0:c r="C1795" s="28"/>
      <ns0:c r="D1795" s="29"/>
      <ns0:c r="E1795" s="31"/>
      <ns0:c r="F1795" s="32"/>
      <ns0:c r="G1795" s="29"/>
      <ns0:c r="H1795" s="29"/>
      <ns0:c r="I1795" s="29"/>
      <ns0:c r="J1795" s="29"/>
      <ns0:c r="K1795" s="29"/>
    </ns0:row>
    <ns0:row r="1796" ht="28" customHeight="1">
      <ns0:c r="A1796" s="29"/>
      <ns0:c r="B1796" s="30"/>
      <ns0:c r="C1796" s="28"/>
      <ns0:c r="D1796" s="29"/>
      <ns0:c r="E1796" s="31"/>
      <ns0:c r="F1796" s="32"/>
      <ns0:c r="G1796" s="29"/>
      <ns0:c r="H1796" s="29"/>
      <ns0:c r="I1796" s="29"/>
      <ns0:c r="J1796" s="29"/>
      <ns0:c r="K1796" s="29"/>
    </ns0:row>
    <ns0:row r="1797" ht="28" customHeight="1">
      <ns0:c r="A1797" s="29"/>
      <ns0:c r="B1797" s="30"/>
      <ns0:c r="C1797" s="28"/>
      <ns0:c r="D1797" s="29"/>
      <ns0:c r="E1797" s="31"/>
      <ns0:c r="F1797" s="32"/>
      <ns0:c r="G1797" s="29"/>
      <ns0:c r="H1797" s="29"/>
      <ns0:c r="I1797" s="29"/>
      <ns0:c r="J1797" s="29"/>
      <ns0:c r="K1797" s="29"/>
    </ns0:row>
    <ns0:row r="1798" ht="28" customHeight="1">
      <ns0:c r="A1798" s="29"/>
      <ns0:c r="B1798" s="30"/>
      <ns0:c r="C1798" s="28"/>
      <ns0:c r="D1798" s="29"/>
      <ns0:c r="E1798" s="31"/>
      <ns0:c r="F1798" s="32"/>
      <ns0:c r="G1798" s="29"/>
      <ns0:c r="H1798" s="29"/>
      <ns0:c r="I1798" s="29"/>
      <ns0:c r="J1798" s="29"/>
      <ns0:c r="K1798" s="29"/>
    </ns0:row>
    <ns0:row r="1799" ht="28" customHeight="1">
      <ns0:c r="A1799" s="29"/>
      <ns0:c r="B1799" s="30"/>
      <ns0:c r="C1799" s="28"/>
      <ns0:c r="D1799" s="29"/>
      <ns0:c r="E1799" s="31"/>
      <ns0:c r="F1799" s="32"/>
      <ns0:c r="G1799" s="29"/>
      <ns0:c r="H1799" s="29"/>
      <ns0:c r="I1799" s="29"/>
      <ns0:c r="J1799" s="29"/>
      <ns0:c r="K1799" s="29"/>
    </ns0:row>
    <ns0:row r="1800" ht="28" customHeight="1">
      <ns0:c r="A1800" s="29"/>
      <ns0:c r="B1800" s="30"/>
      <ns0:c r="C1800" s="28"/>
      <ns0:c r="D1800" s="29"/>
      <ns0:c r="E1800" s="31"/>
      <ns0:c r="F1800" s="32"/>
      <ns0:c r="G1800" s="29"/>
      <ns0:c r="H1800" s="29"/>
      <ns0:c r="I1800" s="29"/>
      <ns0:c r="J1800" s="29"/>
      <ns0:c r="K1800" s="29"/>
    </ns0:row>
    <ns0:row r="1801" ht="28" customHeight="1">
      <ns0:c r="A1801" s="29"/>
      <ns0:c r="B1801" s="30"/>
      <ns0:c r="C1801" s="28"/>
      <ns0:c r="D1801" s="29"/>
      <ns0:c r="E1801" s="31"/>
      <ns0:c r="F1801" s="32"/>
      <ns0:c r="G1801" s="29"/>
      <ns0:c r="H1801" s="29"/>
      <ns0:c r="I1801" s="29"/>
      <ns0:c r="J1801" s="29"/>
      <ns0:c r="K1801" s="29"/>
    </ns0:row>
    <ns0:row r="1802" ht="28" customHeight="1">
      <ns0:c r="A1802" s="29"/>
      <ns0:c r="B1802" s="30"/>
      <ns0:c r="C1802" s="28"/>
      <ns0:c r="D1802" s="29"/>
      <ns0:c r="E1802" s="31"/>
      <ns0:c r="F1802" s="32"/>
      <ns0:c r="G1802" s="29"/>
      <ns0:c r="H1802" s="29"/>
      <ns0:c r="I1802" s="29"/>
      <ns0:c r="J1802" s="29"/>
      <ns0:c r="K1802" s="29"/>
    </ns0:row>
    <ns0:row r="1803" ht="28" customHeight="1">
      <ns0:c r="A1803" s="29"/>
      <ns0:c r="B1803" s="30"/>
      <ns0:c r="C1803" s="28"/>
      <ns0:c r="D1803" s="29"/>
      <ns0:c r="E1803" s="31"/>
      <ns0:c r="F1803" s="32"/>
      <ns0:c r="G1803" s="29"/>
      <ns0:c r="H1803" s="29"/>
      <ns0:c r="I1803" s="29"/>
      <ns0:c r="J1803" s="29"/>
      <ns0:c r="K1803" s="29"/>
    </ns0:row>
    <ns0:row r="1804" ht="28" customHeight="1">
      <ns0:c r="A1804" s="29"/>
      <ns0:c r="B1804" s="30"/>
      <ns0:c r="C1804" s="28"/>
      <ns0:c r="D1804" s="29"/>
      <ns0:c r="E1804" s="31"/>
      <ns0:c r="F1804" s="32"/>
      <ns0:c r="G1804" s="29"/>
      <ns0:c r="H1804" s="29"/>
      <ns0:c r="I1804" s="29"/>
      <ns0:c r="J1804" s="29"/>
      <ns0:c r="K1804" s="29"/>
    </ns0:row>
  </ns0:sheetData>
  <ns0:mergeCells>
    <ns0:mergeCell ref="A2:F2"/>
    <ns0:mergeCell ref="G2:H2"/>
    <ns0:mergeCell ref="B7:C7"/>
    <ns0:mergeCell ref="A6:H6"/>
    <ns0:mergeCell ref="D7:H7"/>
    <ns0:mergeCell ref="A8:H8"/>
    <ns0:mergeCell ref="A9:H9"/>
    <ns0:mergeCell ref="A10:H10"/>
    <ns0:mergeCell ref="A11:H11"/>
    <ns0:mergeCell ref="A12:H12"/>
  </ns0:mergeCells>
  <ns0:dataValidations count="4">
    <ns0:dataValidation type="list" sqref="B3">
      <ns0:formula1>",IF,IH,IC,IM"</ns0:formula1>
    </ns0:dataValidation>
    <ns0:dataValidation type="list" sqref="E4">
      <ns0:formula1>"相同到期,全部期限,不同到期"</ns0:formula1>
    </ns0:dataValidation>
    <ns0:dataValidation type="list" sqref="B5">
      <ns0:formula1>"4,6,12,24"</ns0:formula1>
    </ns0:dataValidation>
    <ns0:dataValidation type="list" sqref="B7">
      <ns0:formula1>'合约选项'!$F$7:$F$10</ns0:formula1>
    </ns0:dataValidation>
  </ns0:dataValidations>
  <ns0:hyperlinks>
    <ns0:hyperlink ref="G2" location="'同品种跨期'!A1" display="返回研究结果"/>
  </ns0:hyperlinks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Pr>
    <ns0:tabColor rgb="FF536B82"/>
  </ns0:sheetPr>
  <ns0:sheetViews>
    <ns0:sheetView showGridLines="0" workbookViewId="0">
      <ns0:pane ySplit="9" topLeftCell="A10" activePane="bottomLeft" state="frozen"/>
    </ns0:sheetView>
  </ns0:sheetViews>
  <ns0:sheetFormatPr defaultRowHeight="15"/>
  <ns0:cols>
    <ns0:col min="1" max="1" width="28" hidden="0" customWidth="1"/>
    <ns0:col min="2" max="2" width="17" hidden="0" customWidth="1"/>
    <ns0:col min="3" max="3" width="14" hidden="0" customWidth="1"/>
    <ns0:col min="4" max="4" width="21" hidden="0" customWidth="1"/>
    <ns0:col min="5" max="5" width="7" hidden="0" customWidth="1"/>
    <ns0:col min="6" max="6" width="30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</ns0:row>
    <ns0:row r="2" ht="30" customHeight="1">
      <ns0:c r="A2" s="3" t="str">
        <ns0:v>DELTA1  跨品种</ns0:v>
      </ns0:c>
      <ns0:c r="B2" s="2"/>
      <ns0:c r="C2" s="2"/>
      <ns0:c r="D2" s="2"/>
      <ns0:c r="E2" s="2"/>
      <ns0:c r="F2" s="2"/>
    </ns0:row>
    <ns0:row r="3" ht="32" customHeight="1">
      <ns0:c r="A3" s="2" t="str">
        <ns0:v>指标</ns0:v>
      </ns0:c>
      <ns0:c r="B3" s="6" t="str">
        <ns0:v>合约对历史分位</ns0:v>
      </ns0:c>
      <ns0:c r="C3" s="6"/>
      <ns0:c r="D3" s="2" t="str">
        <ns0:v>输入 X</ns0:v>
      </ns0:c>
      <ns0:c r="E3" s="6" t="str">
        <ns0:v>分红调整相对基差（bp）</ns0:v>
      </ns0:c>
      <ns0:c r="F3" s="6"/>
    </ns0:row>
    <ns0:row r="4" ht="22" customHeight="1">
      <ns0:c r="A4" s="2" t="str">
        <ns0:v>观察时点</ns0:v>
      </ns0:c>
      <ns0:c r="B4" s="5" t="str">
        <ns0:v>日终</ns0:v>
      </ns0:c>
      <ns0:c r="C4" s="5"/>
      <ns0:c r="D4" s="2" t="str">
        <ns0:v>观察范围</ns0:v>
      </ns0:c>
      <ns0:c r="E4" s="5" t="str">
        <ns0:v>默认代表</ns0:v>
      </ns0:c>
      <ns0:c r="F4" s="5"/>
    </ns0:row>
    <ns0:row r="5" ht="22" customHeight="1">
      <ns0:c r="A5" s="2" t="str">
        <ns0:v>未连接。请使用原启动器打开维护中的工作簿。</ns0:v>
      </ns0:c>
      <ns0:c r="B5" s="2"/>
      <ns0:c r="C5" s="2"/>
      <ns0:c r="D5" s="2"/>
      <ns0:c r="E5" s="2"/>
      <ns0:c r="F5" s="2"/>
    </ns0:row>
    <ns0:row r="6" ht="30" customHeight="1">
      <ns0:c r="A6" s="2" t="str">
        <ns0:v>等待当前指标结果</ns0:v>
      </ns0:c>
      <ns0:c r="B6" s="2"/>
      <ns0:c r="C6" s="2"/>
      <ns0:c r="D6" s="2"/>
      <ns0:c r="E6" s="2"/>
      <ns0:c r="F6" s="2"/>
    </ns0:row>
    <ns0:row r="7" ht="22" customHeight="1">
      <ns0:c r="A7" s="4" t="str">
        <ns0:v>展开详情 / 高级筛选</ns0:v>
      </ns0:c>
      <ns0:c r="B7" s="4"/>
      <ns0:c r="C7" s="4" t="str">
        <ns0:v>全部指标 / 更多口径</ns0:v>
      </ns0:c>
      <ns0:c r="D7" s="4"/>
      <ns0:c r="E7" s="4" t="str">
        <ns0:v>对应指数看板</ns0:v>
      </ns0:c>
      <ns0:c r="F7" s="4"/>
    </ns0:row>
    <ns0:row r="8" ht="22" customHeight="1">
      <ns0:c r="A8" s="2"/>
      <ns0:c r="B8" s="2"/>
      <ns0:c r="C8" s="2"/>
      <ns0:c r="D8" s="2"/>
      <ns0:c r="E8" s="2"/>
      <ns0:c r="F8" s="2"/>
    </ns0:row>
    <ns0:row r="9" ht="26" customHeight="1">
      <ns0:c r="A9" s="8" t="str">
        <ns0:v>代表 / 合约</ns0:v>
      </ns0:c>
      <ns0:c r="B9" s="8" t="str">
        <ns0:v>数值</ns0:v>
      </ns0:c>
      <ns0:c r="C9" s="18" t="str">
        <ns0:v>单位</ns0:v>
      </ns0:c>
      <ns0:c r="D9" s="8" t="str">
        <ns0:v>源时（北京）</ns0:v>
      </ns0:c>
      <ns0:c r="E9" s="18" t="str">
        <ns0:v>有效 n</ns0:v>
      </ns0:c>
      <ns0:c r="F9" s="8" t="str">
        <ns0:v>数据状态</ns0:v>
      </ns0:c>
    </ns0:row>
    <ns0:row r="10" ht="32" customHeight="1">
      <ns0:c r="A10" s="10"/>
      <ns0:c r="B10" s="12"/>
      <ns0:c r="C10" s="21"/>
      <ns0:c r="D10" s="14"/>
      <ns0:c r="E10" s="23"/>
      <ns0:c r="F10" s="10"/>
    </ns0:row>
    <ns0:row r="11" ht="32" customHeight="1">
      <ns0:c r="A11" s="9"/>
      <ns0:c r="B11" s="13"/>
      <ns0:c r="C11" s="22"/>
      <ns0:c r="D11" s="15"/>
      <ns0:c r="E11" s="24"/>
      <ns0:c r="F11" s="9"/>
    </ns0:row>
    <ns0:row r="12" ht="32" customHeight="1">
      <ns0:c r="A12" s="10"/>
      <ns0:c r="B12" s="12"/>
      <ns0:c r="C12" s="21"/>
      <ns0:c r="D12" s="14"/>
      <ns0:c r="E12" s="23"/>
      <ns0:c r="F12" s="10"/>
    </ns0:row>
    <ns0:row r="13" ht="32" customHeight="1">
      <ns0:c r="A13" s="9"/>
      <ns0:c r="B13" s="13"/>
      <ns0:c r="C13" s="22"/>
      <ns0:c r="D13" s="15"/>
      <ns0:c r="E13" s="24"/>
      <ns0:c r="F13" s="9"/>
    </ns0:row>
    <ns0:row r="14" ht="32" customHeight="1">
      <ns0:c r="A14" s="10"/>
      <ns0:c r="B14" s="12"/>
      <ns0:c r="C14" s="21"/>
      <ns0:c r="D14" s="14"/>
      <ns0:c r="E14" s="23"/>
      <ns0:c r="F14" s="10"/>
    </ns0:row>
    <ns0:row r="15" ht="32" customHeight="1">
      <ns0:c r="A15" s="9"/>
      <ns0:c r="B15" s="13"/>
      <ns0:c r="C15" s="22"/>
      <ns0:c r="D15" s="15"/>
      <ns0:c r="E15" s="24"/>
      <ns0:c r="F15" s="9"/>
    </ns0:row>
    <ns0:row r="16" ht="32" customHeight="1">
      <ns0:c r="A16" s="10"/>
      <ns0:c r="B16" s="12"/>
      <ns0:c r="C16" s="21"/>
      <ns0:c r="D16" s="14"/>
      <ns0:c r="E16" s="23"/>
      <ns0:c r="F16" s="10"/>
    </ns0:row>
    <ns0:row r="17" ht="32" customHeight="1">
      <ns0:c r="A17" s="9"/>
      <ns0:c r="B17" s="13"/>
      <ns0:c r="C17" s="22"/>
      <ns0:c r="D17" s="15"/>
      <ns0:c r="E17" s="24"/>
      <ns0:c r="F17" s="9"/>
    </ns0:row>
    <ns0:row r="18" ht="32" customHeight="1">
      <ns0:c r="A18" s="10"/>
      <ns0:c r="B18" s="12"/>
      <ns0:c r="C18" s="21"/>
      <ns0:c r="D18" s="14"/>
      <ns0:c r="E18" s="23"/>
      <ns0:c r="F18" s="10"/>
    </ns0:row>
    <ns0:row r="19" ht="32" customHeight="1">
      <ns0:c r="A19" s="9"/>
      <ns0:c r="B19" s="13"/>
      <ns0:c r="C19" s="22"/>
      <ns0:c r="D19" s="15"/>
      <ns0:c r="E19" s="24"/>
      <ns0:c r="F19" s="9"/>
    </ns0:row>
    <ns0:row r="20" ht="32" customHeight="1">
      <ns0:c r="A20" s="10"/>
      <ns0:c r="B20" s="12"/>
      <ns0:c r="C20" s="21"/>
      <ns0:c r="D20" s="14"/>
      <ns0:c r="E20" s="23"/>
      <ns0:c r="F20" s="10"/>
    </ns0:row>
    <ns0:row r="21" ht="32" customHeight="1">
      <ns0:c r="A21" s="9"/>
      <ns0:c r="B21" s="13"/>
      <ns0:c r="C21" s="22"/>
      <ns0:c r="D21" s="15"/>
      <ns0:c r="E21" s="24"/>
      <ns0:c r="F21" s="9"/>
    </ns0:row>
    <ns0:row r="22" ht="32" customHeight="1">
      <ns0:c r="A22" s="10"/>
      <ns0:c r="B22" s="12"/>
      <ns0:c r="C22" s="21"/>
      <ns0:c r="D22" s="14"/>
      <ns0:c r="E22" s="23"/>
      <ns0:c r="F22" s="10"/>
    </ns0:row>
    <ns0:row r="23" ht="32" customHeight="1">
      <ns0:c r="A23" s="9"/>
      <ns0:c r="B23" s="13"/>
      <ns0:c r="C23" s="22"/>
      <ns0:c r="D23" s="15"/>
      <ns0:c r="E23" s="24"/>
      <ns0:c r="F23" s="9"/>
    </ns0:row>
    <ns0:row r="24" ht="32" customHeight="1">
      <ns0:c r="A24" s="10"/>
      <ns0:c r="B24" s="12"/>
      <ns0:c r="C24" s="21"/>
      <ns0:c r="D24" s="14"/>
      <ns0:c r="E24" s="23"/>
      <ns0:c r="F24" s="10"/>
    </ns0:row>
    <ns0:row r="25" ht="32" customHeight="1">
      <ns0:c r="A25" s="9"/>
      <ns0:c r="B25" s="13"/>
      <ns0:c r="C25" s="22"/>
      <ns0:c r="D25" s="15"/>
      <ns0:c r="E25" s="24"/>
      <ns0:c r="F25" s="9"/>
    </ns0:row>
    <ns0:row r="26" ht="32" customHeight="1">
      <ns0:c r="A26" s="10"/>
      <ns0:c r="B26" s="12"/>
      <ns0:c r="C26" s="21"/>
      <ns0:c r="D26" s="14"/>
      <ns0:c r="E26" s="23"/>
      <ns0:c r="F26" s="10"/>
    </ns0:row>
    <ns0:row r="27" ht="32" customHeight="1">
      <ns0:c r="A27" s="9"/>
      <ns0:c r="B27" s="13"/>
      <ns0:c r="C27" s="22"/>
      <ns0:c r="D27" s="15"/>
      <ns0:c r="E27" s="24"/>
      <ns0:c r="F27" s="9"/>
    </ns0:row>
    <ns0:row r="28" ht="32" customHeight="1">
      <ns0:c r="A28" s="10"/>
      <ns0:c r="B28" s="12"/>
      <ns0:c r="C28" s="21"/>
      <ns0:c r="D28" s="14"/>
      <ns0:c r="E28" s="23"/>
      <ns0:c r="F28" s="10"/>
    </ns0:row>
    <ns0:row r="29" ht="32" customHeight="1">
      <ns0:c r="A29" s="9"/>
      <ns0:c r="B29" s="13"/>
      <ns0:c r="C29" s="22"/>
      <ns0:c r="D29" s="15"/>
      <ns0:c r="E29" s="24"/>
      <ns0:c r="F29" s="9"/>
    </ns0:row>
    <ns0:row r="30" ht="32" customHeight="1">
      <ns0:c r="A30" s="10"/>
      <ns0:c r="B30" s="12"/>
      <ns0:c r="C30" s="21"/>
      <ns0:c r="D30" s="14"/>
      <ns0:c r="E30" s="23"/>
      <ns0:c r="F30" s="10"/>
    </ns0:row>
    <ns0:row r="31" ht="32" customHeight="1">
      <ns0:c r="A31" s="9"/>
      <ns0:c r="B31" s="13"/>
      <ns0:c r="C31" s="22"/>
      <ns0:c r="D31" s="15"/>
      <ns0:c r="E31" s="24"/>
      <ns0:c r="F31" s="9"/>
    </ns0:row>
    <ns0:row r="32" ht="32" customHeight="1">
      <ns0:c r="A32" s="10"/>
      <ns0:c r="B32" s="12"/>
      <ns0:c r="C32" s="21"/>
      <ns0:c r="D32" s="14"/>
      <ns0:c r="E32" s="23"/>
      <ns0:c r="F32" s="10"/>
    </ns0:row>
    <ns0:row r="33" ht="32" customHeight="1">
      <ns0:c r="A33" s="9"/>
      <ns0:c r="B33" s="13"/>
      <ns0:c r="C33" s="22"/>
      <ns0:c r="D33" s="15"/>
      <ns0:c r="E33" s="24"/>
      <ns0:c r="F33" s="9"/>
    </ns0:row>
    <ns0:row r="34" ht="22" customHeight="1">
      <ns0:c r="A34" s="2"/>
      <ns0:c r="B34" s="2"/>
      <ns0:c r="C34" s="2"/>
      <ns0:c r="D34" s="2"/>
      <ns0:c r="E34" s="2"/>
      <ns0:c r="F34" s="2"/>
    </ns0:row>
    <ns0:row r="35" ht="22" customHeight="1">
      <ns0:c r="A35" s="25" t="str">
        <ns0:v>黄色格可编辑。默认代表为 T−1 证据选择；源时与历史可见性详见详情。</ns0:v>
      </ns0:c>
      <ns0:c r="B35" s="25"/>
      <ns0:c r="C35" s="25"/>
      <ns0:c r="D35" s="25"/>
      <ns0:c r="E35" s="25"/>
      <ns0:c r="F35" s="25"/>
    </ns0:row>
    <ns0:row r="36" ht="22" customHeight="1">
      <ns0:c r="A36" s="25" t="str">
        <ns0:v>更多口径请在输入 X 选“更多口径”，再到详情页选择具体原始 / 对数口径。</ns0:v>
      </ns0:c>
      <ns0:c r="B36" s="25"/>
      <ns0:c r="C36" s="25"/>
      <ns0:c r="D36" s="25"/>
      <ns0:c r="E36" s="25"/>
      <ns0:c r="F36" s="25"/>
    </ns0:row>
    <ns0:row r="37" ht="22" customHeight="1">
      <ns0:c r="A37" s="2"/>
      <ns0:c r="B37" s="2"/>
      <ns0:c r="C37" s="2"/>
      <ns0:c r="D37" s="2"/>
      <ns0:c r="E37" s="2"/>
      <ns0:c r="F37" s="2"/>
    </ns0:row>
    <ns0:row r="38" ht="22" customHeight="1">
      <ns0:c r="A38" s="2"/>
      <ns0:c r="B38" s="2"/>
      <ns0:c r="C38" s="2"/>
      <ns0:c r="D38" s="2"/>
      <ns0:c r="E38" s="2"/>
      <ns0:c r="F38" s="2"/>
    </ns0:row>
    <ns0:row r="39" ht="22" customHeight="1">
      <ns0:c r="A39" s="2"/>
      <ns0:c r="B39" s="2"/>
      <ns0:c r="C39" s="2"/>
      <ns0:c r="D39" s="2"/>
      <ns0:c r="E39" s="2"/>
      <ns0:c r="F39" s="2"/>
    </ns0:row>
    <ns0:row r="40" ht="22" customHeight="1">
      <ns0:c r="A40" s="2"/>
      <ns0:c r="B40" s="2"/>
      <ns0:c r="C40" s="2"/>
      <ns0:c r="D40" s="2"/>
      <ns0:c r="E40" s="2"/>
      <ns0:c r="F40" s="2"/>
    </ns0:row>
    <ns0:row r="41" ht="22" customHeight="1">
      <ns0:c r="A41" s="2"/>
      <ns0:c r="B41" s="2"/>
      <ns0:c r="C41" s="2"/>
      <ns0:c r="D41" s="2"/>
      <ns0:c r="E41" s="2"/>
      <ns0:c r="F41" s="2"/>
    </ns0:row>
    <ns0:row r="42" ht="22" customHeight="1">
      <ns0:c r="A42" s="2"/>
      <ns0:c r="B42" s="2"/>
      <ns0:c r="C42" s="2"/>
      <ns0:c r="D42" s="2"/>
      <ns0:c r="E42" s="2"/>
      <ns0:c r="F42" s="2"/>
    </ns0:row>
  </ns0:sheetData>
  <ns0:mergeCells>
    <ns0:mergeCell ref="A2:F2"/>
    <ns0:mergeCell ref="B3:C3"/>
    <ns0:mergeCell ref="E3:F3"/>
    <ns0:mergeCell ref="B4:C4"/>
    <ns0:mergeCell ref="E4:F4"/>
    <ns0:mergeCell ref="A5:F5"/>
    <ns0:mergeCell ref="A6:F6"/>
    <ns0:mergeCell ref="A7:B7"/>
    <ns0:mergeCell ref="C7:D7"/>
    <ns0:mergeCell ref="E7:F7"/>
    <ns0:mergeCell ref="A35:F35"/>
    <ns0:mergeCell ref="A36:F36"/>
  </ns0:mergeCells>
  <ns0:dataValidations count="4">
    <ns0:dataValidation type="list" sqref="B4">
      <ns0:formula1>"日终,盘中优先,历史日"</ns0:formula1>
    </ns0:dataValidation>
    <ns0:dataValidation type="list" sqref="E4">
      <ns0:formula1>"默认代表,全部合约,历史合约,指定合约"</ns0:formula1>
    </ns0:dataValidation>
    <ns0:dataValidation type="list" sqref="E3">
      <ns0:formula1>"跨品种对数价比 close,分红调整相对基差（bp）,分红调整相对基差年化,更多口径,固定口径"</ns0:formula1>
    </ns0:dataValidation>
    <ns0:dataValidation type="list" sqref="B3">
      <ns0:formula1>'合约选项'!$D$7:$D$29</ns0:formula1>
    </ns0:dataValidation>
  </ns0:dataValidations>
  <ns0:hyperlinks>
    <ns0:hyperlink ref="A7" location="'跨品种详情'!A1" display="展开详情 / 高级筛选"/>
    <ns0:hyperlink ref="C7" location="'指标目录'!A1" display="全部指标 / 更多口径"/>
    <ns0:hyperlink ref="E7" location="'概览'!A1" display="对应指数看板"/>
  </ns0:hyperlink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Pr>
    <ns0:tabColor rgb="FF94A3B8"/>
  </ns0:sheetPr>
  <ns0:sheetViews>
    <ns0:sheetView showGridLines="0" workbookViewId="0">
      <ns0:pane ySplit="14" topLeftCell="A15" activePane="bottomLeft" state="frozen"/>
    </ns0:sheetView>
  </ns0:sheetViews>
  <ns0:sheetFormatPr defaultRowHeight="15"/>
  <ns0:cols>
    <ns0:col min="1" max="1" width="36" hidden="0" customWidth="1"/>
    <ns0:col min="2" max="2" width="22" hidden="0" customWidth="1"/>
    <ns0:col min="3" max="3" width="14" hidden="0" customWidth="1"/>
    <ns0:col min="4" max="4" width="28" hidden="0" customWidth="1"/>
    <ns0:col min="5" max="5" width="23" hidden="0" customWidth="1"/>
    <ns0:col min="6" max="6" width="8" hidden="0" customWidth="1"/>
    <ns0:col min="7" max="7" width="17" hidden="0" customWidth="1"/>
    <ns0:col min="8" max="8" width="24" hidden="0" customWidth="1"/>
    <ns0:col min="9" max="9" width="48" hidden="0" customWidth="1"/>
    <ns0:col min="10" max="10" width="50" hidden="0" customWidth="1"/>
    <ns0:col min="11" max="11" width="58" hidden="0" customWidth="1"/>
  </ns0:cols>
  <ns0:sheetData>
    <ns0:row r="1" ht="22" customHeight="1">
      <ns0:c r="A1" s="2"/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</ns0:row>
    <ns0:row r="2" ht="22" customHeight="1">
      <ns0:c r="A2" s="3" t="str">
        <ns0:v>跨品种 · 详情与高级筛选</ns0:v>
      </ns0:c>
      <ns0:c r="B2" s="2"/>
      <ns0:c r="C2" s="2"/>
      <ns0:c r="D2" s="2"/>
      <ns0:c r="E2" s="2"/>
      <ns0:c r="F2" s="2"/>
      <ns0:c r="G2" s="4" t="str">
        <ns0:v>返回研究结果</ns0:v>
      </ns0:c>
      <ns0:c r="H2" s="4"/>
      <ns0:c r="I2" s="2"/>
      <ns0:c r="J2" s="2"/>
      <ns0:c r="K2" s="2"/>
    </ns0:row>
    <ns0:row r="3" ht="22" customHeight="1">
      <ns0:c r="A3" s="2" t="str">
        <ns0:v>品种</ns0:v>
      </ns0:c>
      <ns0:c r="B3" s="5" t="str"/>
      <ns0:c r="C3" s="2"/>
      <ns0:c r="D3" s="2" t="str">
        <ns0:v>合约 A</ns0:v>
      </ns0:c>
      <ns0:c r="E3" s="5" t="str"/>
      <ns0:c r="F3" s="2"/>
      <ns0:c r="G3" s="2" t="str">
        <ns0:v>合约 B</ns0:v>
      </ns0:c>
      <ns0:c r="H3" s="5" t="str"/>
      <ns0:c r="I3" s="2"/>
      <ns0:c r="J3" s="2"/>
      <ns0:c r="K3" s="2"/>
    </ns0:row>
    <ns0:row r="4" ht="22" customHeight="1">
      <ns0:c r="A4" s="2" t="str">
        <ns0:v>历史日期</ns0:v>
      </ns0:c>
      <ns0:c r="B4" s="26" t="str"/>
      <ns0:c r="C4" s="2"/>
      <ns0:c r="D4" s="2" t="str">
        <ns0:v>期限</ns0:v>
      </ns0:c>
      <ns0:c r="E4" s="5" t="str">
        <ns0:v>相同到期</ns0:v>
      </ns0:c>
      <ns0:c r="F4" s="2"/>
      <ns0:c r="G4" s="2" t="str">
        <ns0:v>起始序号</ns0:v>
      </ns0:c>
      <ns0:c r="H4" s="5" t="n">
        <ns0:v>0</ns0:v>
      </ns0:c>
      <ns0:c r="I4" s="2"/>
      <ns0:c r="J4" s="2"/>
      <ns0:c r="K4" s="2"/>
    </ns0:row>
    <ns0:row r="5" ht="22" customHeight="1">
      <ns0:c r="A5" s="2" t="str">
        <ns0:v>每页实体</ns0:v>
      </ns0:c>
      <ns0:c r="B5" s="5" t="n">
        <ns0:v>12</ns0:v>
      </ns0:c>
      <ns0:c r="C5" s="2"/>
      <ns0:c r="D5" s="2" t="str">
        <ns0:v>参与比例 p</ns0:v>
      </ns0:c>
      <ns0:c r="E5" s="27"/>
      <ns0:c r="F5" s="2"/>
      <ns0:c r="G5" s="2"/>
      <ns0:c r="H5" s="2"/>
      <ns0:c r="I5" s="2"/>
      <ns0:c r="J5" s="2"/>
      <ns0:c r="K5" s="2"/>
    </ns0:row>
    <ns0:row r="6" ht="22" customHeight="1">
      <ns0:c r="A6" s="2" t="str">
        <ns0:v>p 只用于容量演算，空白不计算；合法 0 保留。指定腿、历史日期和分页仅在相应范围生效。</ns0:v>
      </ns0:c>
      <ns0:c r="B6" s="2"/>
      <ns0:c r="C6" s="2"/>
      <ns0:c r="D6" s="2"/>
      <ns0:c r="E6" s="2"/>
      <ns0:c r="F6" s="2"/>
      <ns0:c r="G6" s="2"/>
      <ns0:c r="H6" s="2"/>
      <ns0:c r="I6" s="2"/>
      <ns0:c r="J6" s="2"/>
      <ns0:c r="K6" s="2"/>
    </ns0:row>
    <ns0:row r="7" ht="32" customHeight="1">
      <ns0:c r="A7" s="2" t="str">
        <ns0:v>更多口径</ns0:v>
      </ns0:c>
      <ns0:c r="B7" s="6" t="str">
        <ns0:v>未调整相对基差（bp）</ns0:v>
      </ns0:c>
      <ns0:c r="C7" s="6"/>
      <ns0:c r="D7" s="9" t="str">
        <ns0:v>跨品种 close 构造为10000×ln(F_A/F_B)，单位对数bp；是相对价格序列，不是回归残差或实际组合盈亏。</ns0:v>
      </ns0:c>
      <ns0:c r="E7" s="9"/>
      <ns0:c r="F7" s="9"/>
      <ns0:c r="G7" s="9"/>
      <ns0:c r="H7" s="9"/>
      <ns0:c r="I7" s="2"/>
      <ns0:c r="J7" s="2"/>
      <ns0:c r="K7" s="2"/>
    </ns0:row>
    <ns0:row r="8" ht="22" customHeight="1">
      <ns0:c r="A8" s="2" t="str">
        <ns0:v>当前选择 / 固定口径 / 完整缺失原因</ns0:v>
      </ns0:c>
      <ns0:c r="B8" s="2"/>
      <ns0:c r="C8" s="2"/>
      <ns0:c r="D8" s="2"/>
      <ns0:c r="E8" s="2"/>
      <ns0:c r="F8" s="2"/>
      <ns0:c r="G8" s="2"/>
      <ns0:c r="H8" s="2"/>
      <ns0:c r="I8" s="2"/>
      <ns0:c r="J8" s="2"/>
      <ns0:c r="K8" s="2"/>
    </ns0:row>
    <ns0:row r="9" ht="48" customHeight="1">
      <ns0:c r="A9" s="10" t="str">
        <ns0:v>双腿构造：A=界面左腿，B=右腿，方向固定。X=10000 × [(F_A−S_A+D_A)/S_A−(F_B−S_B+D_B)/S_B]。</ns0:v>
      </ns0:c>
      <ns0:c r="B9" s="10"/>
      <ns0:c r="C9" s="10"/>
      <ns0:c r="D9" s="10"/>
      <ns0:c r="E9" s="10"/>
      <ns0:c r="F9" s="10"/>
      <ns0:c r="G9" s="10"/>
      <ns0:c r="H9" s="10"/>
      <ns0:c r="I9" s="2"/>
      <ns0:c r="J9" s="2"/>
      <ns0:c r="K9" s="2"/>
    </ns0:row>
    <ns0:row r="10" ht="34" customHeight="1">
      <ns0:c r="A10" s="10" t="str">
        <ns0:v>方向与单位：0—100%；高分位表示当前X处于自身近期较高位置，不直接代表收益方向。</ns0:v>
      </ns0:c>
      <ns0:c r="B10" s="10"/>
      <ns0:c r="C10" s="10"/>
      <ns0:c r="D10" s="10"/>
      <ns0:c r="E10" s="10"/>
      <ns0:c r="F10" s="10"/>
      <ns0:c r="G10" s="10"/>
      <ns0:c r="H10" s="10"/>
      <ns0:c r="I10" s="2"/>
      <ns0:c r="J10" s="2"/>
      <ns0:c r="K10" s="2"/>
    </ns0:row>
    <ns0:row r="11" ht="34" customHeight="1">
      <ns0:c r="A11" s="10" t="str">
        <ns0:v>指标意义：将当前X放入此前20期自身分布，历史相等值计半权。 F=真实期货价，S=对应现货指数，D=该合约剩余分红点数，T=剩余自然日，V=成交量，OI=持仓量；1bp=万分之一，年化1表示1个百分点。</ns0:v>
      </ns0:c>
      <ns0:c r="B11" s="10"/>
      <ns0:c r="C11" s="10"/>
      <ns0:c r="D11" s="10"/>
      <ns0:c r="E11" s="10"/>
      <ns0:c r="F11" s="10"/>
      <ns0:c r="G11" s="10"/>
      <ns0:c r="H11" s="10"/>
      <ns0:c r="I11" s="2"/>
      <ns0:c r="J11" s="2"/>
      <ns0:c r="K11" s="2"/>
    </ns0:row>
    <ns0:row r="12" ht="48" customHeight="1">
      <ns0:c r="A12" s="10" t="str">
        <ns0:v>使用限制：固定具体合约与方向，日线按交易日、分钟按同一时刻及会话对齐，不补齐缺值。年化两腿剩余期限均须≥5天。量仓匹配量只是容量代理，不能证明真实配对成交或同一账户移仓。旧历史及缺输入均显示原因；盘中分支不具备时显示有日期的日终参考。</ns0:v>
      </ns0:c>
      <ns0:c r="B12" s="10"/>
      <ns0:c r="C12" s="10"/>
      <ns0:c r="D12" s="10"/>
      <ns0:c r="E12" s="10"/>
      <ns0:c r="F12" s="10"/>
      <ns0:c r="G12" s="10"/>
      <ns0:c r="H12" s="10"/>
      <ns0:c r="I12" s="2"/>
      <ns0:c r="J12" s="2"/>
      <ns0:c r="K12" s="2"/>
    </ns0:row>
    <ns0:row r="13" ht="22" customHeight="1">
      <ns0:c r="A13" s="2"/>
      <ns0:c r="B13" s="2"/>
      <ns0:c r="C13" s="2"/>
      <ns0:c r="D13" s="2"/>
      <ns0:c r="E13" s="2"/>
      <ns0:c r="F13" s="2"/>
      <ns0:c r="G13" s="2"/>
      <ns0:c r="H13" s="2"/>
      <ns0:c r="I13" s="2"/>
      <ns0:c r="J13" s="2"/>
      <ns0:c r="K13" s="2"/>
    </ns0:row>
    <ns0:row r="14" ht="28" customHeight="1">
      <ns0:c r="A14" s="8" t="str">
        <ns0:v>主辅 / 实体 / 指标</ns0:v>
      </ns0:c>
      <ns0:c r="B14" s="8" t="str">
        <ns0:v>值</ns0:v>
      </ns0:c>
      <ns0:c r="C14" s="8" t="str">
        <ns0:v>单位</ns0:v>
      </ns0:c>
      <ns0:c r="D14" s="8" t="str">
        <ns0:v>各腿源时</ns0:v>
      </ns0:c>
      <ns0:c r="E14" s="8" t="str">
        <ns0:v>历史截止</ns0:v>
      </ns0:c>
      <ns0:c r="F14" s="8" t="str">
        <ns0:v>n</ns0:v>
      </ns0:c>
      <ns0:c r="G14" s="8" t="str">
        <ns0:v>实现状态</ns0:v>
      </ns0:c>
      <ns0:c r="H14" s="8" t="str">
        <ns0:v>数据状态</ns0:v>
      </ns0:c>
      <ns0:c r="I14" s="8" t="str">
        <ns0:v>输入 / 公式版本</ns0:v>
      </ns0:c>
      <ns0:c r="J14" s="8" t="str">
        <ns0:v>原因 / 代表依据</ns0:v>
      </ns0:c>
      <ns0:c r="K14" s="8" t="str">
        <ns0:v>双腿构造 / 公式</ns0:v>
      </ns0:c>
    </ns0:row>
    <ns0:row r="15" ht="28" customHeight="1">
      <ns0:c r="A15" s="29"/>
      <ns0:c r="B15" s="30"/>
      <ns0:c r="C15" s="28"/>
      <ns0:c r="D15" s="29"/>
      <ns0:c r="E15" s="31"/>
      <ns0:c r="F15" s="32"/>
      <ns0:c r="G15" s="29"/>
      <ns0:c r="H15" s="29"/>
      <ns0:c r="I15" s="29"/>
      <ns0:c r="J15" s="29"/>
      <ns0:c r="K15" s="29"/>
    </ns0:row>
    <ns0:row r="16" ht="28" customHeight="1">
      <ns0:c r="A16" s="29"/>
      <ns0:c r="B16" s="30"/>
      <ns0:c r="C16" s="28"/>
      <ns0:c r="D16" s="29"/>
      <ns0:c r="E16" s="31"/>
      <ns0:c r="F16" s="32"/>
      <ns0:c r="G16" s="29"/>
      <ns0:c r="H16" s="29"/>
      <ns0:c r="I16" s="29"/>
      <ns0:c r="J16" s="29"/>
      <ns0:c r="K16" s="29"/>
    </ns0:row>
    <ns0:row r="17" ht="28" customHeight="1">
      <ns0:c r="A17" s="29"/>
      <ns0:c r="B17" s="30"/>
      <ns0:c r="C17" s="28"/>
      <ns0:c r="D17" s="29"/>
      <ns0:c r="E17" s="31"/>
      <ns0:c r="F17" s="32"/>
      <ns0:c r="G17" s="29"/>
      <ns0:c r="H17" s="29"/>
      <ns0:c r="I17" s="29"/>
      <ns0:c r="J17" s="29"/>
      <ns0:c r="K17" s="29"/>
    </ns0:row>
    <ns0:row r="18" ht="28" customHeight="1">
      <ns0:c r="A18" s="29"/>
      <ns0:c r="B18" s="30"/>
      <ns0:c r="C18" s="28"/>
      <ns0:c r="D18" s="29"/>
      <ns0:c r="E18" s="31"/>
      <ns0:c r="F18" s="32"/>
      <ns0:c r="G18" s="29"/>
      <ns0:c r="H18" s="29"/>
      <ns0:c r="I18" s="29"/>
      <ns0:c r="J18" s="29"/>
      <ns0:c r="K18" s="29"/>
    </ns0:row>
    <ns0:row r="19" ht="28" customHeight="1">
      <ns0:c r="A19" s="29"/>
      <ns0:c r="B19" s="30"/>
      <ns0:c r="C19" s="28"/>
      <ns0:c r="D19" s="29"/>
      <ns0:c r="E19" s="31"/>
      <ns0:c r="F19" s="32"/>
      <ns0:c r="G19" s="29"/>
      <ns0:c r="H19" s="29"/>
      <ns0:c r="I19" s="29"/>
      <ns0:c r="J19" s="29"/>
      <ns0:c r="K19" s="29"/>
    </ns0:row>
    <ns0:row r="20" ht="28" customHeight="1">
      <ns0:c r="A20" s="29"/>
      <ns0:c r="B20" s="30"/>
      <ns0:c r="C20" s="28"/>
      <ns0:c r="D20" s="29"/>
      <ns0:c r="E20" s="31"/>
      <ns0:c r="F20" s="32"/>
      <ns0:c r="G20" s="29"/>
      <ns0:c r="H20" s="29"/>
      <ns0:c r="I20" s="29"/>
      <ns0:c r="J20" s="29"/>
      <ns0:c r="K20" s="29"/>
    </ns0:row>
    <ns0:row r="21" ht="28" customHeight="1">
      <ns0:c r="A21" s="29"/>
      <ns0:c r="B21" s="30"/>
      <ns0:c r="C21" s="28"/>
      <ns0:c r="D21" s="29"/>
      <ns0:c r="E21" s="31"/>
      <ns0:c r="F21" s="32"/>
      <ns0:c r="G21" s="29"/>
      <ns0:c r="H21" s="29"/>
      <ns0:c r="I21" s="29"/>
      <ns0:c r="J21" s="29"/>
      <ns0:c r="K21" s="29"/>
    </ns0:row>
    <ns0:row r="22" ht="28" customHeight="1">
      <ns0:c r="A22" s="29"/>
      <ns0:c r="B22" s="30"/>
      <ns0:c r="C22" s="28"/>
      <ns0:c r="D22" s="29"/>
      <ns0:c r="E22" s="31"/>
      <ns0:c r="F22" s="32"/>
      <ns0:c r="G22" s="29"/>
      <ns0:c r="H22" s="29"/>
      <ns0:c r="I22" s="29"/>
      <ns0:c r="J22" s="29"/>
      <ns0:c r="K22" s="29"/>
    </ns0:row>
    <ns0:row r="23" ht="28" customHeight="1">
      <ns0:c r="A23" s="29"/>
      <ns0:c r="B23" s="30"/>
      <ns0:c r="C23" s="28"/>
      <ns0:c r="D23" s="29"/>
      <ns0:c r="E23" s="31"/>
      <ns0:c r="F23" s="32"/>
      <ns0:c r="G23" s="29"/>
      <ns0:c r="H23" s="29"/>
      <ns0:c r="I23" s="29"/>
      <ns0:c r="J23" s="29"/>
      <ns0:c r="K23" s="29"/>
    </ns0:row>
    <ns0:row r="24" ht="28" customHeight="1">
      <ns0:c r="A24" s="29"/>
      <ns0:c r="B24" s="30"/>
      <ns0:c r="C24" s="28"/>
      <ns0:c r="D24" s="29"/>
      <ns0:c r="E24" s="31"/>
      <ns0:c r="F24" s="32"/>
      <ns0:c r="G24" s="29"/>
      <ns0:c r="H24" s="29"/>
      <ns0:c r="I24" s="29"/>
      <ns0:c r="J24" s="29"/>
      <ns0:c r="K24" s="29"/>
    </ns0:row>
    <ns0:row r="25" ht="28" customHeight="1">
      <ns0:c r="A25" s="29"/>
      <ns0:c r="B25" s="30"/>
      <ns0:c r="C25" s="28"/>
      <ns0:c r="D25" s="29"/>
      <ns0:c r="E25" s="31"/>
      <ns0:c r="F25" s="32"/>
      <ns0:c r="G25" s="29"/>
      <ns0:c r="H25" s="29"/>
      <ns0:c r="I25" s="29"/>
      <ns0:c r="J25" s="29"/>
      <ns0:c r="K25" s="29"/>
    </ns0:row>
    <ns0:row r="26" ht="28" customHeight="1">
      <ns0:c r="A26" s="29"/>
      <ns0:c r="B26" s="30"/>
      <ns0:c r="C26" s="28"/>
      <ns0:c r="D26" s="29"/>
      <ns0:c r="E26" s="31"/>
      <ns0:c r="F26" s="32"/>
      <ns0:c r="G26" s="29"/>
      <ns0:c r="H26" s="29"/>
      <ns0:c r="I26" s="29"/>
      <ns0:c r="J26" s="29"/>
      <ns0:c r="K26" s="29"/>
    </ns0:row>
    <ns0:row r="27" ht="28" customHeight="1">
      <ns0:c r="A27" s="29"/>
      <ns0:c r="B27" s="30"/>
      <ns0:c r="C27" s="28"/>
      <ns0:c r="D27" s="29"/>
      <ns0:c r="E27" s="31"/>
      <ns0:c r="F27" s="32"/>
      <ns0:c r="G27" s="29"/>
      <ns0:c r="H27" s="29"/>
      <ns0:c r="I27" s="29"/>
      <ns0:c r="J27" s="29"/>
      <ns0:c r="K27" s="29"/>
    </ns0:row>
    <ns0:row r="28" ht="28" customHeight="1">
      <ns0:c r="A28" s="29"/>
      <ns0:c r="B28" s="30"/>
      <ns0:c r="C28" s="28"/>
      <ns0:c r="D28" s="29"/>
      <ns0:c r="E28" s="31"/>
      <ns0:c r="F28" s="32"/>
      <ns0:c r="G28" s="29"/>
      <ns0:c r="H28" s="29"/>
      <ns0:c r="I28" s="29"/>
      <ns0:c r="J28" s="29"/>
      <ns0:c r="K28" s="29"/>
    </ns0:row>
    <ns0:row r="29" ht="28" customHeight="1">
      <ns0:c r="A29" s="29"/>
      <ns0:c r="B29" s="30"/>
      <ns0:c r="C29" s="28"/>
      <ns0:c r="D29" s="29"/>
      <ns0:c r="E29" s="31"/>
      <ns0:c r="F29" s="32"/>
      <ns0:c r="G29" s="29"/>
      <ns0:c r="H29" s="29"/>
      <ns0:c r="I29" s="29"/>
      <ns0:c r="J29" s="29"/>
      <ns0:c r="K29" s="29"/>
    </ns0:row>
    <ns0:row r="30" ht="28" customHeight="1">
      <ns0:c r="A30" s="29"/>
      <ns0:c r="B30" s="30"/>
      <ns0:c r="C30" s="28"/>
      <ns0:c r="D30" s="29"/>
      <ns0:c r="E30" s="31"/>
      <ns0:c r="F30" s="32"/>
      <ns0:c r="G30" s="29"/>
      <ns0:c r="H30" s="29"/>
      <ns0:c r="I30" s="29"/>
      <ns0:c r="J30" s="29"/>
      <ns0:c r="K30" s="29"/>
    </ns0:row>
    <ns0:row r="31" ht="28" customHeight="1">
      <ns0:c r="A31" s="29"/>
      <ns0:c r="B31" s="30"/>
      <ns0:c r="C31" s="28"/>
      <ns0:c r="D31" s="29"/>
      <ns0:c r="E31" s="31"/>
      <ns0:c r="F31" s="32"/>
      <ns0:c r="G31" s="29"/>
      <ns0:c r="H31" s="29"/>
      <ns0:c r="I31" s="29"/>
      <ns0:c r="J31" s="29"/>
      <ns0:c r="K31" s="29"/>
    </ns0:row>
    <ns0:row r="32" ht="28" customHeight="1">
      <ns0:c r="A32" s="29"/>
      <ns0:c r="B32" s="30"/>
      <ns0:c r="C32" s="28"/>
      <ns0:c r="D32" s="29"/>
      <ns0:c r="E32" s="31"/>
      <ns0:c r="F32" s="32"/>
      <ns0:c r="G32" s="29"/>
      <ns0:c r="H32" s="29"/>
      <ns0:c r="I32" s="29"/>
      <ns0:c r="J32" s="29"/>
      <ns0:c r="K32" s="29"/>
    </ns0:row>
    <ns0:row r="33" ht="28" customHeight="1">
      <ns0:c r="A33" s="29"/>
      <ns0:c r="B33" s="30"/>
      <ns0:c r="C33" s="28"/>
      <ns0:c r="D33" s="29"/>
      <ns0:c r="E33" s="31"/>
      <ns0:c r="F33" s="32"/>
      <ns0:c r="G33" s="29"/>
      <ns0:c r="H33" s="29"/>
      <ns0:c r="I33" s="29"/>
      <ns0:c r="J33" s="29"/>
      <ns0:c r="K33" s="29"/>
    </ns0:row>
    <ns0:row r="34" ht="28" customHeight="1">
      <ns0:c r="A34" s="29"/>
      <ns0:c r="B34" s="30"/>
      <ns0:c r="C34" s="28"/>
      <ns0:c r="D34" s="29"/>
      <ns0:c r="E34" s="31"/>
      <ns0:c r="F34" s="32"/>
      <ns0:c r="G34" s="29"/>
      <ns0:c r="H34" s="29"/>
      <ns0:c r="I34" s="29"/>
      <ns0:c r="J34" s="29"/>
      <ns0:c r="K34" s="29"/>
    </ns0:row>
    <ns0:row r="35" ht="28" customHeight="1">
      <ns0:c r="A35" s="29"/>
      <ns0:c r="B35" s="30"/>
      <ns0:c r="C35" s="28"/>
      <ns0:c r="D35" s="29"/>
      <ns0:c r="E35" s="31"/>
      <ns0:c r="F35" s="32"/>
      <ns0:c r="G35" s="29"/>
      <ns0:c r="H35" s="29"/>
      <ns0:c r="I35" s="29"/>
      <ns0:c r="J35" s="29"/>
      <ns0:c r="K35" s="29"/>
    </ns0:row>
    <ns0:row r="36" ht="28" customHeight="1">
      <ns0:c r="A36" s="29"/>
      <ns0:c r="B36" s="30"/>
      <ns0:c r="C36" s="28"/>
      <ns0:c r="D36" s="29"/>
      <ns0:c r="E36" s="31"/>
      <ns0:c r="F36" s="32"/>
      <ns0:c r="G36" s="29"/>
      <ns0:c r="H36" s="29"/>
      <ns0:c r="I36" s="29"/>
      <ns0:c r="J36" s="29"/>
      <ns0:c r="K36" s="29"/>
    </ns0:row>
    <ns0:row r="37" ht="28" customHeight="1">
      <ns0:c r="A37" s="29"/>
      <ns0:c r="B37" s="30"/>
      <ns0:c r="C37" s="28"/>
      <ns0:c r="D37" s="29"/>
      <ns0:c r="E37" s="31"/>
      <ns0:c r="F37" s="32"/>
      <ns0:c r="G37" s="29"/>
      <ns0:c r="H37" s="29"/>
      <ns0:c r="I37" s="29"/>
      <ns0:c r="J37" s="29"/>
      <ns0:c r="K37" s="29"/>
    </ns0:row>
    <ns0:row r="38" ht="28" customHeight="1">
      <ns0:c r="A38" s="29"/>
      <ns0:c r="B38" s="30"/>
      <ns0:c r="C38" s="28"/>
      <ns0:c r="D38" s="29"/>
      <ns0:c r="E38" s="31"/>
      <ns0:c r="F38" s="32"/>
      <ns0:c r="G38" s="29"/>
      <ns0:c r="H38" s="29"/>
      <ns0:c r="I38" s="29"/>
      <ns0:c r="J38" s="29"/>
      <ns0:c r="K38" s="29"/>
    </ns0:row>
    <ns0:row r="39" ht="28" customHeight="1">
      <ns0:c r="A39" s="29"/>
      <ns0:c r="B39" s="30"/>
      <ns0:c r="C39" s="28"/>
      <ns0:c r="D39" s="29"/>
      <ns0:c r="E39" s="31"/>
      <ns0:c r="F39" s="32"/>
      <ns0:c r="G39" s="29"/>
      <ns0:c r="H39" s="29"/>
      <ns0:c r="I39" s="29"/>
      <ns0:c r="J39" s="29"/>
      <ns0:c r="K39" s="29"/>
    </ns0:row>
    <ns0:row r="40" ht="28" customHeight="1">
      <ns0:c r="A40" s="29"/>
      <ns0:c r="B40" s="30"/>
      <ns0:c r="C40" s="28"/>
      <ns0:c r="D40" s="29"/>
      <ns0:c r="E40" s="31"/>
      <ns0:c r="F40" s="32"/>
      <ns0:c r="G40" s="29"/>
      <ns0:c r="H40" s="29"/>
      <ns0:c r="I40" s="29"/>
      <ns0:c r="J40" s="29"/>
      <ns0:c r="K40" s="29"/>
    </ns0:row>
    <ns0:row r="41" ht="28" customHeight="1">
      <ns0:c r="A41" s="29"/>
      <ns0:c r="B41" s="30"/>
      <ns0:c r="C41" s="28"/>
      <ns0:c r="D41" s="29"/>
      <ns0:c r="E41" s="31"/>
      <ns0:c r="F41" s="32"/>
      <ns0:c r="G41" s="29"/>
      <ns0:c r="H41" s="29"/>
      <ns0:c r="I41" s="29"/>
      <ns0:c r="J41" s="29"/>
      <ns0:c r="K41" s="29"/>
    </ns0:row>
    <ns0:row r="42" ht="28" customHeight="1">
      <ns0:c r="A42" s="29"/>
      <ns0:c r="B42" s="30"/>
      <ns0:c r="C42" s="28"/>
      <ns0:c r="D42" s="29"/>
      <ns0:c r="E42" s="31"/>
      <ns0:c r="F42" s="32"/>
      <ns0:c r="G42" s="29"/>
      <ns0:c r="H42" s="29"/>
      <ns0:c r="I42" s="29"/>
      <ns0:c r="J42" s="29"/>
      <ns0:c r="K42" s="29"/>
    </ns0:row>
    <ns0:row r="43" ht="28" customHeight="1">
      <ns0:c r="A43" s="29"/>
      <ns0:c r="B43" s="30"/>
      <ns0:c r="C43" s="28"/>
      <ns0:c r="D43" s="29"/>
      <ns0:c r="E43" s="31"/>
      <ns0:c r="F43" s="32"/>
      <ns0:c r="G43" s="29"/>
      <ns0:c r="H43" s="29"/>
      <ns0:c r="I43" s="29"/>
      <ns0:c r="J43" s="29"/>
      <ns0:c r="K43" s="29"/>
    </ns0:row>
    <ns0:row r="44" ht="28" customHeight="1">
      <ns0:c r="A44" s="29"/>
      <ns0:c r="B44" s="30"/>
      <ns0:c r="C44" s="28"/>
      <ns0:c r="D44" s="29"/>
      <ns0:c r="E44" s="31"/>
      <ns0:c r="F44" s="32"/>
      <ns0:c r="G44" s="29"/>
      <ns0:c r="H44" s="29"/>
      <ns0:c r="I44" s="29"/>
      <ns0:c r="J44" s="29"/>
      <ns0:c r="K44" s="29"/>
    </ns0:row>
    <ns0:row r="45" ht="28" customHeight="1">
      <ns0:c r="A45" s="29"/>
      <ns0:c r="B45" s="30"/>
      <ns0:c r="C45" s="28"/>
      <ns0:c r="D45" s="29"/>
      <ns0:c r="E45" s="31"/>
      <ns0:c r="F45" s="32"/>
      <ns0:c r="G45" s="29"/>
      <ns0:c r="H45" s="29"/>
      <ns0:c r="I45" s="29"/>
      <ns0:c r="J45" s="29"/>
      <ns0:c r="K45" s="29"/>
    </ns0:row>
    <ns0:row r="46" ht="28" customHeight="1">
      <ns0:c r="A46" s="29"/>
      <ns0:c r="B46" s="30"/>
      <ns0:c r="C46" s="28"/>
      <ns0:c r="D46" s="29"/>
      <ns0:c r="E46" s="31"/>
      <ns0:c r="F46" s="32"/>
      <ns0:c r="G46" s="29"/>
      <ns0:c r="H46" s="29"/>
      <ns0:c r="I46" s="29"/>
      <ns0:c r="J46" s="29"/>
      <ns0:c r="K46" s="29"/>
    </ns0:row>
    <ns0:row r="47" ht="28" customHeight="1">
      <ns0:c r="A47" s="29"/>
      <ns0:c r="B47" s="30"/>
      <ns0:c r="C47" s="28"/>
      <ns0:c r="D47" s="29"/>
      <ns0:c r="E47" s="31"/>
      <ns0:c r="F47" s="32"/>
      <ns0:c r="G47" s="29"/>
      <ns0:c r="H47" s="29"/>
      <ns0:c r="I47" s="29"/>
      <ns0:c r="J47" s="29"/>
      <ns0:c r="K47" s="29"/>
    </ns0:row>
    <ns0:row r="48" ht="28" customHeight="1">
      <ns0:c r="A48" s="29"/>
      <ns0:c r="B48" s="30"/>
      <ns0:c r="C48" s="28"/>
      <ns0:c r="D48" s="29"/>
      <ns0:c r="E48" s="31"/>
      <ns0:c r="F48" s="32"/>
      <ns0:c r="G48" s="29"/>
      <ns0:c r="H48" s="29"/>
      <ns0:c r="I48" s="29"/>
      <ns0:c r="J48" s="29"/>
      <ns0:c r="K48" s="29"/>
    </ns0:row>
    <ns0:row r="49" ht="28" customHeight="1">
      <ns0:c r="A49" s="29"/>
      <ns0:c r="B49" s="30"/>
      <ns0:c r="C49" s="28"/>
      <ns0:c r="D49" s="29"/>
      <ns0:c r="E49" s="31"/>
      <ns0:c r="F49" s="32"/>
      <ns0:c r="G49" s="29"/>
      <ns0:c r="H49" s="29"/>
      <ns0:c r="I49" s="29"/>
      <ns0:c r="J49" s="29"/>
      <ns0:c r="K49" s="29"/>
    </ns0:row>
    <ns0:row r="50" ht="28" customHeight="1">
      <ns0:c r="A50" s="29"/>
      <ns0:c r="B50" s="30"/>
      <ns0:c r="C50" s="28"/>
      <ns0:c r="D50" s="29"/>
      <ns0:c r="E50" s="31"/>
      <ns0:c r="F50" s="32"/>
      <ns0:c r="G50" s="29"/>
      <ns0:c r="H50" s="29"/>
      <ns0:c r="I50" s="29"/>
      <ns0:c r="J50" s="29"/>
      <ns0:c r="K50" s="29"/>
    </ns0:row>
    <ns0:row r="51" ht="28" customHeight="1">
      <ns0:c r="A51" s="29"/>
      <ns0:c r="B51" s="30"/>
      <ns0:c r="C51" s="28"/>
      <ns0:c r="D51" s="29"/>
      <ns0:c r="E51" s="31"/>
      <ns0:c r="F51" s="32"/>
      <ns0:c r="G51" s="29"/>
      <ns0:c r="H51" s="29"/>
      <ns0:c r="I51" s="29"/>
      <ns0:c r="J51" s="29"/>
      <ns0:c r="K51" s="29"/>
    </ns0:row>
    <ns0:row r="52" ht="28" customHeight="1">
      <ns0:c r="A52" s="29"/>
      <ns0:c r="B52" s="30"/>
      <ns0:c r="C52" s="28"/>
      <ns0:c r="D52" s="29"/>
      <ns0:c r="E52" s="31"/>
      <ns0:c r="F52" s="32"/>
      <ns0:c r="G52" s="29"/>
      <ns0:c r="H52" s="29"/>
      <ns0:c r="I52" s="29"/>
      <ns0:c r="J52" s="29"/>
      <ns0:c r="K52" s="29"/>
    </ns0:row>
    <ns0:row r="53" ht="28" customHeight="1">
      <ns0:c r="A53" s="29"/>
      <ns0:c r="B53" s="30"/>
      <ns0:c r="C53" s="28"/>
      <ns0:c r="D53" s="29"/>
      <ns0:c r="E53" s="31"/>
      <ns0:c r="F53" s="32"/>
      <ns0:c r="G53" s="29"/>
      <ns0:c r="H53" s="29"/>
      <ns0:c r="I53" s="29"/>
      <ns0:c r="J53" s="29"/>
      <ns0:c r="K53" s="29"/>
    </ns0:row>
    <ns0:row r="54" ht="28" customHeight="1">
      <ns0:c r="A54" s="29"/>
      <ns0:c r="B54" s="30"/>
      <ns0:c r="C54" s="28"/>
      <ns0:c r="D54" s="29"/>
      <ns0:c r="E54" s="31"/>
      <ns0:c r="F54" s="32"/>
      <ns0:c r="G54" s="29"/>
      <ns0:c r="H54" s="29"/>
      <ns0:c r="I54" s="29"/>
      <ns0:c r="J54" s="29"/>
      <ns0:c r="K54" s="29"/>
    </ns0:row>
    <ns0:row r="55" ht="28" customHeight="1">
      <ns0:c r="A55" s="29"/>
      <ns0:c r="B55" s="30"/>
      <ns0:c r="C55" s="28"/>
      <ns0:c r="D55" s="29"/>
      <ns0:c r="E55" s="31"/>
      <ns0:c r="F55" s="32"/>
      <ns0:c r="G55" s="29"/>
      <ns0:c r="H55" s="29"/>
      <ns0:c r="I55" s="29"/>
      <ns0:c r="J55" s="29"/>
      <ns0:c r="K55" s="29"/>
    </ns0:row>
    <ns0:row r="56" ht="28" customHeight="1">
      <ns0:c r="A56" s="29"/>
      <ns0:c r="B56" s="30"/>
      <ns0:c r="C56" s="28"/>
      <ns0:c r="D56" s="29"/>
      <ns0:c r="E56" s="31"/>
      <ns0:c r="F56" s="32"/>
      <ns0:c r="G56" s="29"/>
      <ns0:c r="H56" s="29"/>
      <ns0:c r="I56" s="29"/>
      <ns0:c r="J56" s="29"/>
      <ns0:c r="K56" s="29"/>
    </ns0:row>
    <ns0:row r="57" ht="28" customHeight="1">
      <ns0:c r="A57" s="29"/>
      <ns0:c r="B57" s="30"/>
      <ns0:c r="C57" s="28"/>
      <ns0:c r="D57" s="29"/>
      <ns0:c r="E57" s="31"/>
      <ns0:c r="F57" s="32"/>
      <ns0:c r="G57" s="29"/>
      <ns0:c r="H57" s="29"/>
      <ns0:c r="I57" s="29"/>
      <ns0:c r="J57" s="29"/>
      <ns0:c r="K57" s="29"/>
    </ns0:row>
    <ns0:row r="58" ht="28" customHeight="1">
      <ns0:c r="A58" s="29"/>
      <ns0:c r="B58" s="30"/>
      <ns0:c r="C58" s="28"/>
      <ns0:c r="D58" s="29"/>
      <ns0:c r="E58" s="31"/>
      <ns0:c r="F58" s="32"/>
      <ns0:c r="G58" s="29"/>
      <ns0:c r="H58" s="29"/>
      <ns0:c r="I58" s="29"/>
      <ns0:c r="J58" s="29"/>
      <ns0:c r="K58" s="29"/>
    </ns0:row>
    <ns0:row r="59" ht="28" customHeight="1">
      <ns0:c r="A59" s="29"/>
      <ns0:c r="B59" s="30"/>
      <ns0:c r="C59" s="28"/>
      <ns0:c r="D59" s="29"/>
      <ns0:c r="E59" s="31"/>
      <ns0:c r="F59" s="32"/>
      <ns0:c r="G59" s="29"/>
      <ns0:c r="H59" s="29"/>
      <ns0:c r="I59" s="29"/>
      <ns0:c r="J59" s="29"/>
      <ns0:c r="K59" s="29"/>
    </ns0:row>
    <ns0:row r="60" ht="28" customHeight="1">
      <ns0:c r="A60" s="29"/>
      <ns0:c r="B60" s="30"/>
      <ns0:c r="C60" s="28"/>
      <ns0:c r="D60" s="29"/>
      <ns0:c r="E60" s="31"/>
      <ns0:c r="F60" s="32"/>
      <ns0:c r="G60" s="29"/>
      <ns0:c r="H60" s="29"/>
      <ns0:c r="I60" s="29"/>
      <ns0:c r="J60" s="29"/>
      <ns0:c r="K60" s="29"/>
    </ns0:row>
    <ns0:row r="61" ht="28" customHeight="1">
      <ns0:c r="A61" s="29"/>
      <ns0:c r="B61" s="30"/>
      <ns0:c r="C61" s="28"/>
      <ns0:c r="D61" s="29"/>
      <ns0:c r="E61" s="31"/>
      <ns0:c r="F61" s="32"/>
      <ns0:c r="G61" s="29"/>
      <ns0:c r="H61" s="29"/>
      <ns0:c r="I61" s="29"/>
      <ns0:c r="J61" s="29"/>
      <ns0:c r="K61" s="29"/>
    </ns0:row>
    <ns0:row r="62" ht="28" customHeight="1">
      <ns0:c r="A62" s="29"/>
      <ns0:c r="B62" s="30"/>
      <ns0:c r="C62" s="28"/>
      <ns0:c r="D62" s="29"/>
      <ns0:c r="E62" s="31"/>
      <ns0:c r="F62" s="32"/>
      <ns0:c r="G62" s="29"/>
      <ns0:c r="H62" s="29"/>
      <ns0:c r="I62" s="29"/>
      <ns0:c r="J62" s="29"/>
      <ns0:c r="K62" s="29"/>
    </ns0:row>
    <ns0:row r="63" ht="28" customHeight="1">
      <ns0:c r="A63" s="29"/>
      <ns0:c r="B63" s="30"/>
      <ns0:c r="C63" s="28"/>
      <ns0:c r="D63" s="29"/>
      <ns0:c r="E63" s="31"/>
      <ns0:c r="F63" s="32"/>
      <ns0:c r="G63" s="29"/>
      <ns0:c r="H63" s="29"/>
      <ns0:c r="I63" s="29"/>
      <ns0:c r="J63" s="29"/>
      <ns0:c r="K63" s="29"/>
    </ns0:row>
    <ns0:row r="64" ht="28" customHeight="1">
      <ns0:c r="A64" s="29"/>
      <ns0:c r="B64" s="30"/>
      <ns0:c r="C64" s="28"/>
      <ns0:c r="D64" s="29"/>
      <ns0:c r="E64" s="31"/>
      <ns0:c r="F64" s="32"/>
      <ns0:c r="G64" s="29"/>
      <ns0:c r="H64" s="29"/>
      <ns0:c r="I64" s="29"/>
      <ns0:c r="J64" s="29"/>
      <ns0:c r="K64" s="29"/>
    </ns0:row>
    <ns0:row r="65" ht="28" customHeight="1">
      <ns0:c r="A65" s="29"/>
      <ns0:c r="B65" s="30"/>
      <ns0:c r="C65" s="28"/>
      <ns0:c r="D65" s="29"/>
      <ns0:c r="E65" s="31"/>
      <ns0:c r="F65" s="32"/>
      <ns0:c r="G65" s="29"/>
      <ns0:c r="H65" s="29"/>
      <ns0:c r="I65" s="29"/>
      <ns0:c r="J65" s="29"/>
      <ns0:c r="K65" s="29"/>
    </ns0:row>
    <ns0:row r="66" ht="28" customHeight="1">
      <ns0:c r="A66" s="29"/>
      <ns0:c r="B66" s="30"/>
      <ns0:c r="C66" s="28"/>
      <ns0:c r="D66" s="29"/>
      <ns0:c r="E66" s="31"/>
      <ns0:c r="F66" s="32"/>
      <ns0:c r="G66" s="29"/>
      <ns0:c r="H66" s="29"/>
      <ns0:c r="I66" s="29"/>
      <ns0:c r="J66" s="29"/>
      <ns0:c r="K66" s="29"/>
    </ns0:row>
    <ns0:row r="67" ht="28" customHeight="1">
      <ns0:c r="A67" s="29"/>
      <ns0:c r="B67" s="30"/>
      <ns0:c r="C67" s="28"/>
      <ns0:c r="D67" s="29"/>
      <ns0:c r="E67" s="31"/>
      <ns0:c r="F67" s="32"/>
      <ns0:c r="G67" s="29"/>
      <ns0:c r="H67" s="29"/>
      <ns0:c r="I67" s="29"/>
      <ns0:c r="J67" s="29"/>
      <ns0:c r="K67" s="29"/>
    </ns0:row>
    <ns0:row r="68" ht="28" customHeight="1">
      <ns0:c r="A68" s="29"/>
      <ns0:c r="B68" s="30"/>
      <ns0:c r="C68" s="28"/>
      <ns0:c r="D68" s="29"/>
      <ns0:c r="E68" s="31"/>
      <ns0:c r="F68" s="32"/>
      <ns0:c r="G68" s="29"/>
      <ns0:c r="H68" s="29"/>
      <ns0:c r="I68" s="29"/>
      <ns0:c r="J68" s="29"/>
      <ns0:c r="K68" s="29"/>
    </ns0:row>
    <ns0:row r="69" ht="28" customHeight="1">
      <ns0:c r="A69" s="29"/>
      <ns0:c r="B69" s="30"/>
      <ns0:c r="C69" s="28"/>
      <ns0:c r="D69" s="29"/>
      <ns0:c r="E69" s="31"/>
      <ns0:c r="F69" s="32"/>
      <ns0:c r="G69" s="29"/>
      <ns0:c r="H69" s="29"/>
      <ns0:c r="I69" s="29"/>
      <ns0:c r="J69" s="29"/>
      <ns0:c r="K69" s="29"/>
    </ns0:row>
    <ns0:row r="70" ht="28" customHeight="1">
      <ns0:c r="A70" s="29"/>
      <ns0:c r="B70" s="30"/>
      <ns0:c r="C70" s="28"/>
      <ns0:c r="D70" s="29"/>
      <ns0:c r="E70" s="31"/>
      <ns0:c r="F70" s="32"/>
      <ns0:c r="G70" s="29"/>
      <ns0:c r="H70" s="29"/>
      <ns0:c r="I70" s="29"/>
      <ns0:c r="J70" s="29"/>
      <ns0:c r="K70" s="29"/>
    </ns0:row>
    <ns0:row r="71" ht="28" customHeight="1">
      <ns0:c r="A71" s="29"/>
      <ns0:c r="B71" s="30"/>
      <ns0:c r="C71" s="28"/>
      <ns0:c r="D71" s="29"/>
      <ns0:c r="E71" s="31"/>
      <ns0:c r="F71" s="32"/>
      <ns0:c r="G71" s="29"/>
      <ns0:c r="H71" s="29"/>
      <ns0:c r="I71" s="29"/>
      <ns0:c r="J71" s="29"/>
      <ns0:c r="K71" s="29"/>
    </ns0:row>
    <ns0:row r="72" ht="28" customHeight="1">
      <ns0:c r="A72" s="29"/>
      <ns0:c r="B72" s="30"/>
      <ns0:c r="C72" s="28"/>
      <ns0:c r="D72" s="29"/>
      <ns0:c r="E72" s="31"/>
      <ns0:c r="F72" s="32"/>
      <ns0:c r="G72" s="29"/>
      <ns0:c r="H72" s="29"/>
      <ns0:c r="I72" s="29"/>
      <ns0:c r="J72" s="29"/>
      <ns0:c r="K72" s="29"/>
    </ns0:row>
    <ns0:row r="73" ht="28" customHeight="1">
      <ns0:c r="A73" s="29"/>
      <ns0:c r="B73" s="30"/>
      <ns0:c r="C73" s="28"/>
      <ns0:c r="D73" s="29"/>
      <ns0:c r="E73" s="31"/>
      <ns0:c r="F73" s="32"/>
      <ns0:c r="G73" s="29"/>
      <ns0:c r="H73" s="29"/>
      <ns0:c r="I73" s="29"/>
      <ns0:c r="J73" s="29"/>
      <ns0:c r="K73" s="29"/>
    </ns0:row>
    <ns0:row r="74" ht="28" customHeight="1">
      <ns0:c r="A74" s="29"/>
      <ns0:c r="B74" s="30"/>
      <ns0:c r="C74" s="28"/>
      <ns0:c r="D74" s="29"/>
      <ns0:c r="E74" s="31"/>
      <ns0:c r="F74" s="32"/>
      <ns0:c r="G74" s="29"/>
      <ns0:c r="H74" s="29"/>
      <ns0:c r="I74" s="29"/>
      <ns0:c r="J74" s="29"/>
      <ns0:c r="K74" s="29"/>
    </ns0:row>
    <ns0:row r="75" ht="28" customHeight="1">
      <ns0:c r="A75" s="29"/>
      <ns0:c r="B75" s="30"/>
      <ns0:c r="C75" s="28"/>
      <ns0:c r="D75" s="29"/>
      <ns0:c r="E75" s="31"/>
      <ns0:c r="F75" s="32"/>
      <ns0:c r="G75" s="29"/>
      <ns0:c r="H75" s="29"/>
      <ns0:c r="I75" s="29"/>
      <ns0:c r="J75" s="29"/>
      <ns0:c r="K75" s="29"/>
    </ns0:row>
    <ns0:row r="76" ht="28" customHeight="1">
      <ns0:c r="A76" s="29"/>
      <ns0:c r="B76" s="30"/>
      <ns0:c r="C76" s="28"/>
      <ns0:c r="D76" s="29"/>
      <ns0:c r="E76" s="31"/>
      <ns0:c r="F76" s="32"/>
      <ns0:c r="G76" s="29"/>
      <ns0:c r="H76" s="29"/>
      <ns0:c r="I76" s="29"/>
      <ns0:c r="J76" s="29"/>
      <ns0:c r="K76" s="29"/>
    </ns0:row>
    <ns0:row r="77" ht="28" customHeight="1">
      <ns0:c r="A77" s="29"/>
      <ns0:c r="B77" s="30"/>
      <ns0:c r="C77" s="28"/>
      <ns0:c r="D77" s="29"/>
      <ns0:c r="E77" s="31"/>
      <ns0:c r="F77" s="32"/>
      <ns0:c r="G77" s="29"/>
      <ns0:c r="H77" s="29"/>
      <ns0:c r="I77" s="29"/>
      <ns0:c r="J77" s="29"/>
      <ns0:c r="K77" s="29"/>
    </ns0:row>
    <ns0:row r="78" ht="28" customHeight="1">
      <ns0:c r="A78" s="29"/>
      <ns0:c r="B78" s="30"/>
      <ns0:c r="C78" s="28"/>
      <ns0:c r="D78" s="29"/>
      <ns0:c r="E78" s="31"/>
      <ns0:c r="F78" s="32"/>
      <ns0:c r="G78" s="29"/>
      <ns0:c r="H78" s="29"/>
      <ns0:c r="I78" s="29"/>
      <ns0:c r="J78" s="29"/>
      <ns0:c r="K78" s="29"/>
    </ns0:row>
    <ns0:row r="79" ht="28" customHeight="1">
      <ns0:c r="A79" s="29"/>
      <ns0:c r="B79" s="30"/>
      <ns0:c r="C79" s="28"/>
      <ns0:c r="D79" s="29"/>
      <ns0:c r="E79" s="31"/>
      <ns0:c r="F79" s="32"/>
      <ns0:c r="G79" s="29"/>
      <ns0:c r="H79" s="29"/>
      <ns0:c r="I79" s="29"/>
      <ns0:c r="J79" s="29"/>
      <ns0:c r="K79" s="29"/>
    </ns0:row>
    <ns0:row r="80" ht="28" customHeight="1">
      <ns0:c r="A80" s="29"/>
      <ns0:c r="B80" s="30"/>
      <ns0:c r="C80" s="28"/>
      <ns0:c r="D80" s="29"/>
      <ns0:c r="E80" s="31"/>
      <ns0:c r="F80" s="32"/>
      <ns0:c r="G80" s="29"/>
      <ns0:c r="H80" s="29"/>
      <ns0:c r="I80" s="29"/>
      <ns0:c r="J80" s="29"/>
      <ns0:c r="K80" s="29"/>
    </ns0:row>
    <ns0:row r="81" ht="28" customHeight="1">
      <ns0:c r="A81" s="29"/>
      <ns0:c r="B81" s="30"/>
      <ns0:c r="C81" s="28"/>
      <ns0:c r="D81" s="29"/>
      <ns0:c r="E81" s="31"/>
      <ns0:c r="F81" s="32"/>
      <ns0:c r="G81" s="29"/>
      <ns0:c r="H81" s="29"/>
      <ns0:c r="I81" s="29"/>
      <ns0:c r="J81" s="29"/>
      <ns0:c r="K81" s="29"/>
    </ns0:row>
    <ns0:row r="82" ht="28" customHeight="1">
      <ns0:c r="A82" s="29"/>
      <ns0:c r="B82" s="30"/>
      <ns0:c r="C82" s="28"/>
      <ns0:c r="D82" s="29"/>
      <ns0:c r="E82" s="31"/>
      <ns0:c r="F82" s="32"/>
      <ns0:c r="G82" s="29"/>
      <ns0:c r="H82" s="29"/>
      <ns0:c r="I82" s="29"/>
      <ns0:c r="J82" s="29"/>
      <ns0:c r="K82" s="29"/>
    </ns0:row>
    <ns0:row r="83" ht="28" customHeight="1">
      <ns0:c r="A83" s="29"/>
      <ns0:c r="B83" s="30"/>
      <ns0:c r="C83" s="28"/>
      <ns0:c r="D83" s="29"/>
      <ns0:c r="E83" s="31"/>
      <ns0:c r="F83" s="32"/>
      <ns0:c r="G83" s="29"/>
      <ns0:c r="H83" s="29"/>
      <ns0:c r="I83" s="29"/>
      <ns0:c r="J83" s="29"/>
      <ns0:c r="K83" s="29"/>
    </ns0:row>
    <ns0:row r="84" ht="28" customHeight="1">
      <ns0:c r="A84" s="29"/>
      <ns0:c r="B84" s="30"/>
      <ns0:c r="C84" s="28"/>
      <ns0:c r="D84" s="29"/>
      <ns0:c r="E84" s="31"/>
      <ns0:c r="F84" s="32"/>
      <ns0:c r="G84" s="29"/>
      <ns0:c r="H84" s="29"/>
      <ns0:c r="I84" s="29"/>
      <ns0:c r="J84" s="29"/>
      <ns0:c r="K84" s="29"/>
    </ns0:row>
    <ns0:row r="85" ht="28" customHeight="1">
      <ns0:c r="A85" s="29"/>
      <ns0:c r="B85" s="30"/>
      <ns0:c r="C85" s="28"/>
      <ns0:c r="D85" s="29"/>
      <ns0:c r="E85" s="31"/>
      <ns0:c r="F85" s="32"/>
      <ns0:c r="G85" s="29"/>
      <ns0:c r="H85" s="29"/>
      <ns0:c r="I85" s="29"/>
      <ns0:c r="J85" s="29"/>
      <ns0:c r="K85" s="29"/>
    </ns0:row>
    <ns0:row r="86" ht="28" customHeight="1">
      <ns0:c r="A86" s="29"/>
      <ns0:c r="B86" s="30"/>
      <ns0:c r="C86" s="28"/>
      <ns0:c r="D86" s="29"/>
      <ns0:c r="E86" s="31"/>
      <ns0:c r="F86" s="32"/>
      <ns0:c r="G86" s="29"/>
      <ns0:c r="H86" s="29"/>
      <ns0:c r="I86" s="29"/>
      <ns0:c r="J86" s="29"/>
      <ns0:c r="K86" s="29"/>
    </ns0:row>
    <ns0:row r="87" ht="28" customHeight="1">
      <ns0:c r="A87" s="29"/>
      <ns0:c r="B87" s="30"/>
      <ns0:c r="C87" s="28"/>
      <ns0:c r="D87" s="29"/>
      <ns0:c r="E87" s="31"/>
      <ns0:c r="F87" s="32"/>
      <ns0:c r="G87" s="29"/>
      <ns0:c r="H87" s="29"/>
      <ns0:c r="I87" s="29"/>
      <ns0:c r="J87" s="29"/>
      <ns0:c r="K87" s="29"/>
    </ns0:row>
    <ns0:row r="88" ht="28" customHeight="1">
      <ns0:c r="A88" s="29"/>
      <ns0:c r="B88" s="30"/>
      <ns0:c r="C88" s="28"/>
      <ns0:c r="D88" s="29"/>
      <ns0:c r="E88" s="31"/>
      <ns0:c r="F88" s="32"/>
      <ns0:c r="G88" s="29"/>
      <ns0:c r="H88" s="29"/>
      <ns0:c r="I88" s="29"/>
      <ns0:c r="J88" s="29"/>
      <ns0:c r="K88" s="29"/>
    </ns0:row>
    <ns0:row r="89" ht="28" customHeight="1">
      <ns0:c r="A89" s="29"/>
      <ns0:c r="B89" s="30"/>
      <ns0:c r="C89" s="28"/>
      <ns0:c r="D89" s="29"/>
      <ns0:c r="E89" s="31"/>
      <ns0:c r="F89" s="32"/>
      <ns0:c r="G89" s="29"/>
      <ns0:c r="H89" s="29"/>
      <ns0:c r="I89" s="29"/>
      <ns0:c r="J89" s="29"/>
      <ns0:c r="K89" s="29"/>
    </ns0:row>
    <ns0:row r="90" ht="28" customHeight="1">
      <ns0:c r="A90" s="29"/>
      <ns0:c r="B90" s="30"/>
      <ns0:c r="C90" s="28"/>
      <ns0:c r="D90" s="29"/>
      <ns0:c r="E90" s="31"/>
      <ns0:c r="F90" s="32"/>
      <ns0:c r="G90" s="29"/>
      <ns0:c r="H90" s="29"/>
      <ns0:c r="I90" s="29"/>
      <ns0:c r="J90" s="29"/>
      <ns0:c r="K90" s="29"/>
    </ns0:row>
    <ns0:row r="91" ht="28" customHeight="1">
      <ns0:c r="A91" s="29"/>
      <ns0:c r="B91" s="30"/>
      <ns0:c r="C91" s="28"/>
      <ns0:c r="D91" s="29"/>
      <ns0:c r="E91" s="31"/>
      <ns0:c r="F91" s="32"/>
      <ns0:c r="G91" s="29"/>
      <ns0:c r="H91" s="29"/>
      <ns0:c r="I91" s="29"/>
      <ns0:c r="J91" s="29"/>
      <ns0:c r="K91" s="29"/>
    </ns0:row>
    <ns0:row r="92" ht="28" customHeight="1">
      <ns0:c r="A92" s="29"/>
      <ns0:c r="B92" s="30"/>
      <ns0:c r="C92" s="28"/>
      <ns0:c r="D92" s="29"/>
      <ns0:c r="E92" s="31"/>
      <ns0:c r="F92" s="32"/>
      <ns0:c r="G92" s="29"/>
      <ns0:c r="H92" s="29"/>
      <ns0:c r="I92" s="29"/>
      <ns0:c r="J92" s="29"/>
      <ns0:c r="K92" s="29"/>
    </ns0:row>
    <ns0:row r="93" ht="28" customHeight="1">
      <ns0:c r="A93" s="29"/>
      <ns0:c r="B93" s="30"/>
      <ns0:c r="C93" s="28"/>
      <ns0:c r="D93" s="29"/>
      <ns0:c r="E93" s="31"/>
      <ns0:c r="F93" s="32"/>
      <ns0:c r="G93" s="29"/>
      <ns0:c r="H93" s="29"/>
      <ns0:c r="I93" s="29"/>
      <ns0:c r="J93" s="29"/>
      <ns0:c r="K93" s="29"/>
    </ns0:row>
    <ns0:row r="94" ht="28" customHeight="1">
      <ns0:c r="A94" s="29"/>
      <ns0:c r="B94" s="30"/>
      <ns0:c r="C94" s="28"/>
      <ns0:c r="D94" s="29"/>
      <ns0:c r="E94" s="31"/>
      <ns0:c r="F94" s="32"/>
      <ns0:c r="G94" s="29"/>
      <ns0:c r="H94" s="29"/>
      <ns0:c r="I94" s="29"/>
      <ns0:c r="J94" s="29"/>
      <ns0:c r="K94" s="29"/>
    </ns0:row>
    <ns0:row r="95" ht="28" customHeight="1">
      <ns0:c r="A95" s="29"/>
      <ns0:c r="B95" s="30"/>
      <ns0:c r="C95" s="28"/>
      <ns0:c r="D95" s="29"/>
      <ns0:c r="E95" s="31"/>
      <ns0:c r="F95" s="32"/>
      <ns0:c r="G95" s="29"/>
      <ns0:c r="H95" s="29"/>
      <ns0:c r="I95" s="29"/>
      <ns0:c r="J95" s="29"/>
      <ns0:c r="K95" s="29"/>
    </ns0:row>
    <ns0:row r="96" ht="28" customHeight="1">
      <ns0:c r="A96" s="29"/>
      <ns0:c r="B96" s="30"/>
      <ns0:c r="C96" s="28"/>
      <ns0:c r="D96" s="29"/>
      <ns0:c r="E96" s="31"/>
      <ns0:c r="F96" s="32"/>
      <ns0:c r="G96" s="29"/>
      <ns0:c r="H96" s="29"/>
      <ns0:c r="I96" s="29"/>
      <ns0:c r="J96" s="29"/>
      <ns0:c r="K96" s="29"/>
    </ns0:row>
    <ns0:row r="97" ht="28" customHeight="1">
      <ns0:c r="A97" s="29"/>
      <ns0:c r="B97" s="30"/>
      <ns0:c r="C97" s="28"/>
      <ns0:c r="D97" s="29"/>
      <ns0:c r="E97" s="31"/>
      <ns0:c r="F97" s="32"/>
      <ns0:c r="G97" s="29"/>
      <ns0:c r="H97" s="29"/>
      <ns0:c r="I97" s="29"/>
      <ns0:c r="J97" s="29"/>
      <ns0:c r="K97" s="29"/>
    </ns0:row>
    <ns0:row r="98" ht="28" customHeight="1">
      <ns0:c r="A98" s="29"/>
      <ns0:c r="B98" s="30"/>
      <ns0:c r="C98" s="28"/>
      <ns0:c r="D98" s="29"/>
      <ns0:c r="E98" s="31"/>
      <ns0:c r="F98" s="32"/>
      <ns0:c r="G98" s="29"/>
      <ns0:c r="H98" s="29"/>
      <ns0:c r="I98" s="29"/>
      <ns0:c r="J98" s="29"/>
      <ns0:c r="K98" s="29"/>
    </ns0:row>
    <ns0:row r="99" ht="28" customHeight="1">
      <ns0:c r="A99" s="29"/>
      <ns0:c r="B99" s="30"/>
      <ns0:c r="C99" s="28"/>
      <ns0:c r="D99" s="29"/>
      <ns0:c r="E99" s="31"/>
      <ns0:c r="F99" s="32"/>
      <ns0:c r="G99" s="29"/>
      <ns0:c r="H99" s="29"/>
      <ns0:c r="I99" s="29"/>
      <ns0:c r="J99" s="29"/>
      <ns0:c r="K99" s="29"/>
    </ns0:row>
    <ns0:row r="100" ht="28" customHeight="1">
      <ns0:c r="A100" s="29"/>
      <ns0:c r="B100" s="30"/>
      <ns0:c r="C100" s="28"/>
      <ns0:c r="D100" s="29"/>
      <ns0:c r="E100" s="31"/>
      <ns0:c r="F100" s="32"/>
      <ns0:c r="G100" s="29"/>
      <ns0:c r="H100" s="29"/>
      <ns0:c r="I100" s="29"/>
      <ns0:c r="J100" s="29"/>
      <ns0:c r="K100" s="29"/>
    </ns0:row>
    <ns0:row r="101" ht="28" customHeight="1">
      <ns0:c r="A101" s="29"/>
      <ns0:c r="B101" s="30"/>
      <ns0:c r="C101" s="28"/>
      <ns0:c r="D101" s="29"/>
      <ns0:c r="E101" s="31"/>
      <ns0:c r="F101" s="32"/>
      <ns0:c r="G101" s="29"/>
      <ns0:c r="H101" s="29"/>
      <ns0:c r="I101" s="29"/>
      <ns0:c r="J101" s="29"/>
      <ns0:c r="K101" s="29"/>
    </ns0:row>
    <ns0:row r="102" ht="28" customHeight="1">
      <ns0:c r="A102" s="29"/>
      <ns0:c r="B102" s="30"/>
      <ns0:c r="C102" s="28"/>
      <ns0:c r="D102" s="29"/>
      <ns0:c r="E102" s="31"/>
      <ns0:c r="F102" s="32"/>
      <ns0:c r="G102" s="29"/>
      <ns0:c r="H102" s="29"/>
      <ns0:c r="I102" s="29"/>
      <ns0:c r="J102" s="29"/>
      <ns0:c r="K102" s="29"/>
    </ns0:row>
    <ns0:row r="103" ht="28" customHeight="1">
      <ns0:c r="A103" s="29"/>
      <ns0:c r="B103" s="30"/>
      <ns0:c r="C103" s="28"/>
      <ns0:c r="D103" s="29"/>
      <ns0:c r="E103" s="31"/>
      <ns0:c r="F103" s="32"/>
      <ns0:c r="G103" s="29"/>
      <ns0:c r="H103" s="29"/>
      <ns0:c r="I103" s="29"/>
      <ns0:c r="J103" s="29"/>
      <ns0:c r="K103" s="29"/>
    </ns0:row>
    <ns0:row r="104" ht="28" customHeight="1">
      <ns0:c r="A104" s="29"/>
      <ns0:c r="B104" s="30"/>
      <ns0:c r="C104" s="28"/>
      <ns0:c r="D104" s="29"/>
      <ns0:c r="E104" s="31"/>
      <ns0:c r="F104" s="32"/>
      <ns0:c r="G104" s="29"/>
      <ns0:c r="H104" s="29"/>
      <ns0:c r="I104" s="29"/>
      <ns0:c r="J104" s="29"/>
      <ns0:c r="K104" s="29"/>
    </ns0:row>
    <ns0:row r="105" ht="28" customHeight="1">
      <ns0:c r="A105" s="29"/>
      <ns0:c r="B105" s="30"/>
      <ns0:c r="C105" s="28"/>
      <ns0:c r="D105" s="29"/>
      <ns0:c r="E105" s="31"/>
      <ns0:c r="F105" s="32"/>
      <ns0:c r="G105" s="29"/>
      <ns0:c r="H105" s="29"/>
      <ns0:c r="I105" s="29"/>
      <ns0:c r="J105" s="29"/>
      <ns0:c r="K105" s="29"/>
    </ns0:row>
    <ns0:row r="106" ht="28" customHeight="1">
      <ns0:c r="A106" s="29"/>
      <ns0:c r="B106" s="30"/>
      <ns0:c r="C106" s="28"/>
      <ns0:c r="D106" s="29"/>
      <ns0:c r="E106" s="31"/>
      <ns0:c r="F106" s="32"/>
      <ns0:c r="G106" s="29"/>
      <ns0:c r="H106" s="29"/>
      <ns0:c r="I106" s="29"/>
      <ns0:c r="J106" s="29"/>
      <ns0:c r="K106" s="29"/>
    </ns0:row>
    <ns0:row r="107" ht="28" customHeight="1">
      <ns0:c r="A107" s="29"/>
      <ns0:c r="B107" s="30"/>
      <ns0:c r="C107" s="28"/>
      <ns0:c r="D107" s="29"/>
      <ns0:c r="E107" s="31"/>
      <ns0:c r="F107" s="32"/>
      <ns0:c r="G107" s="29"/>
      <ns0:c r="H107" s="29"/>
      <ns0:c r="I107" s="29"/>
      <ns0:c r="J107" s="29"/>
      <ns0:c r="K107" s="29"/>
    </ns0:row>
    <ns0:row r="108" ht="28" customHeight="1">
      <ns0:c r="A108" s="29"/>
      <ns0:c r="B108" s="30"/>
      <ns0:c r="C108" s="28"/>
      <ns0:c r="D108" s="29"/>
      <ns0:c r="E108" s="31"/>
      <ns0:c r="F108" s="32"/>
      <ns0:c r="G108" s="29"/>
      <ns0:c r="H108" s="29"/>
      <ns0:c r="I108" s="29"/>
      <ns0:c r="J108" s="29"/>
      <ns0:c r="K108" s="29"/>
    </ns0:row>
    <ns0:row r="109" ht="28" customHeight="1">
      <ns0:c r="A109" s="29"/>
      <ns0:c r="B109" s="30"/>
      <ns0:c r="C109" s="28"/>
      <ns0:c r="D109" s="29"/>
      <ns0:c r="E109" s="31"/>
      <ns0:c r="F109" s="32"/>
      <ns0:c r="G109" s="29"/>
      <ns0:c r="H109" s="29"/>
      <ns0:c r="I109" s="29"/>
      <ns0:c r="J109" s="29"/>
      <ns0:c r="K109" s="29"/>
    </ns0:row>
    <ns0:row r="110" ht="28" customHeight="1">
      <ns0:c r="A110" s="29"/>
      <ns0:c r="B110" s="30"/>
      <ns0:c r="C110" s="28"/>
      <ns0:c r="D110" s="29"/>
      <ns0:c r="E110" s="31"/>
      <ns0:c r="F110" s="32"/>
      <ns0:c r="G110" s="29"/>
      <ns0:c r="H110" s="29"/>
      <ns0:c r="I110" s="29"/>
      <ns0:c r="J110" s="29"/>
      <ns0:c r="K110" s="29"/>
    </ns0:row>
    <ns0:row r="111" ht="28" customHeight="1">
      <ns0:c r="A111" s="29"/>
      <ns0:c r="B111" s="30"/>
      <ns0:c r="C111" s="28"/>
      <ns0:c r="D111" s="29"/>
      <ns0:c r="E111" s="31"/>
      <ns0:c r="F111" s="32"/>
      <ns0:c r="G111" s="29"/>
      <ns0:c r="H111" s="29"/>
      <ns0:c r="I111" s="29"/>
      <ns0:c r="J111" s="29"/>
      <ns0:c r="K111" s="29"/>
    </ns0:row>
    <ns0:row r="112" ht="28" customHeight="1">
      <ns0:c r="A112" s="29"/>
      <ns0:c r="B112" s="30"/>
      <ns0:c r="C112" s="28"/>
      <ns0:c r="D112" s="29"/>
      <ns0:c r="E112" s="31"/>
      <ns0:c r="F112" s="32"/>
      <ns0:c r="G112" s="29"/>
      <ns0:c r="H112" s="29"/>
      <ns0:c r="I112" s="29"/>
      <ns0:c r="J112" s="29"/>
      <ns0:c r="K112" s="29"/>
    </ns0:row>
    <ns0:row r="113" ht="28" customHeight="1">
      <ns0:c r="A113" s="29"/>
      <ns0:c r="B113" s="30"/>
      <ns0:c r="C113" s="28"/>
      <ns0:c r="D113" s="29"/>
      <ns0:c r="E113" s="31"/>
      <ns0:c r="F113" s="32"/>
      <ns0:c r="G113" s="29"/>
      <ns0:c r="H113" s="29"/>
      <ns0:c r="I113" s="29"/>
      <ns0:c r="J113" s="29"/>
      <ns0:c r="K113" s="29"/>
    </ns0:row>
    <ns0:row r="114" ht="28" customHeight="1">
      <ns0:c r="A114" s="29"/>
      <ns0:c r="B114" s="30"/>
      <ns0:c r="C114" s="28"/>
      <ns0:c r="D114" s="29"/>
      <ns0:c r="E114" s="31"/>
      <ns0:c r="F114" s="32"/>
      <ns0:c r="G114" s="29"/>
      <ns0:c r="H114" s="29"/>
      <ns0:c r="I114" s="29"/>
      <ns0:c r="J114" s="29"/>
      <ns0:c r="K114" s="29"/>
    </ns0:row>
    <ns0:row r="115" ht="28" customHeight="1">
      <ns0:c r="A115" s="29"/>
      <ns0:c r="B115" s="30"/>
      <ns0:c r="C115" s="28"/>
      <ns0:c r="D115" s="29"/>
      <ns0:c r="E115" s="31"/>
      <ns0:c r="F115" s="32"/>
      <ns0:c r="G115" s="29"/>
      <ns0:c r="H115" s="29"/>
      <ns0:c r="I115" s="29"/>
      <ns0:c r="J115" s="29"/>
      <ns0:c r="K115" s="29"/>
    </ns0:row>
    <ns0:row r="116" ht="28" customHeight="1">
      <ns0:c r="A116" s="29"/>
      <ns0:c r="B116" s="30"/>
      <ns0:c r="C116" s="28"/>
      <ns0:c r="D116" s="29"/>
      <ns0:c r="E116" s="31"/>
      <ns0:c r="F116" s="32"/>
      <ns0:c r="G116" s="29"/>
      <ns0:c r="H116" s="29"/>
      <ns0:c r="I116" s="29"/>
      <ns0:c r="J116" s="29"/>
      <ns0:c r="K116" s="29"/>
    </ns0:row>
    <ns0:row r="117" ht="28" customHeight="1">
      <ns0:c r="A117" s="29"/>
      <ns0:c r="B117" s="30"/>
      <ns0:c r="C117" s="28"/>
      <ns0:c r="D117" s="29"/>
      <ns0:c r="E117" s="31"/>
      <ns0:c r="F117" s="32"/>
      <ns0:c r="G117" s="29"/>
      <ns0:c r="H117" s="29"/>
      <ns0:c r="I117" s="29"/>
      <ns0:c r="J117" s="29"/>
      <ns0:c r="K117" s="29"/>
    </ns0:row>
    <ns0:row r="118" ht="28" customHeight="1">
      <ns0:c r="A118" s="29"/>
      <ns0:c r="B118" s="30"/>
      <ns0:c r="C118" s="28"/>
      <ns0:c r="D118" s="29"/>
      <ns0:c r="E118" s="31"/>
      <ns0:c r="F118" s="32"/>
      <ns0:c r="G118" s="29"/>
      <ns0:c r="H118" s="29"/>
      <ns0:c r="I118" s="29"/>
      <ns0:c r="J118" s="29"/>
      <ns0:c r="K118" s="29"/>
    </ns0:row>
    <ns0:row r="119" ht="28" customHeight="1">
      <ns0:c r="A119" s="29"/>
      <ns0:c r="B119" s="30"/>
      <ns0:c r="C119" s="28"/>
      <ns0:c r="D119" s="29"/>
      <ns0:c r="E119" s="31"/>
      <ns0:c r="F119" s="32"/>
      <ns0:c r="G119" s="29"/>
      <ns0:c r="H119" s="29"/>
      <ns0:c r="I119" s="29"/>
      <ns0:c r="J119" s="29"/>
      <ns0:c r="K119" s="29"/>
    </ns0:row>
    <ns0:row r="120" ht="28" customHeight="1">
      <ns0:c r="A120" s="29"/>
      <ns0:c r="B120" s="30"/>
      <ns0:c r="C120" s="28"/>
      <ns0:c r="D120" s="29"/>
      <ns0:c r="E120" s="31"/>
      <ns0:c r="F120" s="32"/>
      <ns0:c r="G120" s="29"/>
      <ns0:c r="H120" s="29"/>
      <ns0:c r="I120" s="29"/>
      <ns0:c r="J120" s="29"/>
      <ns0:c r="K120" s="29"/>
    </ns0:row>
    <ns0:row r="121" ht="28" customHeight="1">
      <ns0:c r="A121" s="29"/>
      <ns0:c r="B121" s="30"/>
      <ns0:c r="C121" s="28"/>
      <ns0:c r="D121" s="29"/>
      <ns0:c r="E121" s="31"/>
      <ns0:c r="F121" s="32"/>
      <ns0:c r="G121" s="29"/>
      <ns0:c r="H121" s="29"/>
      <ns0:c r="I121" s="29"/>
      <ns0:c r="J121" s="29"/>
      <ns0:c r="K121" s="29"/>
    </ns0:row>
    <ns0:row r="122" ht="28" customHeight="1">
      <ns0:c r="A122" s="29"/>
      <ns0:c r="B122" s="30"/>
      <ns0:c r="C122" s="28"/>
      <ns0:c r="D122" s="29"/>
      <ns0:c r="E122" s="31"/>
      <ns0:c r="F122" s="32"/>
      <ns0:c r="G122" s="29"/>
      <ns0:c r="H122" s="29"/>
      <ns0:c r="I122" s="29"/>
      <ns0:c r="J122" s="29"/>
      <ns0:c r="K122" s="29"/>
    </ns0:row>
    <ns0:row r="123" ht="28" customHeight="1">
      <ns0:c r="A123" s="29"/>
      <ns0:c r="B123" s="30"/>
      <ns0:c r="C123" s="28"/>
      <ns0:c r="D123" s="29"/>
      <ns0:c r="E123" s="31"/>
      <ns0:c r="F123" s="32"/>
      <ns0:c r="G123" s="29"/>
      <ns0:c r="H123" s="29"/>
      <ns0:c r="I123" s="29"/>
      <ns0:c r="J123" s="29"/>
      <ns0:c r="K123" s="29"/>
    </ns0:row>
    <ns0:row r="124" ht="28" customHeight="1">
      <ns0:c r="A124" s="29"/>
      <ns0:c r="B124" s="30"/>
      <ns0:c r="C124" s="28"/>
      <ns0:c r="D124" s="29"/>
      <ns0:c r="E124" s="31"/>
      <ns0:c r="F124" s="32"/>
      <ns0:c r="G124" s="29"/>
      <ns0:c r="H124" s="29"/>
      <ns0:c r="I124" s="29"/>
      <ns0:c r="J124" s="29"/>
      <ns0:c r="K124" s="29"/>
    </ns0:row>
    <ns0:row r="125" ht="28" customHeight="1">
      <ns0:c r="A125" s="29"/>
      <ns0:c r="B125" s="30"/>
      <ns0:c r="C125" s="28"/>
      <ns0:c r="D125" s="29"/>
      <ns0:c r="E125" s="31"/>
      <ns0:c r="F125" s="32"/>
      <ns0:c r="G125" s="29"/>
      <ns0:c r="H125" s="29"/>
      <ns0:c r="I125" s="29"/>
      <ns0:c r="J125" s="29"/>
      <ns0:c r="K125" s="29"/>
    </ns0:row>
    <ns0:row r="126" ht="28" customHeight="1">
      <ns0:c r="A126" s="29"/>
      <ns0:c r="B126" s="30"/>
      <ns0:c r="C126" s="28"/>
      <ns0:c r="D126" s="29"/>
      <ns0:c r="E126" s="31"/>
      <ns0:c r="F126" s="32"/>
      <ns0:c r="G126" s="29"/>
      <ns0:c r="H126" s="29"/>
      <ns0:c r="I126" s="29"/>
      <ns0:c r="J126" s="29"/>
      <ns0:c r="K126" s="29"/>
    </ns0:row>
    <ns0:row r="127" ht="28" customHeight="1">
      <ns0:c r="A127" s="29"/>
      <ns0:c r="B127" s="30"/>
      <ns0:c r="C127" s="28"/>
      <ns0:c r="D127" s="29"/>
      <ns0:c r="E127" s="31"/>
      <ns0:c r="F127" s="32"/>
      <ns0:c r="G127" s="29"/>
      <ns0:c r="H127" s="29"/>
      <ns0:c r="I127" s="29"/>
      <ns0:c r="J127" s="29"/>
      <ns0:c r="K127" s="29"/>
    </ns0:row>
    <ns0:row r="128" ht="28" customHeight="1">
      <ns0:c r="A128" s="29"/>
      <ns0:c r="B128" s="30"/>
      <ns0:c r="C128" s="28"/>
      <ns0:c r="D128" s="29"/>
      <ns0:c r="E128" s="31"/>
      <ns0:c r="F128" s="32"/>
      <ns0:c r="G128" s="29"/>
      <ns0:c r="H128" s="29"/>
      <ns0:c r="I128" s="29"/>
      <ns0:c r="J128" s="29"/>
      <ns0:c r="K128" s="29"/>
    </ns0:row>
    <ns0:row r="129" ht="28" customHeight="1">
      <ns0:c r="A129" s="29"/>
      <ns0:c r="B129" s="30"/>
      <ns0:c r="C129" s="28"/>
      <ns0:c r="D129" s="29"/>
      <ns0:c r="E129" s="31"/>
      <ns0:c r="F129" s="32"/>
      <ns0:c r="G129" s="29"/>
      <ns0:c r="H129" s="29"/>
      <ns0:c r="I129" s="29"/>
      <ns0:c r="J129" s="29"/>
      <ns0:c r="K129" s="29"/>
    </ns0:row>
    <ns0:row r="130" ht="28" customHeight="1">
      <ns0:c r="A130" s="29"/>
      <ns0:c r="B130" s="30"/>
      <ns0:c r="C130" s="28"/>
      <ns0:c r="D130" s="29"/>
      <ns0:c r="E130" s="31"/>
      <ns0:c r="F130" s="32"/>
      <ns0:c r="G130" s="29"/>
      <ns0:c r="H130" s="29"/>
      <ns0:c r="I130" s="29"/>
      <ns0:c r="J130" s="29"/>
      <ns0:c r="K130" s="29"/>
    </ns0:row>
    <ns0:row r="131" ht="28" customHeight="1">
      <ns0:c r="A131" s="29"/>
      <ns0:c r="B131" s="30"/>
      <ns0:c r="C131" s="28"/>
      <ns0:c r="D131" s="29"/>
      <ns0:c r="E131" s="31"/>
      <ns0:c r="F131" s="32"/>
      <ns0:c r="G131" s="29"/>
      <ns0:c r="H131" s="29"/>
      <ns0:c r="I131" s="29"/>
      <ns0:c r="J131" s="29"/>
      <ns0:c r="K131" s="29"/>
    </ns0:row>
    <ns0:row r="132" ht="28" customHeight="1">
      <ns0:c r="A132" s="29"/>
      <ns0:c r="B132" s="30"/>
      <ns0:c r="C132" s="28"/>
      <ns0:c r="D132" s="29"/>
      <ns0:c r="E132" s="31"/>
      <ns0:c r="F132" s="32"/>
      <ns0:c r="G132" s="29"/>
      <ns0:c r="H132" s="29"/>
      <ns0:c r="I132" s="29"/>
      <ns0:c r="J132" s="29"/>
      <ns0:c r="K132" s="29"/>
    </ns0:row>
    <ns0:row r="133" ht="28" customHeight="1">
      <ns0:c r="A133" s="29"/>
      <ns0:c r="B133" s="30"/>
      <ns0:c r="C133" s="28"/>
      <ns0:c r="D133" s="29"/>
      <ns0:c r="E133" s="31"/>
      <ns0:c r="F133" s="32"/>
      <ns0:c r="G133" s="29"/>
      <ns0:c r="H133" s="29"/>
      <ns0:c r="I133" s="29"/>
      <ns0:c r="J133" s="29"/>
      <ns0:c r="K133" s="29"/>
    </ns0:row>
    <ns0:row r="134" ht="28" customHeight="1">
      <ns0:c r="A134" s="29"/>
      <ns0:c r="B134" s="30"/>
      <ns0:c r="C134" s="28"/>
      <ns0:c r="D134" s="29"/>
      <ns0:c r="E134" s="31"/>
      <ns0:c r="F134" s="32"/>
      <ns0:c r="G134" s="29"/>
      <ns0:c r="H134" s="29"/>
      <ns0:c r="I134" s="29"/>
      <ns0:c r="J134" s="29"/>
      <ns0:c r="K134" s="29"/>
    </ns0:row>
    <ns0:row r="135" ht="28" customHeight="1">
      <ns0:c r="A135" s="29"/>
      <ns0:c r="B135" s="30"/>
      <ns0:c r="C135" s="28"/>
      <ns0:c r="D135" s="29"/>
      <ns0:c r="E135" s="31"/>
      <ns0:c r="F135" s="32"/>
      <ns0:c r="G135" s="29"/>
      <ns0:c r="H135" s="29"/>
      <ns0:c r="I135" s="29"/>
      <ns0:c r="J135" s="29"/>
      <ns0:c r="K135" s="29"/>
    </ns0:row>
    <ns0:row r="136" ht="28" customHeight="1">
      <ns0:c r="A136" s="29"/>
      <ns0:c r="B136" s="30"/>
      <ns0:c r="C136" s="28"/>
      <ns0:c r="D136" s="29"/>
      <ns0:c r="E136" s="31"/>
      <ns0:c r="F136" s="32"/>
      <ns0:c r="G136" s="29"/>
      <ns0:c r="H136" s="29"/>
      <ns0:c r="I136" s="29"/>
      <ns0:c r="J136" s="29"/>
      <ns0:c r="K136" s="29"/>
    </ns0:row>
    <ns0:row r="137" ht="28" customHeight="1">
      <ns0:c r="A137" s="29"/>
      <ns0:c r="B137" s="30"/>
      <ns0:c r="C137" s="28"/>
      <ns0:c r="D137" s="29"/>
      <ns0:c r="E137" s="31"/>
      <ns0:c r="F137" s="32"/>
      <ns0:c r="G137" s="29"/>
      <ns0:c r="H137" s="29"/>
      <ns0:c r="I137" s="29"/>
      <ns0:c r="J137" s="29"/>
      <ns0:c r="K137" s="29"/>
    </ns0:row>
    <ns0:row r="138" ht="28" customHeight="1">
      <ns0:c r="A138" s="29"/>
      <ns0:c r="B138" s="30"/>
      <ns0:c r="C138" s="28"/>
      <ns0:c r="D138" s="29"/>
      <ns0:c r="E138" s="31"/>
      <ns0:c r="F138" s="32"/>
      <ns0:c r="G138" s="29"/>
      <ns0:c r="H138" s="29"/>
      <ns0:c r="I138" s="29"/>
      <ns0:c r="J138" s="29"/>
      <ns0:c r="K138" s="29"/>
    </ns0:row>
    <ns0:row r="139" ht="28" customHeight="1">
      <ns0:c r="A139" s="29"/>
      <ns0:c r="B139" s="30"/>
      <ns0:c r="C139" s="28"/>
      <ns0:c r="D139" s="29"/>
      <ns0:c r="E139" s="31"/>
      <ns0:c r="F139" s="32"/>
      <ns0:c r="G139" s="29"/>
      <ns0:c r="H139" s="29"/>
      <ns0:c r="I139" s="29"/>
      <ns0:c r="J139" s="29"/>
      <ns0:c r="K139" s="29"/>
    </ns0:row>
    <ns0:row r="140" ht="28" customHeight="1">
      <ns0:c r="A140" s="29"/>
      <ns0:c r="B140" s="30"/>
      <ns0:c r="C140" s="28"/>
      <ns0:c r="D140" s="29"/>
      <ns0:c r="E140" s="31"/>
      <ns0:c r="F140" s="32"/>
      <ns0:c r="G140" s="29"/>
      <ns0:c r="H140" s="29"/>
      <ns0:c r="I140" s="29"/>
      <ns0:c r="J140" s="29"/>
      <ns0:c r="K140" s="29"/>
    </ns0:row>
    <ns0:row r="141" ht="28" customHeight="1">
      <ns0:c r="A141" s="29"/>
      <ns0:c r="B141" s="30"/>
      <ns0:c r="C141" s="28"/>
      <ns0:c r="D141" s="29"/>
      <ns0:c r="E141" s="31"/>
      <ns0:c r="F141" s="32"/>
      <ns0:c r="G141" s="29"/>
      <ns0:c r="H141" s="29"/>
      <ns0:c r="I141" s="29"/>
      <ns0:c r="J141" s="29"/>
      <ns0:c r="K141" s="29"/>
    </ns0:row>
    <ns0:row r="142" ht="28" customHeight="1">
      <ns0:c r="A142" s="29"/>
      <ns0:c r="B142" s="30"/>
      <ns0:c r="C142" s="28"/>
      <ns0:c r="D142" s="29"/>
      <ns0:c r="E142" s="31"/>
      <ns0:c r="F142" s="32"/>
      <ns0:c r="G142" s="29"/>
      <ns0:c r="H142" s="29"/>
      <ns0:c r="I142" s="29"/>
      <ns0:c r="J142" s="29"/>
      <ns0:c r="K142" s="29"/>
    </ns0:row>
    <ns0:row r="143" ht="28" customHeight="1">
      <ns0:c r="A143" s="29"/>
      <ns0:c r="B143" s="30"/>
      <ns0:c r="C143" s="28"/>
      <ns0:c r="D143" s="29"/>
      <ns0:c r="E143" s="31"/>
      <ns0:c r="F143" s="32"/>
      <ns0:c r="G143" s="29"/>
      <ns0:c r="H143" s="29"/>
      <ns0:c r="I143" s="29"/>
      <ns0:c r="J143" s="29"/>
      <ns0:c r="K143" s="29"/>
    </ns0:row>
    <ns0:row r="144" ht="28" customHeight="1">
      <ns0:c r="A144" s="29"/>
      <ns0:c r="B144" s="30"/>
      <ns0:c r="C144" s="28"/>
      <ns0:c r="D144" s="29"/>
      <ns0:c r="E144" s="31"/>
      <ns0:c r="F144" s="32"/>
      <ns0:c r="G144" s="29"/>
      <ns0:c r="H144" s="29"/>
      <ns0:c r="I144" s="29"/>
      <ns0:c r="J144" s="29"/>
      <ns0:c r="K144" s="29"/>
    </ns0:row>
    <ns0:row r="145" ht="28" customHeight="1">
      <ns0:c r="A145" s="29"/>
      <ns0:c r="B145" s="30"/>
      <ns0:c r="C145" s="28"/>
      <ns0:c r="D145" s="29"/>
      <ns0:c r="E145" s="31"/>
      <ns0:c r="F145" s="32"/>
      <ns0:c r="G145" s="29"/>
      <ns0:c r="H145" s="29"/>
      <ns0:c r="I145" s="29"/>
      <ns0:c r="J145" s="29"/>
      <ns0:c r="K145" s="29"/>
    </ns0:row>
    <ns0:row r="146" ht="28" customHeight="1">
      <ns0:c r="A146" s="29"/>
      <ns0:c r="B146" s="30"/>
      <ns0:c r="C146" s="28"/>
      <ns0:c r="D146" s="29"/>
      <ns0:c r="E146" s="31"/>
      <ns0:c r="F146" s="32"/>
      <ns0:c r="G146" s="29"/>
      <ns0:c r="H146" s="29"/>
      <ns0:c r="I146" s="29"/>
      <ns0:c r="J146" s="29"/>
      <ns0:c r="K146" s="29"/>
    </ns0:row>
    <ns0:row r="147" ht="28" customHeight="1">
      <ns0:c r="A147" s="29"/>
      <ns0:c r="B147" s="30"/>
      <ns0:c r="C147" s="28"/>
      <ns0:c r="D147" s="29"/>
      <ns0:c r="E147" s="31"/>
      <ns0:c r="F147" s="32"/>
      <ns0:c r="G147" s="29"/>
      <ns0:c r="H147" s="29"/>
      <ns0:c r="I147" s="29"/>
      <ns0:c r="J147" s="29"/>
      <ns0:c r="K147" s="29"/>
    </ns0:row>
    <ns0:row r="148" ht="28" customHeight="1">
      <ns0:c r="A148" s="29"/>
      <ns0:c r="B148" s="30"/>
      <ns0:c r="C148" s="28"/>
      <ns0:c r="D148" s="29"/>
      <ns0:c r="E148" s="31"/>
      <ns0:c r="F148" s="32"/>
      <ns0:c r="G148" s="29"/>
      <ns0:c r="H148" s="29"/>
      <ns0:c r="I148" s="29"/>
      <ns0:c r="J148" s="29"/>
      <ns0:c r="K148" s="29"/>
    </ns0:row>
    <ns0:row r="149" ht="28" customHeight="1">
      <ns0:c r="A149" s="29"/>
      <ns0:c r="B149" s="30"/>
      <ns0:c r="C149" s="28"/>
      <ns0:c r="D149" s="29"/>
      <ns0:c r="E149" s="31"/>
      <ns0:c r="F149" s="32"/>
      <ns0:c r="G149" s="29"/>
      <ns0:c r="H149" s="29"/>
      <ns0:c r="I149" s="29"/>
      <ns0:c r="J149" s="29"/>
      <ns0:c r="K149" s="29"/>
    </ns0:row>
    <ns0:row r="150" ht="28" customHeight="1">
      <ns0:c r="A150" s="29"/>
      <ns0:c r="B150" s="30"/>
      <ns0:c r="C150" s="28"/>
      <ns0:c r="D150" s="29"/>
      <ns0:c r="E150" s="31"/>
      <ns0:c r="F150" s="32"/>
      <ns0:c r="G150" s="29"/>
      <ns0:c r="H150" s="29"/>
      <ns0:c r="I150" s="29"/>
      <ns0:c r="J150" s="29"/>
      <ns0:c r="K150" s="29"/>
    </ns0:row>
    <ns0:row r="151" ht="28" customHeight="1">
      <ns0:c r="A151" s="29"/>
      <ns0:c r="B151" s="30"/>
      <ns0:c r="C151" s="28"/>
      <ns0:c r="D151" s="29"/>
      <ns0:c r="E151" s="31"/>
      <ns0:c r="F151" s="32"/>
      <ns0:c r="G151" s="29"/>
      <ns0:c r="H151" s="29"/>
      <ns0:c r="I151" s="29"/>
      <ns0:c r="J151" s="29"/>
      <ns0:c r="K151" s="29"/>
    </ns0:row>
    <ns0:row r="152" ht="28" customHeight="1">
      <ns0:c r="A152" s="29"/>
      <ns0:c r="B152" s="30"/>
      <ns0:c r="C152" s="28"/>
      <ns0:c r="D152" s="29"/>
      <ns0:c r="E152" s="31"/>
      <ns0:c r="F152" s="32"/>
      <ns0:c r="G152" s="29"/>
      <ns0:c r="H152" s="29"/>
      <ns0:c r="I152" s="29"/>
      <ns0:c r="J152" s="29"/>
      <ns0:c r="K152" s="29"/>
    </ns0:row>
    <ns0:row r="153" ht="28" customHeight="1">
      <ns0:c r="A153" s="29"/>
      <ns0:c r="B153" s="30"/>
      <ns0:c r="C153" s="28"/>
      <ns0:c r="D153" s="29"/>
      <ns0:c r="E153" s="31"/>
      <ns0:c r="F153" s="32"/>
      <ns0:c r="G153" s="29"/>
      <ns0:c r="H153" s="29"/>
      <ns0:c r="I153" s="29"/>
      <ns0:c r="J153" s="29"/>
      <ns0:c r="K153" s="29"/>
    </ns0:row>
    <ns0:row r="154" ht="28" customHeight="1">
      <ns0:c r="A154" s="29"/>
      <ns0:c r="B154" s="30"/>
      <ns0:c r="C154" s="28"/>
      <ns0:c r="D154" s="29"/>
      <ns0:c r="E154" s="31"/>
      <ns0:c r="F154" s="32"/>
      <ns0:c r="G154" s="29"/>
      <ns0:c r="H154" s="29"/>
      <ns0:c r="I154" s="29"/>
      <ns0:c r="J154" s="29"/>
      <ns0:c r="K154" s="29"/>
    </ns0:row>
    <ns0:row r="155" ht="28" customHeight="1">
      <ns0:c r="A155" s="29"/>
      <ns0:c r="B155" s="30"/>
      <ns0:c r="C155" s="28"/>
      <ns0:c r="D155" s="29"/>
      <ns0:c r="E155" s="31"/>
      <ns0:c r="F155" s="32"/>
      <ns0:c r="G155" s="29"/>
      <ns0:c r="H155" s="29"/>
      <ns0:c r="I155" s="29"/>
      <ns0:c r="J155" s="29"/>
      <ns0:c r="K155" s="29"/>
    </ns0:row>
    <ns0:row r="156" ht="28" customHeight="1">
      <ns0:c r="A156" s="29"/>
      <ns0:c r="B156" s="30"/>
      <ns0:c r="C156" s="28"/>
      <ns0:c r="D156" s="29"/>
      <ns0:c r="E156" s="31"/>
      <ns0:c r="F156" s="32"/>
      <ns0:c r="G156" s="29"/>
      <ns0:c r="H156" s="29"/>
      <ns0:c r="I156" s="29"/>
      <ns0:c r="J156" s="29"/>
      <ns0:c r="K156" s="29"/>
    </ns0:row>
    <ns0:row r="157" ht="28" customHeight="1">
      <ns0:c r="A157" s="29"/>
      <ns0:c r="B157" s="30"/>
      <ns0:c r="C157" s="28"/>
      <ns0:c r="D157" s="29"/>
      <ns0:c r="E157" s="31"/>
      <ns0:c r="F157" s="32"/>
      <ns0:c r="G157" s="29"/>
      <ns0:c r="H157" s="29"/>
      <ns0:c r="I157" s="29"/>
      <ns0:c r="J157" s="29"/>
      <ns0:c r="K157" s="29"/>
    </ns0:row>
    <ns0:row r="158" ht="28" customHeight="1">
      <ns0:c r="A158" s="29"/>
      <ns0:c r="B158" s="30"/>
      <ns0:c r="C158" s="28"/>
      <ns0:c r="D158" s="29"/>
      <ns0:c r="E158" s="31"/>
      <ns0:c r="F158" s="32"/>
      <ns0:c r="G158" s="29"/>
      <ns0:c r="H158" s="29"/>
      <ns0:c r="I158" s="29"/>
      <ns0:c r="J158" s="29"/>
      <ns0:c r="K158" s="29"/>
    </ns0:row>
    <ns0:row r="159" ht="28" customHeight="1">
      <ns0:c r="A159" s="29"/>
      <ns0:c r="B159" s="30"/>
      <ns0:c r="C159" s="28"/>
      <ns0:c r="D159" s="29"/>
      <ns0:c r="E159" s="31"/>
      <ns0:c r="F159" s="32"/>
      <ns0:c r="G159" s="29"/>
      <ns0:c r="H159" s="29"/>
      <ns0:c r="I159" s="29"/>
      <ns0:c r="J159" s="29"/>
      <ns0:c r="K159" s="29"/>
    </ns0:row>
    <ns0:row r="160" ht="28" customHeight="1">
      <ns0:c r="A160" s="29"/>
      <ns0:c r="B160" s="30"/>
      <ns0:c r="C160" s="28"/>
      <ns0:c r="D160" s="29"/>
      <ns0:c r="E160" s="31"/>
      <ns0:c r="F160" s="32"/>
      <ns0:c r="G160" s="29"/>
      <ns0:c r="H160" s="29"/>
      <ns0:c r="I160" s="29"/>
      <ns0:c r="J160" s="29"/>
      <ns0:c r="K160" s="29"/>
    </ns0:row>
    <ns0:row r="161" ht="28" customHeight="1">
      <ns0:c r="A161" s="29"/>
      <ns0:c r="B161" s="30"/>
      <ns0:c r="C161" s="28"/>
      <ns0:c r="D161" s="29"/>
      <ns0:c r="E161" s="31"/>
      <ns0:c r="F161" s="32"/>
      <ns0:c r="G161" s="29"/>
      <ns0:c r="H161" s="29"/>
      <ns0:c r="I161" s="29"/>
      <ns0:c r="J161" s="29"/>
      <ns0:c r="K161" s="29"/>
    </ns0:row>
    <ns0:row r="162" ht="28" customHeight="1">
      <ns0:c r="A162" s="29"/>
      <ns0:c r="B162" s="30"/>
      <ns0:c r="C162" s="28"/>
      <ns0:c r="D162" s="29"/>
      <ns0:c r="E162" s="31"/>
      <ns0:c r="F162" s="32"/>
      <ns0:c r="G162" s="29"/>
      <ns0:c r="H162" s="29"/>
      <ns0:c r="I162" s="29"/>
      <ns0:c r="J162" s="29"/>
      <ns0:c r="K162" s="29"/>
    </ns0:row>
    <ns0:row r="163" ht="28" customHeight="1">
      <ns0:c r="A163" s="29"/>
      <ns0:c r="B163" s="30"/>
      <ns0:c r="C163" s="28"/>
      <ns0:c r="D163" s="29"/>
      <ns0:c r="E163" s="31"/>
      <ns0:c r="F163" s="32"/>
      <ns0:c r="G163" s="29"/>
      <ns0:c r="H163" s="29"/>
      <ns0:c r="I163" s="29"/>
      <ns0:c r="J163" s="29"/>
      <ns0:c r="K163" s="29"/>
    </ns0:row>
    <ns0:row r="164" ht="28" customHeight="1">
      <ns0:c r="A164" s="29"/>
      <ns0:c r="B164" s="30"/>
      <ns0:c r="C164" s="28"/>
      <ns0:c r="D164" s="29"/>
      <ns0:c r="E164" s="31"/>
      <ns0:c r="F164" s="32"/>
      <ns0:c r="G164" s="29"/>
      <ns0:c r="H164" s="29"/>
      <ns0:c r="I164" s="29"/>
      <ns0:c r="J164" s="29"/>
      <ns0:c r="K164" s="29"/>
    </ns0:row>
    <ns0:row r="165" ht="28" customHeight="1">
      <ns0:c r="A165" s="29"/>
      <ns0:c r="B165" s="30"/>
      <ns0:c r="C165" s="28"/>
      <ns0:c r="D165" s="29"/>
      <ns0:c r="E165" s="31"/>
      <ns0:c r="F165" s="32"/>
      <ns0:c r="G165" s="29"/>
      <ns0:c r="H165" s="29"/>
      <ns0:c r="I165" s="29"/>
      <ns0:c r="J165" s="29"/>
      <ns0:c r="K165" s="29"/>
    </ns0:row>
    <ns0:row r="166" ht="28" customHeight="1">
      <ns0:c r="A166" s="29"/>
      <ns0:c r="B166" s="30"/>
      <ns0:c r="C166" s="28"/>
      <ns0:c r="D166" s="29"/>
      <ns0:c r="E166" s="31"/>
      <ns0:c r="F166" s="32"/>
      <ns0:c r="G166" s="29"/>
      <ns0:c r="H166" s="29"/>
      <ns0:c r="I166" s="29"/>
      <ns0:c r="J166" s="29"/>
      <ns0:c r="K166" s="29"/>
    </ns0:row>
    <ns0:row r="167" ht="28" customHeight="1">
      <ns0:c r="A167" s="29"/>
      <ns0:c r="B167" s="30"/>
      <ns0:c r="C167" s="28"/>
      <ns0:c r="D167" s="29"/>
      <ns0:c r="E167" s="31"/>
      <ns0:c r="F167" s="32"/>
      <ns0:c r="G167" s="29"/>
      <ns0:c r="H167" s="29"/>
      <ns0:c r="I167" s="29"/>
      <ns0:c r="J167" s="29"/>
      <ns0:c r="K167" s="29"/>
    </ns0:row>
    <ns0:row r="168" ht="28" customHeight="1">
      <ns0:c r="A168" s="29"/>
      <ns0:c r="B168" s="30"/>
      <ns0:c r="C168" s="28"/>
      <ns0:c r="D168" s="29"/>
      <ns0:c r="E168" s="31"/>
      <ns0:c r="F168" s="32"/>
      <ns0:c r="G168" s="29"/>
      <ns0:c r="H168" s="29"/>
      <ns0:c r="I168" s="29"/>
      <ns0:c r="J168" s="29"/>
      <ns0:c r="K168" s="29"/>
    </ns0:row>
    <ns0:row r="169" ht="28" customHeight="1">
      <ns0:c r="A169" s="29"/>
      <ns0:c r="B169" s="30"/>
      <ns0:c r="C169" s="28"/>
      <ns0:c r="D169" s="29"/>
      <ns0:c r="E169" s="31"/>
      <ns0:c r="F169" s="32"/>
      <ns0:c r="G169" s="29"/>
      <ns0:c r="H169" s="29"/>
      <ns0:c r="I169" s="29"/>
      <ns0:c r="J169" s="29"/>
      <ns0:c r="K169" s="29"/>
    </ns0:row>
    <ns0:row r="170" ht="28" customHeight="1">
      <ns0:c r="A170" s="29"/>
      <ns0:c r="B170" s="30"/>
      <ns0:c r="C170" s="28"/>
      <ns0:c r="D170" s="29"/>
      <ns0:c r="E170" s="31"/>
      <ns0:c r="F170" s="32"/>
      <ns0:c r="G170" s="29"/>
      <ns0:c r="H170" s="29"/>
      <ns0:c r="I170" s="29"/>
      <ns0:c r="J170" s="29"/>
      <ns0:c r="K170" s="29"/>
    </ns0:row>
    <ns0:row r="171" ht="28" customHeight="1">
      <ns0:c r="A171" s="29"/>
      <ns0:c r="B171" s="30"/>
      <ns0:c r="C171" s="28"/>
      <ns0:c r="D171" s="29"/>
      <ns0:c r="E171" s="31"/>
      <ns0:c r="F171" s="32"/>
      <ns0:c r="G171" s="29"/>
      <ns0:c r="H171" s="29"/>
      <ns0:c r="I171" s="29"/>
      <ns0:c r="J171" s="29"/>
      <ns0:c r="K171" s="29"/>
    </ns0:row>
    <ns0:row r="172" ht="28" customHeight="1">
      <ns0:c r="A172" s="29"/>
      <ns0:c r="B172" s="30"/>
      <ns0:c r="C172" s="28"/>
      <ns0:c r="D172" s="29"/>
      <ns0:c r="E172" s="31"/>
      <ns0:c r="F172" s="32"/>
      <ns0:c r="G172" s="29"/>
      <ns0:c r="H172" s="29"/>
      <ns0:c r="I172" s="29"/>
      <ns0:c r="J172" s="29"/>
      <ns0:c r="K172" s="29"/>
    </ns0:row>
    <ns0:row r="173" ht="28" customHeight="1">
      <ns0:c r="A173" s="29"/>
      <ns0:c r="B173" s="30"/>
      <ns0:c r="C173" s="28"/>
      <ns0:c r="D173" s="29"/>
      <ns0:c r="E173" s="31"/>
      <ns0:c r="F173" s="32"/>
      <ns0:c r="G173" s="29"/>
      <ns0:c r="H173" s="29"/>
      <ns0:c r="I173" s="29"/>
      <ns0:c r="J173" s="29"/>
      <ns0:c r="K173" s="29"/>
    </ns0:row>
    <ns0:row r="174" ht="28" customHeight="1">
      <ns0:c r="A174" s="29"/>
      <ns0:c r="B174" s="30"/>
      <ns0:c r="C174" s="28"/>
      <ns0:c r="D174" s="29"/>
      <ns0:c r="E174" s="31"/>
      <ns0:c r="F174" s="32"/>
      <ns0:c r="G174" s="29"/>
      <ns0:c r="H174" s="29"/>
      <ns0:c r="I174" s="29"/>
      <ns0:c r="J174" s="29"/>
      <ns0:c r="K174" s="29"/>
    </ns0:row>
    <ns0:row r="175" ht="28" customHeight="1">
      <ns0:c r="A175" s="29"/>
      <ns0:c r="B175" s="30"/>
      <ns0:c r="C175" s="28"/>
      <ns0:c r="D175" s="29"/>
      <ns0:c r="E175" s="31"/>
      <ns0:c r="F175" s="32"/>
      <ns0:c r="G175" s="29"/>
      <ns0:c r="H175" s="29"/>
      <ns0:c r="I175" s="29"/>
      <ns0:c r="J175" s="29"/>
      <ns0:c r="K175" s="29"/>
    </ns0:row>
    <ns0:row r="176" ht="28" customHeight="1">
      <ns0:c r="A176" s="29"/>
      <ns0:c r="B176" s="30"/>
      <ns0:c r="C176" s="28"/>
      <ns0:c r="D176" s="29"/>
      <ns0:c r="E176" s="31"/>
      <ns0:c r="F176" s="32"/>
      <ns0:c r="G176" s="29"/>
      <ns0:c r="H176" s="29"/>
      <ns0:c r="I176" s="29"/>
      <ns0:c r="J176" s="29"/>
      <ns0:c r="K176" s="29"/>
    </ns0:row>
    <ns0:row r="177" ht="28" customHeight="1">
      <ns0:c r="A177" s="29"/>
      <ns0:c r="B177" s="30"/>
      <ns0:c r="C177" s="28"/>
      <ns0:c r="D177" s="29"/>
      <ns0:c r="E177" s="31"/>
      <ns0:c r="F177" s="32"/>
      <ns0:c r="G177" s="29"/>
      <ns0:c r="H177" s="29"/>
      <ns0:c r="I177" s="29"/>
      <ns0:c r="J177" s="29"/>
      <ns0:c r="K177" s="29"/>
    </ns0:row>
    <ns0:row r="178" ht="28" customHeight="1">
      <ns0:c r="A178" s="29"/>
      <ns0:c r="B178" s="30"/>
      <ns0:c r="C178" s="28"/>
      <ns0:c r="D178" s="29"/>
      <ns0:c r="E178" s="31"/>
      <ns0:c r="F178" s="32"/>
      <ns0:c r="G178" s="29"/>
      <ns0:c r="H178" s="29"/>
      <ns0:c r="I178" s="29"/>
      <ns0:c r="J178" s="29"/>
      <ns0:c r="K178" s="29"/>
    </ns0:row>
    <ns0:row r="179" ht="28" customHeight="1">
      <ns0:c r="A179" s="29"/>
      <ns0:c r="B179" s="30"/>
      <ns0:c r="C179" s="28"/>
      <ns0:c r="D179" s="29"/>
      <ns0:c r="E179" s="31"/>
      <ns0:c r="F179" s="32"/>
      <ns0:c r="G179" s="29"/>
      <ns0:c r="H179" s="29"/>
      <ns0:c r="I179" s="29"/>
      <ns0:c r="J179" s="29"/>
      <ns0:c r="K179" s="29"/>
    </ns0:row>
    <ns0:row r="180" ht="28" customHeight="1">
      <ns0:c r="A180" s="29"/>
      <ns0:c r="B180" s="30"/>
      <ns0:c r="C180" s="28"/>
      <ns0:c r="D180" s="29"/>
      <ns0:c r="E180" s="31"/>
      <ns0:c r="F180" s="32"/>
      <ns0:c r="G180" s="29"/>
      <ns0:c r="H180" s="29"/>
      <ns0:c r="I180" s="29"/>
      <ns0:c r="J180" s="29"/>
      <ns0:c r="K180" s="29"/>
    </ns0:row>
    <ns0:row r="181" ht="28" customHeight="1">
      <ns0:c r="A181" s="29"/>
      <ns0:c r="B181" s="30"/>
      <ns0:c r="C181" s="28"/>
      <ns0:c r="D181" s="29"/>
      <ns0:c r="E181" s="31"/>
      <ns0:c r="F181" s="32"/>
      <ns0:c r="G181" s="29"/>
      <ns0:c r="H181" s="29"/>
      <ns0:c r="I181" s="29"/>
      <ns0:c r="J181" s="29"/>
      <ns0:c r="K181" s="29"/>
    </ns0:row>
    <ns0:row r="182" ht="28" customHeight="1">
      <ns0:c r="A182" s="29"/>
      <ns0:c r="B182" s="30"/>
      <ns0:c r="C182" s="28"/>
      <ns0:c r="D182" s="29"/>
      <ns0:c r="E182" s="31"/>
      <ns0:c r="F182" s="32"/>
      <ns0:c r="G182" s="29"/>
      <ns0:c r="H182" s="29"/>
      <ns0:c r="I182" s="29"/>
      <ns0:c r="J182" s="29"/>
      <ns0:c r="K182" s="29"/>
    </ns0:row>
    <ns0:row r="183" ht="28" customHeight="1">
      <ns0:c r="A183" s="29"/>
      <ns0:c r="B183" s="30"/>
      <ns0:c r="C183" s="28"/>
      <ns0:c r="D183" s="29"/>
      <ns0:c r="E183" s="31"/>
      <ns0:c r="F183" s="32"/>
      <ns0:c r="G183" s="29"/>
      <ns0:c r="H183" s="29"/>
      <ns0:c r="I183" s="29"/>
      <ns0:c r="J183" s="29"/>
      <ns0:c r="K183" s="29"/>
    </ns0:row>
    <ns0:row r="184" ht="28" customHeight="1">
      <ns0:c r="A184" s="29"/>
      <ns0:c r="B184" s="30"/>
      <ns0:c r="C184" s="28"/>
      <ns0:c r="D184" s="29"/>
      <ns0:c r="E184" s="31"/>
      <ns0:c r="F184" s="32"/>
      <ns0:c r="G184" s="29"/>
      <ns0:c r="H184" s="29"/>
      <ns0:c r="I184" s="29"/>
      <ns0:c r="J184" s="29"/>
      <ns0:c r="K184" s="29"/>
    </ns0:row>
    <ns0:row r="185" ht="28" customHeight="1">
      <ns0:c r="A185" s="29"/>
      <ns0:c r="B185" s="30"/>
      <ns0:c r="C185" s="28"/>
      <ns0:c r="D185" s="29"/>
      <ns0:c r="E185" s="31"/>
      <ns0:c r="F185" s="32"/>
      <ns0:c r="G185" s="29"/>
      <ns0:c r="H185" s="29"/>
      <ns0:c r="I185" s="29"/>
      <ns0:c r="J185" s="29"/>
      <ns0:c r="K185" s="29"/>
    </ns0:row>
    <ns0:row r="186" ht="28" customHeight="1">
      <ns0:c r="A186" s="29"/>
      <ns0:c r="B186" s="30"/>
      <ns0:c r="C186" s="28"/>
      <ns0:c r="D186" s="29"/>
      <ns0:c r="E186" s="31"/>
      <ns0:c r="F186" s="32"/>
      <ns0:c r="G186" s="29"/>
      <ns0:c r="H186" s="29"/>
      <ns0:c r="I186" s="29"/>
      <ns0:c r="J186" s="29"/>
      <ns0:c r="K186" s="29"/>
    </ns0:row>
    <ns0:row r="187" ht="28" customHeight="1">
      <ns0:c r="A187" s="29"/>
      <ns0:c r="B187" s="30"/>
      <ns0:c r="C187" s="28"/>
      <ns0:c r="D187" s="29"/>
      <ns0:c r="E187" s="31"/>
      <ns0:c r="F187" s="32"/>
      <ns0:c r="G187" s="29"/>
      <ns0:c r="H187" s="29"/>
      <ns0:c r="I187" s="29"/>
      <ns0:c r="J187" s="29"/>
      <ns0:c r="K187" s="29"/>
    </ns0:row>
    <ns0:row r="188" ht="28" customHeight="1">
      <ns0:c r="A188" s="29"/>
      <ns0:c r="B188" s="30"/>
      <ns0:c r="C188" s="28"/>
      <ns0:c r="D188" s="29"/>
      <ns0:c r="E188" s="31"/>
      <ns0:c r="F188" s="32"/>
      <ns0:c r="G188" s="29"/>
      <ns0:c r="H188" s="29"/>
      <ns0:c r="I188" s="29"/>
      <ns0:c r="J188" s="29"/>
      <ns0:c r="K188" s="29"/>
    </ns0:row>
    <ns0:row r="189" ht="28" customHeight="1">
      <ns0:c r="A189" s="29"/>
      <ns0:c r="B189" s="30"/>
      <ns0:c r="C189" s="28"/>
      <ns0:c r="D189" s="29"/>
      <ns0:c r="E189" s="31"/>
      <ns0:c r="F189" s="32"/>
      <ns0:c r="G189" s="29"/>
      <ns0:c r="H189" s="29"/>
      <ns0:c r="I189" s="29"/>
      <ns0:c r="J189" s="29"/>
      <ns0:c r="K189" s="29"/>
    </ns0:row>
    <ns0:row r="190" ht="28" customHeight="1">
      <ns0:c r="A190" s="29"/>
      <ns0:c r="B190" s="30"/>
      <ns0:c r="C190" s="28"/>
      <ns0:c r="D190" s="29"/>
      <ns0:c r="E190" s="31"/>
      <ns0:c r="F190" s="32"/>
      <ns0:c r="G190" s="29"/>
      <ns0:c r="H190" s="29"/>
      <ns0:c r="I190" s="29"/>
      <ns0:c r="J190" s="29"/>
      <ns0:c r="K190" s="29"/>
    </ns0:row>
    <ns0:row r="191" ht="28" customHeight="1">
      <ns0:c r="A191" s="29"/>
      <ns0:c r="B191" s="30"/>
      <ns0:c r="C191" s="28"/>
      <ns0:c r="D191" s="29"/>
      <ns0:c r="E191" s="31"/>
      <ns0:c r="F191" s="32"/>
      <ns0:c r="G191" s="29"/>
      <ns0:c r="H191" s="29"/>
      <ns0:c r="I191" s="29"/>
      <ns0:c r="J191" s="29"/>
      <ns0:c r="K191" s="29"/>
    </ns0:row>
    <ns0:row r="192" ht="28" customHeight="1">
      <ns0:c r="A192" s="29"/>
      <ns0:c r="B192" s="30"/>
      <ns0:c r="C192" s="28"/>
      <ns0:c r="D192" s="29"/>
      <ns0:c r="E192" s="31"/>
      <ns0:c r="F192" s="32"/>
      <ns0:c r="G192" s="29"/>
      <ns0:c r="H192" s="29"/>
      <ns0:c r="I192" s="29"/>
      <ns0:c r="J192" s="29"/>
      <ns0:c r="K192" s="29"/>
    </ns0:row>
    <ns0:row r="193" ht="28" customHeight="1">
      <ns0:c r="A193" s="29"/>
      <ns0:c r="B193" s="30"/>
      <ns0:c r="C193" s="28"/>
      <ns0:c r="D193" s="29"/>
      <ns0:c r="E193" s="31"/>
      <ns0:c r="F193" s="32"/>
      <ns0:c r="G193" s="29"/>
      <ns0:c r="H193" s="29"/>
      <ns0:c r="I193" s="29"/>
      <ns0:c r="J193" s="29"/>
      <ns0:c r="K193" s="29"/>
    </ns0:row>
    <ns0:row r="194" ht="28" customHeight="1">
      <ns0:c r="A194" s="29"/>
      <ns0:c r="B194" s="30"/>
      <ns0:c r="C194" s="28"/>
      <ns0:c r="D194" s="29"/>
      <ns0:c r="E194" s="31"/>
      <ns0:c r="F194" s="32"/>
      <ns0:c r="G194" s="29"/>
      <ns0:c r="H194" s="29"/>
      <ns0:c r="I194" s="29"/>
      <ns0:c r="J194" s="29"/>
      <ns0:c r="K194" s="29"/>
    </ns0:row>
    <ns0:row r="195" ht="28" customHeight="1">
      <ns0:c r="A195" s="29"/>
      <ns0:c r="B195" s="30"/>
      <ns0:c r="C195" s="28"/>
      <ns0:c r="D195" s="29"/>
      <ns0:c r="E195" s="31"/>
      <ns0:c r="F195" s="32"/>
      <ns0:c r="G195" s="29"/>
      <ns0:c r="H195" s="29"/>
      <ns0:c r="I195" s="29"/>
      <ns0:c r="J195" s="29"/>
      <ns0:c r="K195" s="29"/>
    </ns0:row>
    <ns0:row r="196" ht="28" customHeight="1">
      <ns0:c r="A196" s="29"/>
      <ns0:c r="B196" s="30"/>
      <ns0:c r="C196" s="28"/>
      <ns0:c r="D196" s="29"/>
      <ns0:c r="E196" s="31"/>
      <ns0:c r="F196" s="32"/>
      <ns0:c r="G196" s="29"/>
      <ns0:c r="H196" s="29"/>
      <ns0:c r="I196" s="29"/>
      <ns0:c r="J196" s="29"/>
      <ns0:c r="K196" s="29"/>
    </ns0:row>
    <ns0:row r="197" ht="28" customHeight="1">
      <ns0:c r="A197" s="29"/>
      <ns0:c r="B197" s="30"/>
      <ns0:c r="C197" s="28"/>
      <ns0:c r="D197" s="29"/>
      <ns0:c r="E197" s="31"/>
      <ns0:c r="F197" s="32"/>
      <ns0:c r="G197" s="29"/>
      <ns0:c r="H197" s="29"/>
      <ns0:c r="I197" s="29"/>
      <ns0:c r="J197" s="29"/>
      <ns0:c r="K197" s="29"/>
    </ns0:row>
    <ns0:row r="198" ht="28" customHeight="1">
      <ns0:c r="A198" s="29"/>
      <ns0:c r="B198" s="30"/>
      <ns0:c r="C198" s="28"/>
      <ns0:c r="D198" s="29"/>
      <ns0:c r="E198" s="31"/>
      <ns0:c r="F198" s="32"/>
      <ns0:c r="G198" s="29"/>
      <ns0:c r="H198" s="29"/>
      <ns0:c r="I198" s="29"/>
      <ns0:c r="J198" s="29"/>
      <ns0:c r="K198" s="29"/>
    </ns0:row>
    <ns0:row r="199" ht="28" customHeight="1">
      <ns0:c r="A199" s="29"/>
      <ns0:c r="B199" s="30"/>
      <ns0:c r="C199" s="28"/>
      <ns0:c r="D199" s="29"/>
      <ns0:c r="E199" s="31"/>
      <ns0:c r="F199" s="32"/>
      <ns0:c r="G199" s="29"/>
      <ns0:c r="H199" s="29"/>
      <ns0:c r="I199" s="29"/>
      <ns0:c r="J199" s="29"/>
      <ns0:c r="K199" s="29"/>
    </ns0:row>
    <ns0:row r="200" ht="28" customHeight="1">
      <ns0:c r="A200" s="29"/>
      <ns0:c r="B200" s="30"/>
      <ns0:c r="C200" s="28"/>
      <ns0:c r="D200" s="29"/>
      <ns0:c r="E200" s="31"/>
      <ns0:c r="F200" s="32"/>
      <ns0:c r="G200" s="29"/>
      <ns0:c r="H200" s="29"/>
      <ns0:c r="I200" s="29"/>
      <ns0:c r="J200" s="29"/>
      <ns0:c r="K200" s="29"/>
    </ns0:row>
    <ns0:row r="201" ht="28" customHeight="1">
      <ns0:c r="A201" s="29"/>
      <ns0:c r="B201" s="30"/>
      <ns0:c r="C201" s="28"/>
      <ns0:c r="D201" s="29"/>
      <ns0:c r="E201" s="31"/>
      <ns0:c r="F201" s="32"/>
      <ns0:c r="G201" s="29"/>
      <ns0:c r="H201" s="29"/>
      <ns0:c r="I201" s="29"/>
      <ns0:c r="J201" s="29"/>
      <ns0:c r="K201" s="29"/>
    </ns0:row>
    <ns0:row r="202" ht="28" customHeight="1">
      <ns0:c r="A202" s="29"/>
      <ns0:c r="B202" s="30"/>
      <ns0:c r="C202" s="28"/>
      <ns0:c r="D202" s="29"/>
      <ns0:c r="E202" s="31"/>
      <ns0:c r="F202" s="32"/>
      <ns0:c r="G202" s="29"/>
      <ns0:c r="H202" s="29"/>
      <ns0:c r="I202" s="29"/>
      <ns0:c r="J202" s="29"/>
      <ns0:c r="K202" s="29"/>
    </ns0:row>
    <ns0:row r="203" ht="28" customHeight="1">
      <ns0:c r="A203" s="29"/>
      <ns0:c r="B203" s="30"/>
      <ns0:c r="C203" s="28"/>
      <ns0:c r="D203" s="29"/>
      <ns0:c r="E203" s="31"/>
      <ns0:c r="F203" s="32"/>
      <ns0:c r="G203" s="29"/>
      <ns0:c r="H203" s="29"/>
      <ns0:c r="I203" s="29"/>
      <ns0:c r="J203" s="29"/>
      <ns0:c r="K203" s="29"/>
    </ns0:row>
    <ns0:row r="204" ht="28" customHeight="1">
      <ns0:c r="A204" s="29"/>
      <ns0:c r="B204" s="30"/>
      <ns0:c r="C204" s="28"/>
      <ns0:c r="D204" s="29"/>
      <ns0:c r="E204" s="31"/>
      <ns0:c r="F204" s="32"/>
      <ns0:c r="G204" s="29"/>
      <ns0:c r="H204" s="29"/>
      <ns0:c r="I204" s="29"/>
      <ns0:c r="J204" s="29"/>
      <ns0:c r="K204" s="29"/>
    </ns0:row>
    <ns0:row r="205" ht="28" customHeight="1">
      <ns0:c r="A205" s="29"/>
      <ns0:c r="B205" s="30"/>
      <ns0:c r="C205" s="28"/>
      <ns0:c r="D205" s="29"/>
      <ns0:c r="E205" s="31"/>
      <ns0:c r="F205" s="32"/>
      <ns0:c r="G205" s="29"/>
      <ns0:c r="H205" s="29"/>
      <ns0:c r="I205" s="29"/>
      <ns0:c r="J205" s="29"/>
      <ns0:c r="K205" s="29"/>
    </ns0:row>
    <ns0:row r="206" ht="28" customHeight="1">
      <ns0:c r="A206" s="29"/>
      <ns0:c r="B206" s="30"/>
      <ns0:c r="C206" s="28"/>
      <ns0:c r="D206" s="29"/>
      <ns0:c r="E206" s="31"/>
      <ns0:c r="F206" s="32"/>
      <ns0:c r="G206" s="29"/>
      <ns0:c r="H206" s="29"/>
      <ns0:c r="I206" s="29"/>
      <ns0:c r="J206" s="29"/>
      <ns0:c r="K206" s="29"/>
    </ns0:row>
    <ns0:row r="207" ht="28" customHeight="1">
      <ns0:c r="A207" s="29"/>
      <ns0:c r="B207" s="30"/>
      <ns0:c r="C207" s="28"/>
      <ns0:c r="D207" s="29"/>
      <ns0:c r="E207" s="31"/>
      <ns0:c r="F207" s="32"/>
      <ns0:c r="G207" s="29"/>
      <ns0:c r="H207" s="29"/>
      <ns0:c r="I207" s="29"/>
      <ns0:c r="J207" s="29"/>
      <ns0:c r="K207" s="29"/>
    </ns0:row>
    <ns0:row r="208" ht="28" customHeight="1">
      <ns0:c r="A208" s="29"/>
      <ns0:c r="B208" s="30"/>
      <ns0:c r="C208" s="28"/>
      <ns0:c r="D208" s="29"/>
      <ns0:c r="E208" s="31"/>
      <ns0:c r="F208" s="32"/>
      <ns0:c r="G208" s="29"/>
      <ns0:c r="H208" s="29"/>
      <ns0:c r="I208" s="29"/>
      <ns0:c r="J208" s="29"/>
      <ns0:c r="K208" s="29"/>
    </ns0:row>
    <ns0:row r="209" ht="28" customHeight="1">
      <ns0:c r="A209" s="29"/>
      <ns0:c r="B209" s="30"/>
      <ns0:c r="C209" s="28"/>
      <ns0:c r="D209" s="29"/>
      <ns0:c r="E209" s="31"/>
      <ns0:c r="F209" s="32"/>
      <ns0:c r="G209" s="29"/>
      <ns0:c r="H209" s="29"/>
      <ns0:c r="I209" s="29"/>
      <ns0:c r="J209" s="29"/>
      <ns0:c r="K209" s="29"/>
    </ns0:row>
    <ns0:row r="210" ht="28" customHeight="1">
      <ns0:c r="A210" s="29"/>
      <ns0:c r="B210" s="30"/>
      <ns0:c r="C210" s="28"/>
      <ns0:c r="D210" s="29"/>
      <ns0:c r="E210" s="31"/>
      <ns0:c r="F210" s="32"/>
      <ns0:c r="G210" s="29"/>
      <ns0:c r="H210" s="29"/>
      <ns0:c r="I210" s="29"/>
      <ns0:c r="J210" s="29"/>
      <ns0:c r="K210" s="29"/>
    </ns0:row>
    <ns0:row r="211" ht="28" customHeight="1">
      <ns0:c r="A211" s="29"/>
      <ns0:c r="B211" s="30"/>
      <ns0:c r="C211" s="28"/>
      <ns0:c r="D211" s="29"/>
      <ns0:c r="E211" s="31"/>
      <ns0:c r="F211" s="32"/>
      <ns0:c r="G211" s="29"/>
      <ns0:c r="H211" s="29"/>
      <ns0:c r="I211" s="29"/>
      <ns0:c r="J211" s="29"/>
      <ns0:c r="K211" s="29"/>
    </ns0:row>
    <ns0:row r="212" ht="28" customHeight="1">
      <ns0:c r="A212" s="29"/>
      <ns0:c r="B212" s="30"/>
      <ns0:c r="C212" s="28"/>
      <ns0:c r="D212" s="29"/>
      <ns0:c r="E212" s="31"/>
      <ns0:c r="F212" s="32"/>
      <ns0:c r="G212" s="29"/>
      <ns0:c r="H212" s="29"/>
      <ns0:c r="I212" s="29"/>
      <ns0:c r="J212" s="29"/>
      <ns0:c r="K212" s="29"/>
    </ns0:row>
    <ns0:row r="213" ht="28" customHeight="1">
      <ns0:c r="A213" s="29"/>
      <ns0:c r="B213" s="30"/>
      <ns0:c r="C213" s="28"/>
      <ns0:c r="D213" s="29"/>
      <ns0:c r="E213" s="31"/>
      <ns0:c r="F213" s="32"/>
      <ns0:c r="G213" s="29"/>
      <ns0:c r="H213" s="29"/>
      <ns0:c r="I213" s="29"/>
      <ns0:c r="J213" s="29"/>
      <ns0:c r="K213" s="29"/>
    </ns0:row>
    <ns0:row r="214" ht="28" customHeight="1">
      <ns0:c r="A214" s="29"/>
      <ns0:c r="B214" s="30"/>
      <ns0:c r="C214" s="28"/>
      <ns0:c r="D214" s="29"/>
      <ns0:c r="E214" s="31"/>
      <ns0:c r="F214" s="32"/>
      <ns0:c r="G214" s="29"/>
      <ns0:c r="H214" s="29"/>
      <ns0:c r="I214" s="29"/>
      <ns0:c r="J214" s="29"/>
      <ns0:c r="K214" s="29"/>
    </ns0:row>
    <ns0:row r="215" ht="28" customHeight="1">
      <ns0:c r="A215" s="29"/>
      <ns0:c r="B215" s="30"/>
      <ns0:c r="C215" s="28"/>
      <ns0:c r="D215" s="29"/>
      <ns0:c r="E215" s="31"/>
      <ns0:c r="F215" s="32"/>
      <ns0:c r="G215" s="29"/>
      <ns0:c r="H215" s="29"/>
      <ns0:c r="I215" s="29"/>
      <ns0:c r="J215" s="29"/>
      <ns0:c r="K215" s="29"/>
    </ns0:row>
    <ns0:row r="216" ht="28" customHeight="1">
      <ns0:c r="A216" s="29"/>
      <ns0:c r="B216" s="30"/>
      <ns0:c r="C216" s="28"/>
      <ns0:c r="D216" s="29"/>
      <ns0:c r="E216" s="31"/>
      <ns0:c r="F216" s="32"/>
      <ns0:c r="G216" s="29"/>
      <ns0:c r="H216" s="29"/>
      <ns0:c r="I216" s="29"/>
      <ns0:c r="J216" s="29"/>
      <ns0:c r="K216" s="29"/>
    </ns0:row>
    <ns0:row r="217" ht="28" customHeight="1">
      <ns0:c r="A217" s="29"/>
      <ns0:c r="B217" s="30"/>
      <ns0:c r="C217" s="28"/>
      <ns0:c r="D217" s="29"/>
      <ns0:c r="E217" s="31"/>
      <ns0:c r="F217" s="32"/>
      <ns0:c r="G217" s="29"/>
      <ns0:c r="H217" s="29"/>
      <ns0:c r="I217" s="29"/>
      <ns0:c r="J217" s="29"/>
      <ns0:c r="K217" s="29"/>
    </ns0:row>
    <ns0:row r="218" ht="28" customHeight="1">
      <ns0:c r="A218" s="29"/>
      <ns0:c r="B218" s="30"/>
      <ns0:c r="C218" s="28"/>
      <ns0:c r="D218" s="29"/>
      <ns0:c r="E218" s="31"/>
      <ns0:c r="F218" s="32"/>
      <ns0:c r="G218" s="29"/>
      <ns0:c r="H218" s="29"/>
      <ns0:c r="I218" s="29"/>
      <ns0:c r="J218" s="29"/>
      <ns0:c r="K218" s="29"/>
    </ns0:row>
    <ns0:row r="219" ht="28" customHeight="1">
      <ns0:c r="A219" s="29"/>
      <ns0:c r="B219" s="30"/>
      <ns0:c r="C219" s="28"/>
      <ns0:c r="D219" s="29"/>
      <ns0:c r="E219" s="31"/>
      <ns0:c r="F219" s="32"/>
      <ns0:c r="G219" s="29"/>
      <ns0:c r="H219" s="29"/>
      <ns0:c r="I219" s="29"/>
      <ns0:c r="J219" s="29"/>
      <ns0:c r="K219" s="29"/>
    </ns0:row>
    <ns0:row r="220" ht="28" customHeight="1">
      <ns0:c r="A220" s="29"/>
      <ns0:c r="B220" s="30"/>
      <ns0:c r="C220" s="28"/>
      <ns0:c r="D220" s="29"/>
      <ns0:c r="E220" s="31"/>
      <ns0:c r="F220" s="32"/>
      <ns0:c r="G220" s="29"/>
      <ns0:c r="H220" s="29"/>
      <ns0:c r="I220" s="29"/>
      <ns0:c r="J220" s="29"/>
      <ns0:c r="K220" s="29"/>
    </ns0:row>
    <ns0:row r="221" ht="28" customHeight="1">
      <ns0:c r="A221" s="29"/>
      <ns0:c r="B221" s="30"/>
      <ns0:c r="C221" s="28"/>
      <ns0:c r="D221" s="29"/>
      <ns0:c r="E221" s="31"/>
      <ns0:c r="F221" s="32"/>
      <ns0:c r="G221" s="29"/>
      <ns0:c r="H221" s="29"/>
      <ns0:c r="I221" s="29"/>
      <ns0:c r="J221" s="29"/>
      <ns0:c r="K221" s="29"/>
    </ns0:row>
    <ns0:row r="222" ht="28" customHeight="1">
      <ns0:c r="A222" s="29"/>
      <ns0:c r="B222" s="30"/>
      <ns0:c r="C222" s="28"/>
      <ns0:c r="D222" s="29"/>
      <ns0:c r="E222" s="31"/>
      <ns0:c r="F222" s="32"/>
      <ns0:c r="G222" s="29"/>
      <ns0:c r="H222" s="29"/>
      <ns0:c r="I222" s="29"/>
      <ns0:c r="J222" s="29"/>
      <ns0:c r="K222" s="29"/>
    </ns0:row>
    <ns0:row r="223" ht="28" customHeight="1">
      <ns0:c r="A223" s="29"/>
      <ns0:c r="B223" s="30"/>
      <ns0:c r="C223" s="28"/>
      <ns0:c r="D223" s="29"/>
      <ns0:c r="E223" s="31"/>
      <ns0:c r="F223" s="32"/>
      <ns0:c r="G223" s="29"/>
      <ns0:c r="H223" s="29"/>
      <ns0:c r="I223" s="29"/>
      <ns0:c r="J223" s="29"/>
      <ns0:c r="K223" s="29"/>
    </ns0:row>
    <ns0:row r="224" ht="28" customHeight="1">
      <ns0:c r="A224" s="29"/>
      <ns0:c r="B224" s="30"/>
      <ns0:c r="C224" s="28"/>
      <ns0:c r="D224" s="29"/>
      <ns0:c r="E224" s="31"/>
      <ns0:c r="F224" s="32"/>
      <ns0:c r="G224" s="29"/>
      <ns0:c r="H224" s="29"/>
      <ns0:c r="I224" s="29"/>
      <ns0:c r="J224" s="29"/>
      <ns0:c r="K224" s="29"/>
    </ns0:row>
    <ns0:row r="225" ht="28" customHeight="1">
      <ns0:c r="A225" s="29"/>
      <ns0:c r="B225" s="30"/>
      <ns0:c r="C225" s="28"/>
      <ns0:c r="D225" s="29"/>
      <ns0:c r="E225" s="31"/>
      <ns0:c r="F225" s="32"/>
      <ns0:c r="G225" s="29"/>
      <ns0:c r="H225" s="29"/>
      <ns0:c r="I225" s="29"/>
      <ns0:c r="J225" s="29"/>
      <ns0:c r="K225" s="29"/>
    </ns0:row>
    <ns0:row r="226" ht="28" customHeight="1">
      <ns0:c r="A226" s="29"/>
      <ns0:c r="B226" s="30"/>
      <ns0:c r="C226" s="28"/>
      <ns0:c r="D226" s="29"/>
      <ns0:c r="E226" s="31"/>
      <ns0:c r="F226" s="32"/>
      <ns0:c r="G226" s="29"/>
      <ns0:c r="H226" s="29"/>
      <ns0:c r="I226" s="29"/>
      <ns0:c r="J226" s="29"/>
      <ns0:c r="K226" s="29"/>
    </ns0:row>
    <ns0:row r="227" ht="28" customHeight="1">
      <ns0:c r="A227" s="29"/>
      <ns0:c r="B227" s="30"/>
      <ns0:c r="C227" s="28"/>
      <ns0:c r="D227" s="29"/>
      <ns0:c r="E227" s="31"/>
      <ns0:c r="F227" s="32"/>
      <ns0:c r="G227" s="29"/>
      <ns0:c r="H227" s="29"/>
      <ns0:c r="I227" s="29"/>
      <ns0:c r="J227" s="29"/>
      <ns0:c r="K227" s="29"/>
    </ns0:row>
    <ns0:row r="228" ht="28" customHeight="1">
      <ns0:c r="A228" s="29"/>
      <ns0:c r="B228" s="30"/>
      <ns0:c r="C228" s="28"/>
      <ns0:c r="D228" s="29"/>
      <ns0:c r="E228" s="31"/>
      <ns0:c r="F228" s="32"/>
      <ns0:c r="G228" s="29"/>
      <ns0:c r="H228" s="29"/>
      <ns0:c r="I228" s="29"/>
      <ns0:c r="J228" s="29"/>
      <ns0:c r="K228" s="29"/>
    </ns0:row>
    <ns0:row r="229" ht="28" customHeight="1">
      <ns0:c r="A229" s="29"/>
      <ns0:c r="B229" s="30"/>
      <ns0:c r="C229" s="28"/>
      <ns0:c r="D229" s="29"/>
      <ns0:c r="E229" s="31"/>
      <ns0:c r="F229" s="32"/>
      <ns0:c r="G229" s="29"/>
      <ns0:c r="H229" s="29"/>
      <ns0:c r="I229" s="29"/>
      <ns0:c r="J229" s="29"/>
      <ns0:c r="K229" s="29"/>
    </ns0:row>
    <ns0:row r="230" ht="28" customHeight="1">
      <ns0:c r="A230" s="29"/>
      <ns0:c r="B230" s="30"/>
      <ns0:c r="C230" s="28"/>
      <ns0:c r="D230" s="29"/>
      <ns0:c r="E230" s="31"/>
      <ns0:c r="F230" s="32"/>
      <ns0:c r="G230" s="29"/>
      <ns0:c r="H230" s="29"/>
      <ns0:c r="I230" s="29"/>
      <ns0:c r="J230" s="29"/>
      <ns0:c r="K230" s="29"/>
    </ns0:row>
    <ns0:row r="231" ht="28" customHeight="1">
      <ns0:c r="A231" s="29"/>
      <ns0:c r="B231" s="30"/>
      <ns0:c r="C231" s="28"/>
      <ns0:c r="D231" s="29"/>
      <ns0:c r="E231" s="31"/>
      <ns0:c r="F231" s="32"/>
      <ns0:c r="G231" s="29"/>
      <ns0:c r="H231" s="29"/>
      <ns0:c r="I231" s="29"/>
      <ns0:c r="J231" s="29"/>
      <ns0:c r="K231" s="29"/>
    </ns0:row>
    <ns0:row r="232" ht="28" customHeight="1">
      <ns0:c r="A232" s="29"/>
      <ns0:c r="B232" s="30"/>
      <ns0:c r="C232" s="28"/>
      <ns0:c r="D232" s="29"/>
      <ns0:c r="E232" s="31"/>
      <ns0:c r="F232" s="32"/>
      <ns0:c r="G232" s="29"/>
      <ns0:c r="H232" s="29"/>
      <ns0:c r="I232" s="29"/>
      <ns0:c r="J232" s="29"/>
      <ns0:c r="K232" s="29"/>
    </ns0:row>
    <ns0:row r="233" ht="28" customHeight="1">
      <ns0:c r="A233" s="29"/>
      <ns0:c r="B233" s="30"/>
      <ns0:c r="C233" s="28"/>
      <ns0:c r="D233" s="29"/>
      <ns0:c r="E233" s="31"/>
      <ns0:c r="F233" s="32"/>
      <ns0:c r="G233" s="29"/>
      <ns0:c r="H233" s="29"/>
      <ns0:c r="I233" s="29"/>
      <ns0:c r="J233" s="29"/>
      <ns0:c r="K233" s="29"/>
    </ns0:row>
    <ns0:row r="234" ht="28" customHeight="1">
      <ns0:c r="A234" s="29"/>
      <ns0:c r="B234" s="30"/>
      <ns0:c r="C234" s="28"/>
      <ns0:c r="D234" s="29"/>
      <ns0:c r="E234" s="31"/>
      <ns0:c r="F234" s="32"/>
      <ns0:c r="G234" s="29"/>
      <ns0:c r="H234" s="29"/>
      <ns0:c r="I234" s="29"/>
      <ns0:c r="J234" s="29"/>
      <ns0:c r="K234" s="29"/>
    </ns0:row>
    <ns0:row r="235" ht="28" customHeight="1">
      <ns0:c r="A235" s="29"/>
      <ns0:c r="B235" s="30"/>
      <ns0:c r="C235" s="28"/>
      <ns0:c r="D235" s="29"/>
      <ns0:c r="E235" s="31"/>
      <ns0:c r="F235" s="32"/>
      <ns0:c r="G235" s="29"/>
      <ns0:c r="H235" s="29"/>
      <ns0:c r="I235" s="29"/>
      <ns0:c r="J235" s="29"/>
      <ns0:c r="K235" s="29"/>
    </ns0:row>
    <ns0:row r="236" ht="28" customHeight="1">
      <ns0:c r="A236" s="29"/>
      <ns0:c r="B236" s="30"/>
      <ns0:c r="C236" s="28"/>
      <ns0:c r="D236" s="29"/>
      <ns0:c r="E236" s="31"/>
      <ns0:c r="F236" s="32"/>
      <ns0:c r="G236" s="29"/>
      <ns0:c r="H236" s="29"/>
      <ns0:c r="I236" s="29"/>
      <ns0:c r="J236" s="29"/>
      <ns0:c r="K236" s="29"/>
    </ns0:row>
    <ns0:row r="237" ht="28" customHeight="1">
      <ns0:c r="A237" s="29"/>
      <ns0:c r="B237" s="30"/>
      <ns0:c r="C237" s="28"/>
      <ns0:c r="D237" s="29"/>
      <ns0:c r="E237" s="31"/>
      <ns0:c r="F237" s="32"/>
      <ns0:c r="G237" s="29"/>
      <ns0:c r="H237" s="29"/>
      <ns0:c r="I237" s="29"/>
      <ns0:c r="J237" s="29"/>
      <ns0:c r="K237" s="29"/>
    </ns0:row>
    <ns0:row r="238" ht="28" customHeight="1">
      <ns0:c r="A238" s="29"/>
      <ns0:c r="B238" s="30"/>
      <ns0:c r="C238" s="28"/>
      <ns0:c r="D238" s="29"/>
      <ns0:c r="E238" s="31"/>
      <ns0:c r="F238" s="32"/>
      <ns0:c r="G238" s="29"/>
      <ns0:c r="H238" s="29"/>
      <ns0:c r="I238" s="29"/>
      <ns0:c r="J238" s="29"/>
      <ns0:c r="K238" s="29"/>
    </ns0:row>
    <ns0:row r="239" ht="28" customHeight="1">
      <ns0:c r="A239" s="29"/>
      <ns0:c r="B239" s="30"/>
      <ns0:c r="C239" s="28"/>
      <ns0:c r="D239" s="29"/>
      <ns0:c r="E239" s="31"/>
      <ns0:c r="F239" s="32"/>
      <ns0:c r="G239" s="29"/>
      <ns0:c r="H239" s="29"/>
      <ns0:c r="I239" s="29"/>
      <ns0:c r="J239" s="29"/>
      <ns0:c r="K239" s="29"/>
    </ns0:row>
    <ns0:row r="240" ht="28" customHeight="1">
      <ns0:c r="A240" s="29"/>
      <ns0:c r="B240" s="30"/>
      <ns0:c r="C240" s="28"/>
      <ns0:c r="D240" s="29"/>
      <ns0:c r="E240" s="31"/>
      <ns0:c r="F240" s="32"/>
      <ns0:c r="G240" s="29"/>
      <ns0:c r="H240" s="29"/>
      <ns0:c r="I240" s="29"/>
      <ns0:c r="J240" s="29"/>
      <ns0:c r="K240" s="29"/>
    </ns0:row>
    <ns0:row r="241" ht="28" customHeight="1">
      <ns0:c r="A241" s="29"/>
      <ns0:c r="B241" s="30"/>
      <ns0:c r="C241" s="28"/>
      <ns0:c r="D241" s="29"/>
      <ns0:c r="E241" s="31"/>
      <ns0:c r="F241" s="32"/>
      <ns0:c r="G241" s="29"/>
      <ns0:c r="H241" s="29"/>
      <ns0:c r="I241" s="29"/>
      <ns0:c r="J241" s="29"/>
      <ns0:c r="K241" s="29"/>
    </ns0:row>
    <ns0:row r="242" ht="28" customHeight="1">
      <ns0:c r="A242" s="29"/>
      <ns0:c r="B242" s="30"/>
      <ns0:c r="C242" s="28"/>
      <ns0:c r="D242" s="29"/>
      <ns0:c r="E242" s="31"/>
      <ns0:c r="F242" s="32"/>
      <ns0:c r="G242" s="29"/>
      <ns0:c r="H242" s="29"/>
      <ns0:c r="I242" s="29"/>
      <ns0:c r="J242" s="29"/>
      <ns0:c r="K242" s="29"/>
    </ns0:row>
    <ns0:row r="243" ht="28" customHeight="1">
      <ns0:c r="A243" s="29"/>
      <ns0:c r="B243" s="30"/>
      <ns0:c r="C243" s="28"/>
      <ns0:c r="D243" s="29"/>
      <ns0:c r="E243" s="31"/>
      <ns0:c r="F243" s="32"/>
      <ns0:c r="G243" s="29"/>
      <ns0:c r="H243" s="29"/>
      <ns0:c r="I243" s="29"/>
      <ns0:c r="J243" s="29"/>
      <ns0:c r="K243" s="29"/>
    </ns0:row>
    <ns0:row r="244" ht="28" customHeight="1">
      <ns0:c r="A244" s="29"/>
      <ns0:c r="B244" s="30"/>
      <ns0:c r="C244" s="28"/>
      <ns0:c r="D244" s="29"/>
      <ns0:c r="E244" s="31"/>
      <ns0:c r="F244" s="32"/>
      <ns0:c r="G244" s="29"/>
      <ns0:c r="H244" s="29"/>
      <ns0:c r="I244" s="29"/>
      <ns0:c r="J244" s="29"/>
      <ns0:c r="K244" s="29"/>
    </ns0:row>
    <ns0:row r="245" ht="28" customHeight="1">
      <ns0:c r="A245" s="29"/>
      <ns0:c r="B245" s="30"/>
      <ns0:c r="C245" s="28"/>
      <ns0:c r="D245" s="29"/>
      <ns0:c r="E245" s="31"/>
      <ns0:c r="F245" s="32"/>
      <ns0:c r="G245" s="29"/>
      <ns0:c r="H245" s="29"/>
      <ns0:c r="I245" s="29"/>
      <ns0:c r="J245" s="29"/>
      <ns0:c r="K245" s="29"/>
    </ns0:row>
    <ns0:row r="246" ht="28" customHeight="1">
      <ns0:c r="A246" s="29"/>
      <ns0:c r="B246" s="30"/>
      <ns0:c r="C246" s="28"/>
      <ns0:c r="D246" s="29"/>
      <ns0:c r="E246" s="31"/>
      <ns0:c r="F246" s="32"/>
      <ns0:c r="G246" s="29"/>
      <ns0:c r="H246" s="29"/>
      <ns0:c r="I246" s="29"/>
      <ns0:c r="J246" s="29"/>
      <ns0:c r="K246" s="29"/>
    </ns0:row>
    <ns0:row r="247" ht="28" customHeight="1">
      <ns0:c r="A247" s="29"/>
      <ns0:c r="B247" s="30"/>
      <ns0:c r="C247" s="28"/>
      <ns0:c r="D247" s="29"/>
      <ns0:c r="E247" s="31"/>
      <ns0:c r="F247" s="32"/>
      <ns0:c r="G247" s="29"/>
      <ns0:c r="H247" s="29"/>
      <ns0:c r="I247" s="29"/>
      <ns0:c r="J247" s="29"/>
      <ns0:c r="K247" s="29"/>
    </ns0:row>
    <ns0:row r="248" ht="28" customHeight="1">
      <ns0:c r="A248" s="29"/>
      <ns0:c r="B248" s="30"/>
      <ns0:c r="C248" s="28"/>
      <ns0:c r="D248" s="29"/>
      <ns0:c r="E248" s="31"/>
      <ns0:c r="F248" s="32"/>
      <ns0:c r="G248" s="29"/>
      <ns0:c r="H248" s="29"/>
      <ns0:c r="I248" s="29"/>
      <ns0:c r="J248" s="29"/>
      <ns0:c r="K248" s="29"/>
    </ns0:row>
    <ns0:row r="249" ht="28" customHeight="1">
      <ns0:c r="A249" s="29"/>
      <ns0:c r="B249" s="30"/>
      <ns0:c r="C249" s="28"/>
      <ns0:c r="D249" s="29"/>
      <ns0:c r="E249" s="31"/>
      <ns0:c r="F249" s="32"/>
      <ns0:c r="G249" s="29"/>
      <ns0:c r="H249" s="29"/>
      <ns0:c r="I249" s="29"/>
      <ns0:c r="J249" s="29"/>
      <ns0:c r="K249" s="29"/>
    </ns0:row>
    <ns0:row r="250" ht="28" customHeight="1">
      <ns0:c r="A250" s="29"/>
      <ns0:c r="B250" s="30"/>
      <ns0:c r="C250" s="28"/>
      <ns0:c r="D250" s="29"/>
      <ns0:c r="E250" s="31"/>
      <ns0:c r="F250" s="32"/>
      <ns0:c r="G250" s="29"/>
      <ns0:c r="H250" s="29"/>
      <ns0:c r="I250" s="29"/>
      <ns0:c r="J250" s="29"/>
      <ns0:c r="K250" s="29"/>
    </ns0:row>
    <ns0:row r="251" ht="28" customHeight="1">
      <ns0:c r="A251" s="29"/>
      <ns0:c r="B251" s="30"/>
      <ns0:c r="C251" s="28"/>
      <ns0:c r="D251" s="29"/>
      <ns0:c r="E251" s="31"/>
      <ns0:c r="F251" s="32"/>
      <ns0:c r="G251" s="29"/>
      <ns0:c r="H251" s="29"/>
      <ns0:c r="I251" s="29"/>
      <ns0:c r="J251" s="29"/>
      <ns0:c r="K251" s="29"/>
    </ns0:row>
    <ns0:row r="252" ht="28" customHeight="1">
      <ns0:c r="A252" s="29"/>
      <ns0:c r="B252" s="30"/>
      <ns0:c r="C252" s="28"/>
      <ns0:c r="D252" s="29"/>
      <ns0:c r="E252" s="31"/>
      <ns0:c r="F252" s="32"/>
      <ns0:c r="G252" s="29"/>
      <ns0:c r="H252" s="29"/>
      <ns0:c r="I252" s="29"/>
      <ns0:c r="J252" s="29"/>
      <ns0:c r="K252" s="29"/>
    </ns0:row>
    <ns0:row r="253" ht="28" customHeight="1">
      <ns0:c r="A253" s="29"/>
      <ns0:c r="B253" s="30"/>
      <ns0:c r="C253" s="28"/>
      <ns0:c r="D253" s="29"/>
      <ns0:c r="E253" s="31"/>
      <ns0:c r="F253" s="32"/>
      <ns0:c r="G253" s="29"/>
      <ns0:c r="H253" s="29"/>
      <ns0:c r="I253" s="29"/>
      <ns0:c r="J253" s="29"/>
      <ns0:c r="K253" s="29"/>
    </ns0:row>
    <ns0:row r="254" ht="28" customHeight="1">
      <ns0:c r="A254" s="29"/>
      <ns0:c r="B254" s="30"/>
      <ns0:c r="C254" s="28"/>
      <ns0:c r="D254" s="29"/>
      <ns0:c r="E254" s="31"/>
      <ns0:c r="F254" s="32"/>
      <ns0:c r="G254" s="29"/>
      <ns0:c r="H254" s="29"/>
      <ns0:c r="I254" s="29"/>
      <ns0:c r="J254" s="29"/>
      <ns0:c r="K254" s="29"/>
    </ns0:row>
    <ns0:row r="255" ht="28" customHeight="1">
      <ns0:c r="A255" s="29"/>
      <ns0:c r="B255" s="30"/>
      <ns0:c r="C255" s="28"/>
      <ns0:c r="D255" s="29"/>
      <ns0:c r="E255" s="31"/>
      <ns0:c r="F255" s="32"/>
      <ns0:c r="G255" s="29"/>
      <ns0:c r="H255" s="29"/>
      <ns0:c r="I255" s="29"/>
      <ns0:c r="J255" s="29"/>
      <ns0:c r="K255" s="29"/>
    </ns0:row>
    <ns0:row r="256" ht="28" customHeight="1">
      <ns0:c r="A256" s="29"/>
      <ns0:c r="B256" s="30"/>
      <ns0:c r="C256" s="28"/>
      <ns0:c r="D256" s="29"/>
      <ns0:c r="E256" s="31"/>
      <ns0:c r="F256" s="32"/>
      <ns0:c r="G256" s="29"/>
      <ns0:c r="H256" s="29"/>
      <ns0:c r="I256" s="29"/>
      <ns0:c r="J256" s="29"/>
      <ns0:c r="K256" s="29"/>
    </ns0:row>
    <ns0:row r="257" ht="28" customHeight="1">
      <ns0:c r="A257" s="29"/>
      <ns0:c r="B257" s="30"/>
      <ns0:c r="C257" s="28"/>
      <ns0:c r="D257" s="29"/>
      <ns0:c r="E257" s="31"/>
      <ns0:c r="F257" s="32"/>
      <ns0:c r="G257" s="29"/>
      <ns0:c r="H257" s="29"/>
      <ns0:c r="I257" s="29"/>
      <ns0:c r="J257" s="29"/>
      <ns0:c r="K257" s="29"/>
    </ns0:row>
    <ns0:row r="258" ht="28" customHeight="1">
      <ns0:c r="A258" s="29"/>
      <ns0:c r="B258" s="30"/>
      <ns0:c r="C258" s="28"/>
      <ns0:c r="D258" s="29"/>
      <ns0:c r="E258" s="31"/>
      <ns0:c r="F258" s="32"/>
      <ns0:c r="G258" s="29"/>
      <ns0:c r="H258" s="29"/>
      <ns0:c r="I258" s="29"/>
      <ns0:c r="J258" s="29"/>
      <ns0:c r="K258" s="29"/>
    </ns0:row>
    <ns0:row r="259" ht="28" customHeight="1">
      <ns0:c r="A259" s="29"/>
      <ns0:c r="B259" s="30"/>
      <ns0:c r="C259" s="28"/>
      <ns0:c r="D259" s="29"/>
      <ns0:c r="E259" s="31"/>
      <ns0:c r="F259" s="32"/>
      <ns0:c r="G259" s="29"/>
      <ns0:c r="H259" s="29"/>
      <ns0:c r="I259" s="29"/>
      <ns0:c r="J259" s="29"/>
      <ns0:c r="K259" s="29"/>
    </ns0:row>
    <ns0:row r="260" ht="28" customHeight="1">
      <ns0:c r="A260" s="29"/>
      <ns0:c r="B260" s="30"/>
      <ns0:c r="C260" s="28"/>
      <ns0:c r="D260" s="29"/>
      <ns0:c r="E260" s="31"/>
      <ns0:c r="F260" s="32"/>
      <ns0:c r="G260" s="29"/>
      <ns0:c r="H260" s="29"/>
      <ns0:c r="I260" s="29"/>
      <ns0:c r="J260" s="29"/>
      <ns0:c r="K260" s="29"/>
    </ns0:row>
    <ns0:row r="261" ht="28" customHeight="1">
      <ns0:c r="A261" s="29"/>
      <ns0:c r="B261" s="30"/>
      <ns0:c r="C261" s="28"/>
      <ns0:c r="D261" s="29"/>
      <ns0:c r="E261" s="31"/>
      <ns0:c r="F261" s="32"/>
      <ns0:c r="G261" s="29"/>
      <ns0:c r="H261" s="29"/>
      <ns0:c r="I261" s="29"/>
      <ns0:c r="J261" s="29"/>
      <ns0:c r="K261" s="29"/>
    </ns0:row>
    <ns0:row r="262" ht="28" customHeight="1">
      <ns0:c r="A262" s="29"/>
      <ns0:c r="B262" s="30"/>
      <ns0:c r="C262" s="28"/>
      <ns0:c r="D262" s="29"/>
      <ns0:c r="E262" s="31"/>
      <ns0:c r="F262" s="32"/>
      <ns0:c r="G262" s="29"/>
      <ns0:c r="H262" s="29"/>
      <ns0:c r="I262" s="29"/>
      <ns0:c r="J262" s="29"/>
      <ns0:c r="K262" s="29"/>
    </ns0:row>
    <ns0:row r="263" ht="28" customHeight="1">
      <ns0:c r="A263" s="29"/>
      <ns0:c r="B263" s="30"/>
      <ns0:c r="C263" s="28"/>
      <ns0:c r="D263" s="29"/>
      <ns0:c r="E263" s="31"/>
      <ns0:c r="F263" s="32"/>
      <ns0:c r="G263" s="29"/>
      <ns0:c r="H263" s="29"/>
      <ns0:c r="I263" s="29"/>
      <ns0:c r="J263" s="29"/>
      <ns0:c r="K263" s="29"/>
    </ns0:row>
    <ns0:row r="264" ht="28" customHeight="1">
      <ns0:c r="A264" s="29"/>
      <ns0:c r="B264" s="30"/>
      <ns0:c r="C264" s="28"/>
      <ns0:c r="D264" s="29"/>
      <ns0:c r="E264" s="31"/>
      <ns0:c r="F264" s="32"/>
      <ns0:c r="G264" s="29"/>
      <ns0:c r="H264" s="29"/>
      <ns0:c r="I264" s="29"/>
      <ns0:c r="J264" s="29"/>
      <ns0:c r="K264" s="29"/>
    </ns0:row>
    <ns0:row r="265" ht="28" customHeight="1">
      <ns0:c r="A265" s="29"/>
      <ns0:c r="B265" s="30"/>
      <ns0:c r="C265" s="28"/>
      <ns0:c r="D265" s="29"/>
      <ns0:c r="E265" s="31"/>
      <ns0:c r="F265" s="32"/>
      <ns0:c r="G265" s="29"/>
      <ns0:c r="H265" s="29"/>
      <ns0:c r="I265" s="29"/>
      <ns0:c r="J265" s="29"/>
      <ns0:c r="K265" s="29"/>
    </ns0:row>
    <ns0:row r="266" ht="28" customHeight="1">
      <ns0:c r="A266" s="29"/>
      <ns0:c r="B266" s="30"/>
      <ns0:c r="C266" s="28"/>
      <ns0:c r="D266" s="29"/>
      <ns0:c r="E266" s="31"/>
      <ns0:c r="F266" s="32"/>
      <ns0:c r="G266" s="29"/>
      <ns0:c r="H266" s="29"/>
      <ns0:c r="I266" s="29"/>
      <ns0:c r="J266" s="29"/>
      <ns0:c r="K266" s="29"/>
    </ns0:row>
    <ns0:row r="267" ht="28" customHeight="1">
      <ns0:c r="A267" s="29"/>
      <ns0:c r="B267" s="30"/>
      <ns0:c r="C267" s="28"/>
      <ns0:c r="D267" s="29"/>
      <ns0:c r="E267" s="31"/>
      <ns0:c r="F267" s="32"/>
      <ns0:c r="G267" s="29"/>
      <ns0:c r="H267" s="29"/>
      <ns0:c r="I267" s="29"/>
      <ns0:c r="J267" s="29"/>
      <ns0:c r="K267" s="29"/>
    </ns0:row>
    <ns0:row r="268" ht="28" customHeight="1">
      <ns0:c r="A268" s="29"/>
      <ns0:c r="B268" s="30"/>
      <ns0:c r="C268" s="28"/>
      <ns0:c r="D268" s="29"/>
      <ns0:c r="E268" s="31"/>
      <ns0:c r="F268" s="32"/>
      <ns0:c r="G268" s="29"/>
      <ns0:c r="H268" s="29"/>
      <ns0:c r="I268" s="29"/>
      <ns0:c r="J268" s="29"/>
      <ns0:c r="K268" s="29"/>
    </ns0:row>
    <ns0:row r="269" ht="28" customHeight="1">
      <ns0:c r="A269" s="29"/>
      <ns0:c r="B269" s="30"/>
      <ns0:c r="C269" s="28"/>
      <ns0:c r="D269" s="29"/>
      <ns0:c r="E269" s="31"/>
      <ns0:c r="F269" s="32"/>
      <ns0:c r="G269" s="29"/>
      <ns0:c r="H269" s="29"/>
      <ns0:c r="I269" s="29"/>
      <ns0:c r="J269" s="29"/>
      <ns0:c r="K269" s="29"/>
    </ns0:row>
    <ns0:row r="270" ht="28" customHeight="1">
      <ns0:c r="A270" s="29"/>
      <ns0:c r="B270" s="30"/>
      <ns0:c r="C270" s="28"/>
      <ns0:c r="D270" s="29"/>
      <ns0:c r="E270" s="31"/>
      <ns0:c r="F270" s="32"/>
      <ns0:c r="G270" s="29"/>
      <ns0:c r="H270" s="29"/>
      <ns0:c r="I270" s="29"/>
      <ns0:c r="J270" s="29"/>
      <ns0:c r="K270" s="29"/>
    </ns0:row>
    <ns0:row r="271" ht="28" customHeight="1">
      <ns0:c r="A271" s="29"/>
      <ns0:c r="B271" s="30"/>
      <ns0:c r="C271" s="28"/>
      <ns0:c r="D271" s="29"/>
      <ns0:c r="E271" s="31"/>
      <ns0:c r="F271" s="32"/>
      <ns0:c r="G271" s="29"/>
      <ns0:c r="H271" s="29"/>
      <ns0:c r="I271" s="29"/>
      <ns0:c r="J271" s="29"/>
      <ns0:c r="K271" s="29"/>
    </ns0:row>
    <ns0:row r="272" ht="28" customHeight="1">
      <ns0:c r="A272" s="29"/>
      <ns0:c r="B272" s="30"/>
      <ns0:c r="C272" s="28"/>
      <ns0:c r="D272" s="29"/>
      <ns0:c r="E272" s="31"/>
      <ns0:c r="F272" s="32"/>
      <ns0:c r="G272" s="29"/>
      <ns0:c r="H272" s="29"/>
      <ns0:c r="I272" s="29"/>
      <ns0:c r="J272" s="29"/>
      <ns0:c r="K272" s="29"/>
    </ns0:row>
    <ns0:row r="273" ht="28" customHeight="1">
      <ns0:c r="A273" s="29"/>
      <ns0:c r="B273" s="30"/>
      <ns0:c r="C273" s="28"/>
      <ns0:c r="D273" s="29"/>
      <ns0:c r="E273" s="31"/>
      <ns0:c r="F273" s="32"/>
      <ns0:c r="G273" s="29"/>
      <ns0:c r="H273" s="29"/>
      <ns0:c r="I273" s="29"/>
      <ns0:c r="J273" s="29"/>
      <ns0:c r="K273" s="29"/>
    </ns0:row>
    <ns0:row r="274" ht="28" customHeight="1">
      <ns0:c r="A274" s="29"/>
      <ns0:c r="B274" s="30"/>
      <ns0:c r="C274" s="28"/>
      <ns0:c r="D274" s="29"/>
      <ns0:c r="E274" s="31"/>
      <ns0:c r="F274" s="32"/>
      <ns0:c r="G274" s="29"/>
      <ns0:c r="H274" s="29"/>
      <ns0:c r="I274" s="29"/>
      <ns0:c r="J274" s="29"/>
      <ns0:c r="K274" s="29"/>
    </ns0:row>
    <ns0:row r="275" ht="28" customHeight="1">
      <ns0:c r="A275" s="29"/>
      <ns0:c r="B275" s="30"/>
      <ns0:c r="C275" s="28"/>
      <ns0:c r="D275" s="29"/>
      <ns0:c r="E275" s="31"/>
      <ns0:c r="F275" s="32"/>
      <ns0:c r="G275" s="29"/>
      <ns0:c r="H275" s="29"/>
      <ns0:c r="I275" s="29"/>
      <ns0:c r="J275" s="29"/>
      <ns0:c r="K275" s="29"/>
    </ns0:row>
    <ns0:row r="276" ht="28" customHeight="1">
      <ns0:c r="A276" s="29"/>
      <ns0:c r="B276" s="30"/>
      <ns0:c r="C276" s="28"/>
      <ns0:c r="D276" s="29"/>
      <ns0:c r="E276" s="31"/>
      <ns0:c r="F276" s="32"/>
      <ns0:c r="G276" s="29"/>
      <ns0:c r="H276" s="29"/>
      <ns0:c r="I276" s="29"/>
      <ns0:c r="J276" s="29"/>
      <ns0:c r="K276" s="29"/>
    </ns0:row>
    <ns0:row r="277" ht="28" customHeight="1">
      <ns0:c r="A277" s="29"/>
      <ns0:c r="B277" s="30"/>
      <ns0:c r="C277" s="28"/>
      <ns0:c r="D277" s="29"/>
      <ns0:c r="E277" s="31"/>
      <ns0:c r="F277" s="32"/>
      <ns0:c r="G277" s="29"/>
      <ns0:c r="H277" s="29"/>
      <ns0:c r="I277" s="29"/>
      <ns0:c r="J277" s="29"/>
      <ns0:c r="K277" s="29"/>
    </ns0:row>
    <ns0:row r="278" ht="28" customHeight="1">
      <ns0:c r="A278" s="29"/>
      <ns0:c r="B278" s="30"/>
      <ns0:c r="C278" s="28"/>
      <ns0:c r="D278" s="29"/>
      <ns0:c r="E278" s="31"/>
      <ns0:c r="F278" s="32"/>
      <ns0:c r="G278" s="29"/>
      <ns0:c r="H278" s="29"/>
      <ns0:c r="I278" s="29"/>
      <ns0:c r="J278" s="29"/>
      <ns0:c r="K278" s="29"/>
    </ns0:row>
    <ns0:row r="279" ht="28" customHeight="1">
      <ns0:c r="A279" s="29"/>
      <ns0:c r="B279" s="30"/>
      <ns0:c r="C279" s="28"/>
      <ns0:c r="D279" s="29"/>
      <ns0:c r="E279" s="31"/>
      <ns0:c r="F279" s="32"/>
      <ns0:c r="G279" s="29"/>
      <ns0:c r="H279" s="29"/>
      <ns0:c r="I279" s="29"/>
      <ns0:c r="J279" s="29"/>
      <ns0:c r="K279" s="29"/>
    </ns0:row>
    <ns0:row r="280" ht="28" customHeight="1">
      <ns0:c r="A280" s="29"/>
      <ns0:c r="B280" s="30"/>
      <ns0:c r="C280" s="28"/>
      <ns0:c r="D280" s="29"/>
      <ns0:c r="E280" s="31"/>
      <ns0:c r="F280" s="32"/>
      <ns0:c r="G280" s="29"/>
      <ns0:c r="H280" s="29"/>
      <ns0:c r="I280" s="29"/>
      <ns0:c r="J280" s="29"/>
      <ns0:c r="K280" s="29"/>
    </ns0:row>
    <ns0:row r="281" ht="28" customHeight="1">
      <ns0:c r="A281" s="29"/>
      <ns0:c r="B281" s="30"/>
      <ns0:c r="C281" s="28"/>
      <ns0:c r="D281" s="29"/>
      <ns0:c r="E281" s="31"/>
      <ns0:c r="F281" s="32"/>
      <ns0:c r="G281" s="29"/>
      <ns0:c r="H281" s="29"/>
      <ns0:c r="I281" s="29"/>
      <ns0:c r="J281" s="29"/>
      <ns0:c r="K281" s="29"/>
    </ns0:row>
    <ns0:row r="282" ht="28" customHeight="1">
      <ns0:c r="A282" s="29"/>
      <ns0:c r="B282" s="30"/>
      <ns0:c r="C282" s="28"/>
      <ns0:c r="D282" s="29"/>
      <ns0:c r="E282" s="31"/>
      <ns0:c r="F282" s="32"/>
      <ns0:c r="G282" s="29"/>
      <ns0:c r="H282" s="29"/>
      <ns0:c r="I282" s="29"/>
      <ns0:c r="J282" s="29"/>
      <ns0:c r="K282" s="29"/>
    </ns0:row>
    <ns0:row r="283" ht="28" customHeight="1">
      <ns0:c r="A283" s="29"/>
      <ns0:c r="B283" s="30"/>
      <ns0:c r="C283" s="28"/>
      <ns0:c r="D283" s="29"/>
      <ns0:c r="E283" s="31"/>
      <ns0:c r="F283" s="32"/>
      <ns0:c r="G283" s="29"/>
      <ns0:c r="H283" s="29"/>
      <ns0:c r="I283" s="29"/>
      <ns0:c r="J283" s="29"/>
      <ns0:c r="K283" s="29"/>
    </ns0:row>
    <ns0:row r="284" ht="28" customHeight="1">
      <ns0:c r="A284" s="29"/>
      <ns0:c r="B284" s="30"/>
      <ns0:c r="C284" s="28"/>
      <ns0:c r="D284" s="29"/>
      <ns0:c r="E284" s="31"/>
      <ns0:c r="F284" s="32"/>
      <ns0:c r="G284" s="29"/>
      <ns0:c r="H284" s="29"/>
      <ns0:c r="I284" s="29"/>
      <ns0:c r="J284" s="29"/>
      <ns0:c r="K284" s="29"/>
    </ns0:row>
    <ns0:row r="285" ht="28" customHeight="1">
      <ns0:c r="A285" s="29"/>
      <ns0:c r="B285" s="30"/>
      <ns0:c r="C285" s="28"/>
      <ns0:c r="D285" s="29"/>
      <ns0:c r="E285" s="31"/>
      <ns0:c r="F285" s="32"/>
      <ns0:c r="G285" s="29"/>
      <ns0:c r="H285" s="29"/>
      <ns0:c r="I285" s="29"/>
      <ns0:c r="J285" s="29"/>
      <ns0:c r="K285" s="29"/>
    </ns0:row>
    <ns0:row r="286" ht="28" customHeight="1">
      <ns0:c r="A286" s="29"/>
      <ns0:c r="B286" s="30"/>
      <ns0:c r="C286" s="28"/>
      <ns0:c r="D286" s="29"/>
      <ns0:c r="E286" s="31"/>
      <ns0:c r="F286" s="32"/>
      <ns0:c r="G286" s="29"/>
      <ns0:c r="H286" s="29"/>
      <ns0:c r="I286" s="29"/>
      <ns0:c r="J286" s="29"/>
      <ns0:c r="K286" s="29"/>
    </ns0:row>
    <ns0:row r="287" ht="28" customHeight="1">
      <ns0:c r="A287" s="29"/>
      <ns0:c r="B287" s="30"/>
      <ns0:c r="C287" s="28"/>
      <ns0:c r="D287" s="29"/>
      <ns0:c r="E287" s="31"/>
      <ns0:c r="F287" s="32"/>
      <ns0:c r="G287" s="29"/>
      <ns0:c r="H287" s="29"/>
      <ns0:c r="I287" s="29"/>
      <ns0:c r="J287" s="29"/>
      <ns0:c r="K287" s="29"/>
    </ns0:row>
    <ns0:row r="288" ht="28" customHeight="1">
      <ns0:c r="A288" s="29"/>
      <ns0:c r="B288" s="30"/>
      <ns0:c r="C288" s="28"/>
      <ns0:c r="D288" s="29"/>
      <ns0:c r="E288" s="31"/>
      <ns0:c r="F288" s="32"/>
      <ns0:c r="G288" s="29"/>
      <ns0:c r="H288" s="29"/>
      <ns0:c r="I288" s="29"/>
      <ns0:c r="J288" s="29"/>
      <ns0:c r="K288" s="29"/>
    </ns0:row>
    <ns0:row r="289" ht="28" customHeight="1">
      <ns0:c r="A289" s="29"/>
      <ns0:c r="B289" s="30"/>
      <ns0:c r="C289" s="28"/>
      <ns0:c r="D289" s="29"/>
      <ns0:c r="E289" s="31"/>
      <ns0:c r="F289" s="32"/>
      <ns0:c r="G289" s="29"/>
      <ns0:c r="H289" s="29"/>
      <ns0:c r="I289" s="29"/>
      <ns0:c r="J289" s="29"/>
      <ns0:c r="K289" s="29"/>
    </ns0:row>
    <ns0:row r="290" ht="28" customHeight="1">
      <ns0:c r="A290" s="29"/>
      <ns0:c r="B290" s="30"/>
      <ns0:c r="C290" s="28"/>
      <ns0:c r="D290" s="29"/>
      <ns0:c r="E290" s="31"/>
      <ns0:c r="F290" s="32"/>
      <ns0:c r="G290" s="29"/>
      <ns0:c r="H290" s="29"/>
      <ns0:c r="I290" s="29"/>
      <ns0:c r="J290" s="29"/>
      <ns0:c r="K290" s="29"/>
    </ns0:row>
    <ns0:row r="291" ht="28" customHeight="1">
      <ns0:c r="A291" s="29"/>
      <ns0:c r="B291" s="30"/>
      <ns0:c r="C291" s="28"/>
      <ns0:c r="D291" s="29"/>
      <ns0:c r="E291" s="31"/>
      <ns0:c r="F291" s="32"/>
      <ns0:c r="G291" s="29"/>
      <ns0:c r="H291" s="29"/>
      <ns0:c r="I291" s="29"/>
      <ns0:c r="J291" s="29"/>
      <ns0:c r="K291" s="29"/>
    </ns0:row>
    <ns0:row r="292" ht="28" customHeight="1">
      <ns0:c r="A292" s="29"/>
      <ns0:c r="B292" s="30"/>
      <ns0:c r="C292" s="28"/>
      <ns0:c r="D292" s="29"/>
      <ns0:c r="E292" s="31"/>
      <ns0:c r="F292" s="32"/>
      <ns0:c r="G292" s="29"/>
      <ns0:c r="H292" s="29"/>
      <ns0:c r="I292" s="29"/>
      <ns0:c r="J292" s="29"/>
      <ns0:c r="K292" s="29"/>
    </ns0:row>
    <ns0:row r="293" ht="28" customHeight="1">
      <ns0:c r="A293" s="29"/>
      <ns0:c r="B293" s="30"/>
      <ns0:c r="C293" s="28"/>
      <ns0:c r="D293" s="29"/>
      <ns0:c r="E293" s="31"/>
      <ns0:c r="F293" s="32"/>
      <ns0:c r="G293" s="29"/>
      <ns0:c r="H293" s="29"/>
      <ns0:c r="I293" s="29"/>
      <ns0:c r="J293" s="29"/>
      <ns0:c r="K293" s="29"/>
    </ns0:row>
    <ns0:row r="294" ht="28" customHeight="1">
      <ns0:c r="A294" s="29"/>
      <ns0:c r="B294" s="30"/>
      <ns0:c r="C294" s="28"/>
      <ns0:c r="D294" s="29"/>
      <ns0:c r="E294" s="31"/>
      <ns0:c r="F294" s="32"/>
      <ns0:c r="G294" s="29"/>
      <ns0:c r="H294" s="29"/>
      <ns0:c r="I294" s="29"/>
      <ns0:c r="J294" s="29"/>
      <ns0:c r="K294" s="29"/>
    </ns0:row>
    <ns0:row r="295" ht="28" customHeight="1">
      <ns0:c r="A295" s="29"/>
      <ns0:c r="B295" s="30"/>
      <ns0:c r="C295" s="28"/>
      <ns0:c r="D295" s="29"/>
      <ns0:c r="E295" s="31"/>
      <ns0:c r="F295" s="32"/>
      <ns0:c r="G295" s="29"/>
      <ns0:c r="H295" s="29"/>
      <ns0:c r="I295" s="29"/>
      <ns0:c r="J295" s="29"/>
      <ns0:c r="K295" s="29"/>
    </ns0:row>
    <ns0:row r="296" ht="28" customHeight="1">
      <ns0:c r="A296" s="29"/>
      <ns0:c r="B296" s="30"/>
      <ns0:c r="C296" s="28"/>
      <ns0:c r="D296" s="29"/>
      <ns0:c r="E296" s="31"/>
      <ns0:c r="F296" s="32"/>
      <ns0:c r="G296" s="29"/>
      <ns0:c r="H296" s="29"/>
      <ns0:c r="I296" s="29"/>
      <ns0:c r="J296" s="29"/>
      <ns0:c r="K296" s="29"/>
    </ns0:row>
    <ns0:row r="297" ht="28" customHeight="1">
      <ns0:c r="A297" s="29"/>
      <ns0:c r="B297" s="30"/>
      <ns0:c r="C297" s="28"/>
      <ns0:c r="D297" s="29"/>
      <ns0:c r="E297" s="31"/>
      <ns0:c r="F297" s="32"/>
      <ns0:c r="G297" s="29"/>
      <ns0:c r="H297" s="29"/>
      <ns0:c r="I297" s="29"/>
      <ns0:c r="J297" s="29"/>
      <ns0:c r="K297" s="29"/>
    </ns0:row>
    <ns0:row r="298" ht="28" customHeight="1">
      <ns0:c r="A298" s="29"/>
      <ns0:c r="B298" s="30"/>
      <ns0:c r="C298" s="28"/>
      <ns0:c r="D298" s="29"/>
      <ns0:c r="E298" s="31"/>
      <ns0:c r="F298" s="32"/>
      <ns0:c r="G298" s="29"/>
      <ns0:c r="H298" s="29"/>
      <ns0:c r="I298" s="29"/>
      <ns0:c r="J298" s="29"/>
      <ns0:c r="K298" s="29"/>
    </ns0:row>
    <ns0:row r="299" ht="28" customHeight="1">
      <ns0:c r="A299" s="29"/>
      <ns0:c r="B299" s="30"/>
      <ns0:c r="C299" s="28"/>
      <ns0:c r="D299" s="29"/>
      <ns0:c r="E299" s="31"/>
      <ns0:c r="F299" s="32"/>
      <ns0:c r="G299" s="29"/>
      <ns0:c r="H299" s="29"/>
      <ns0:c r="I299" s="29"/>
      <ns0:c r="J299" s="29"/>
      <ns0:c r="K299" s="29"/>
    </ns0:row>
    <ns0:row r="300" ht="28" customHeight="1">
      <ns0:c r="A300" s="29"/>
      <ns0:c r="B300" s="30"/>
      <ns0:c r="C300" s="28"/>
      <ns0:c r="D300" s="29"/>
      <ns0:c r="E300" s="31"/>
      <ns0:c r="F300" s="32"/>
      <ns0:c r="G300" s="29"/>
      <ns0:c r="H300" s="29"/>
      <ns0:c r="I300" s="29"/>
      <ns0:c r="J300" s="29"/>
      <ns0:c r="K300" s="29"/>
    </ns0:row>
    <ns0:row r="301" ht="28" customHeight="1">
      <ns0:c r="A301" s="29"/>
      <ns0:c r="B301" s="30"/>
      <ns0:c r="C301" s="28"/>
      <ns0:c r="D301" s="29"/>
      <ns0:c r="E301" s="31"/>
      <ns0:c r="F301" s="32"/>
      <ns0:c r="G301" s="29"/>
      <ns0:c r="H301" s="29"/>
      <ns0:c r="I301" s="29"/>
      <ns0:c r="J301" s="29"/>
      <ns0:c r="K301" s="29"/>
    </ns0:row>
    <ns0:row r="302" ht="28" customHeight="1">
      <ns0:c r="A302" s="29"/>
      <ns0:c r="B302" s="30"/>
      <ns0:c r="C302" s="28"/>
      <ns0:c r="D302" s="29"/>
      <ns0:c r="E302" s="31"/>
      <ns0:c r="F302" s="32"/>
      <ns0:c r="G302" s="29"/>
      <ns0:c r="H302" s="29"/>
      <ns0:c r="I302" s="29"/>
      <ns0:c r="J302" s="29"/>
      <ns0:c r="K302" s="29"/>
    </ns0:row>
    <ns0:row r="303" ht="28" customHeight="1">
      <ns0:c r="A303" s="29"/>
      <ns0:c r="B303" s="30"/>
      <ns0:c r="C303" s="28"/>
      <ns0:c r="D303" s="29"/>
      <ns0:c r="E303" s="31"/>
      <ns0:c r="F303" s="32"/>
      <ns0:c r="G303" s="29"/>
      <ns0:c r="H303" s="29"/>
      <ns0:c r="I303" s="29"/>
      <ns0:c r="J303" s="29"/>
      <ns0:c r="K303" s="29"/>
    </ns0:row>
    <ns0:row r="304" ht="28" customHeight="1">
      <ns0:c r="A304" s="29"/>
      <ns0:c r="B304" s="30"/>
      <ns0:c r="C304" s="28"/>
      <ns0:c r="D304" s="29"/>
      <ns0:c r="E304" s="31"/>
      <ns0:c r="F304" s="32"/>
      <ns0:c r="G304" s="29"/>
      <ns0:c r="H304" s="29"/>
      <ns0:c r="I304" s="29"/>
      <ns0:c r="J304" s="29"/>
      <ns0:c r="K304" s="29"/>
    </ns0:row>
    <ns0:row r="305" ht="28" customHeight="1">
      <ns0:c r="A305" s="29"/>
      <ns0:c r="B305" s="30"/>
      <ns0:c r="C305" s="28"/>
      <ns0:c r="D305" s="29"/>
      <ns0:c r="E305" s="31"/>
      <ns0:c r="F305" s="32"/>
      <ns0:c r="G305" s="29"/>
      <ns0:c r="H305" s="29"/>
      <ns0:c r="I305" s="29"/>
      <ns0:c r="J305" s="29"/>
      <ns0:c r="K305" s="29"/>
    </ns0:row>
    <ns0:row r="306" ht="28" customHeight="1">
      <ns0:c r="A306" s="29"/>
      <ns0:c r="B306" s="30"/>
      <ns0:c r="C306" s="28"/>
      <ns0:c r="D306" s="29"/>
      <ns0:c r="E306" s="31"/>
      <ns0:c r="F306" s="32"/>
      <ns0:c r="G306" s="29"/>
      <ns0:c r="H306" s="29"/>
      <ns0:c r="I306" s="29"/>
      <ns0:c r="J306" s="29"/>
      <ns0:c r="K306" s="29"/>
    </ns0:row>
    <ns0:row r="307" ht="28" customHeight="1">
      <ns0:c r="A307" s="29"/>
      <ns0:c r="B307" s="30"/>
      <ns0:c r="C307" s="28"/>
      <ns0:c r="D307" s="29"/>
      <ns0:c r="E307" s="31"/>
      <ns0:c r="F307" s="32"/>
      <ns0:c r="G307" s="29"/>
      <ns0:c r="H307" s="29"/>
      <ns0:c r="I307" s="29"/>
      <ns0:c r="J307" s="29"/>
      <ns0:c r="K307" s="29"/>
    </ns0:row>
    <ns0:row r="308" ht="28" customHeight="1">
      <ns0:c r="A308" s="29"/>
      <ns0:c r="B308" s="30"/>
      <ns0:c r="C308" s="28"/>
      <ns0:c r="D308" s="29"/>
      <ns0:c r="E308" s="31"/>
      <ns0:c r="F308" s="32"/>
      <ns0:c r="G308" s="29"/>
      <ns0:c r="H308" s="29"/>
      <ns0:c r="I308" s="29"/>
      <ns0:c r="J308" s="29"/>
      <ns0:c r="K308" s="29"/>
    </ns0:row>
    <ns0:row r="309" ht="28" customHeight="1">
      <ns0:c r="A309" s="29"/>
      <ns0:c r="B309" s="30"/>
      <ns0:c r="C309" s="28"/>
      <ns0:c r="D309" s="29"/>
      <ns0:c r="E309" s="31"/>
      <ns0:c r="F309" s="32"/>
      <ns0:c r="G309" s="29"/>
      <ns0:c r="H309" s="29"/>
      <ns0:c r="I309" s="29"/>
      <ns0:c r="J309" s="29"/>
      <ns0:c r="K309" s="29"/>
    </ns0:row>
    <ns0:row r="310" ht="28" customHeight="1">
      <ns0:c r="A310" s="29"/>
      <ns0:c r="B310" s="30"/>
      <ns0:c r="C310" s="28"/>
      <ns0:c r="D310" s="29"/>
      <ns0:c r="E310" s="31"/>
      <ns0:c r="F310" s="32"/>
      <ns0:c r="G310" s="29"/>
      <ns0:c r="H310" s="29"/>
      <ns0:c r="I310" s="29"/>
      <ns0:c r="J310" s="29"/>
      <ns0:c r="K310" s="29"/>
    </ns0:row>
    <ns0:row r="311" ht="28" customHeight="1">
      <ns0:c r="A311" s="29"/>
      <ns0:c r="B311" s="30"/>
      <ns0:c r="C311" s="28"/>
      <ns0:c r="D311" s="29"/>
      <ns0:c r="E311" s="31"/>
      <ns0:c r="F311" s="32"/>
      <ns0:c r="G311" s="29"/>
      <ns0:c r="H311" s="29"/>
      <ns0:c r="I311" s="29"/>
      <ns0:c r="J311" s="29"/>
      <ns0:c r="K311" s="29"/>
    </ns0:row>
    <ns0:row r="312" ht="28" customHeight="1">
      <ns0:c r="A312" s="29"/>
      <ns0:c r="B312" s="30"/>
      <ns0:c r="C312" s="28"/>
      <ns0:c r="D312" s="29"/>
      <ns0:c r="E312" s="31"/>
      <ns0:c r="F312" s="32"/>
      <ns0:c r="G312" s="29"/>
      <ns0:c r="H312" s="29"/>
      <ns0:c r="I312" s="29"/>
      <ns0:c r="J312" s="29"/>
      <ns0:c r="K312" s="29"/>
    </ns0:row>
    <ns0:row r="313" ht="28" customHeight="1">
      <ns0:c r="A313" s="29"/>
      <ns0:c r="B313" s="30"/>
      <ns0:c r="C313" s="28"/>
      <ns0:c r="D313" s="29"/>
      <ns0:c r="E313" s="31"/>
      <ns0:c r="F313" s="32"/>
      <ns0:c r="G313" s="29"/>
      <ns0:c r="H313" s="29"/>
      <ns0:c r="I313" s="29"/>
      <ns0:c r="J313" s="29"/>
      <ns0:c r="K313" s="29"/>
    </ns0:row>
    <ns0:row r="314" ht="28" customHeight="1">
      <ns0:c r="A314" s="29"/>
      <ns0:c r="B314" s="30"/>
      <ns0:c r="C314" s="28"/>
      <ns0:c r="D314" s="29"/>
      <ns0:c r="E314" s="31"/>
      <ns0:c r="F314" s="32"/>
      <ns0:c r="G314" s="29"/>
      <ns0:c r="H314" s="29"/>
      <ns0:c r="I314" s="29"/>
      <ns0:c r="J314" s="29"/>
      <ns0:c r="K314" s="29"/>
    </ns0:row>
    <ns0:row r="315" ht="28" customHeight="1">
      <ns0:c r="A315" s="29"/>
      <ns0:c r="B315" s="30"/>
      <ns0:c r="C315" s="28"/>
      <ns0:c r="D315" s="29"/>
      <ns0:c r="E315" s="31"/>
      <ns0:c r="F315" s="32"/>
      <ns0:c r="G315" s="29"/>
      <ns0:c r="H315" s="29"/>
      <ns0:c r="I315" s="29"/>
      <ns0:c r="J315" s="29"/>
      <ns0:c r="K315" s="29"/>
    </ns0:row>
    <ns0:row r="316" ht="28" customHeight="1">
      <ns0:c r="A316" s="29"/>
      <ns0:c r="B316" s="30"/>
      <ns0:c r="C316" s="28"/>
      <ns0:c r="D316" s="29"/>
      <ns0:c r="E316" s="31"/>
      <ns0:c r="F316" s="32"/>
      <ns0:c r="G316" s="29"/>
      <ns0:c r="H316" s="29"/>
      <ns0:c r="I316" s="29"/>
      <ns0:c r="J316" s="29"/>
      <ns0:c r="K316" s="29"/>
    </ns0:row>
    <ns0:row r="317" ht="28" customHeight="1">
      <ns0:c r="A317" s="29"/>
      <ns0:c r="B317" s="30"/>
      <ns0:c r="C317" s="28"/>
      <ns0:c r="D317" s="29"/>
      <ns0:c r="E317" s="31"/>
      <ns0:c r="F317" s="32"/>
      <ns0:c r="G317" s="29"/>
      <ns0:c r="H317" s="29"/>
      <ns0:c r="I317" s="29"/>
      <ns0:c r="J317" s="29"/>
      <ns0:c r="K317" s="29"/>
    </ns0:row>
    <ns0:row r="318" ht="28" customHeight="1">
      <ns0:c r="A318" s="29"/>
      <ns0:c r="B318" s="30"/>
      <ns0:c r="C318" s="28"/>
      <ns0:c r="D318" s="29"/>
      <ns0:c r="E318" s="31"/>
      <ns0:c r="F318" s="32"/>
      <ns0:c r="G318" s="29"/>
      <ns0:c r="H318" s="29"/>
      <ns0:c r="I318" s="29"/>
      <ns0:c r="J318" s="29"/>
      <ns0:c r="K318" s="29"/>
    </ns0:row>
    <ns0:row r="319" ht="28" customHeight="1">
      <ns0:c r="A319" s="29"/>
      <ns0:c r="B319" s="30"/>
      <ns0:c r="C319" s="28"/>
      <ns0:c r="D319" s="29"/>
      <ns0:c r="E319" s="31"/>
      <ns0:c r="F319" s="32"/>
      <ns0:c r="G319" s="29"/>
      <ns0:c r="H319" s="29"/>
      <ns0:c r="I319" s="29"/>
      <ns0:c r="J319" s="29"/>
      <ns0:c r="K319" s="29"/>
    </ns0:row>
    <ns0:row r="320" ht="28" customHeight="1">
      <ns0:c r="A320" s="29"/>
      <ns0:c r="B320" s="30"/>
      <ns0:c r="C320" s="28"/>
      <ns0:c r="D320" s="29"/>
      <ns0:c r="E320" s="31"/>
      <ns0:c r="F320" s="32"/>
      <ns0:c r="G320" s="29"/>
      <ns0:c r="H320" s="29"/>
      <ns0:c r="I320" s="29"/>
      <ns0:c r="J320" s="29"/>
      <ns0:c r="K320" s="29"/>
    </ns0:row>
    <ns0:row r="321" ht="28" customHeight="1">
      <ns0:c r="A321" s="29"/>
      <ns0:c r="B321" s="30"/>
      <ns0:c r="C321" s="28"/>
      <ns0:c r="D321" s="29"/>
      <ns0:c r="E321" s="31"/>
      <ns0:c r="F321" s="32"/>
      <ns0:c r="G321" s="29"/>
      <ns0:c r="H321" s="29"/>
      <ns0:c r="I321" s="29"/>
      <ns0:c r="J321" s="29"/>
      <ns0:c r="K321" s="29"/>
    </ns0:row>
    <ns0:row r="322" ht="28" customHeight="1">
      <ns0:c r="A322" s="29"/>
      <ns0:c r="B322" s="30"/>
      <ns0:c r="C322" s="28"/>
      <ns0:c r="D322" s="29"/>
      <ns0:c r="E322" s="31"/>
      <ns0:c r="F322" s="32"/>
      <ns0:c r="G322" s="29"/>
      <ns0:c r="H322" s="29"/>
      <ns0:c r="I322" s="29"/>
      <ns0:c r="J322" s="29"/>
      <ns0:c r="K322" s="29"/>
    </ns0:row>
    <ns0:row r="323" ht="28" customHeight="1">
      <ns0:c r="A323" s="29"/>
      <ns0:c r="B323" s="30"/>
      <ns0:c r="C323" s="28"/>
      <ns0:c r="D323" s="29"/>
      <ns0:c r="E323" s="31"/>
      <ns0:c r="F323" s="32"/>
      <ns0:c r="G323" s="29"/>
      <ns0:c r="H323" s="29"/>
      <ns0:c r="I323" s="29"/>
      <ns0:c r="J323" s="29"/>
      <ns0:c r="K323" s="29"/>
    </ns0:row>
    <ns0:row r="324" ht="28" customHeight="1">
      <ns0:c r="A324" s="29"/>
      <ns0:c r="B324" s="30"/>
      <ns0:c r="C324" s="28"/>
      <ns0:c r="D324" s="29"/>
      <ns0:c r="E324" s="31"/>
      <ns0:c r="F324" s="32"/>
      <ns0:c r="G324" s="29"/>
      <ns0:c r="H324" s="29"/>
      <ns0:c r="I324" s="29"/>
      <ns0:c r="J324" s="29"/>
      <ns0:c r="K324" s="29"/>
    </ns0:row>
    <ns0:row r="325" ht="28" customHeight="1">
      <ns0:c r="A325" s="29"/>
      <ns0:c r="B325" s="30"/>
      <ns0:c r="C325" s="28"/>
      <ns0:c r="D325" s="29"/>
      <ns0:c r="E325" s="31"/>
      <ns0:c r="F325" s="32"/>
      <ns0:c r="G325" s="29"/>
      <ns0:c r="H325" s="29"/>
      <ns0:c r="I325" s="29"/>
      <ns0:c r="J325" s="29"/>
      <ns0:c r="K325" s="29"/>
    </ns0:row>
    <ns0:row r="326" ht="28" customHeight="1">
      <ns0:c r="A326" s="29"/>
      <ns0:c r="B326" s="30"/>
      <ns0:c r="C326" s="28"/>
      <ns0:c r="D326" s="29"/>
      <ns0:c r="E326" s="31"/>
      <ns0:c r="F326" s="32"/>
      <ns0:c r="G326" s="29"/>
      <ns0:c r="H326" s="29"/>
      <ns0:c r="I326" s="29"/>
      <ns0:c r="J326" s="29"/>
      <ns0:c r="K326" s="29"/>
    </ns0:row>
    <ns0:row r="327" ht="28" customHeight="1">
      <ns0:c r="A327" s="29"/>
      <ns0:c r="B327" s="30"/>
      <ns0:c r="C327" s="28"/>
      <ns0:c r="D327" s="29"/>
      <ns0:c r="E327" s="31"/>
      <ns0:c r="F327" s="32"/>
      <ns0:c r="G327" s="29"/>
      <ns0:c r="H327" s="29"/>
      <ns0:c r="I327" s="29"/>
      <ns0:c r="J327" s="29"/>
      <ns0:c r="K327" s="29"/>
    </ns0:row>
    <ns0:row r="328" ht="28" customHeight="1">
      <ns0:c r="A328" s="29"/>
      <ns0:c r="B328" s="30"/>
      <ns0:c r="C328" s="28"/>
      <ns0:c r="D328" s="29"/>
      <ns0:c r="E328" s="31"/>
      <ns0:c r="F328" s="32"/>
      <ns0:c r="G328" s="29"/>
      <ns0:c r="H328" s="29"/>
      <ns0:c r="I328" s="29"/>
      <ns0:c r="J328" s="29"/>
      <ns0:c r="K328" s="29"/>
    </ns0:row>
    <ns0:row r="329" ht="28" customHeight="1">
      <ns0:c r="A329" s="29"/>
      <ns0:c r="B329" s="30"/>
      <ns0:c r="C329" s="28"/>
      <ns0:c r="D329" s="29"/>
      <ns0:c r="E329" s="31"/>
      <ns0:c r="F329" s="32"/>
      <ns0:c r="G329" s="29"/>
      <ns0:c r="H329" s="29"/>
      <ns0:c r="I329" s="29"/>
      <ns0:c r="J329" s="29"/>
      <ns0:c r="K329" s="29"/>
    </ns0:row>
    <ns0:row r="330" ht="28" customHeight="1">
      <ns0:c r="A330" s="29"/>
      <ns0:c r="B330" s="30"/>
      <ns0:c r="C330" s="28"/>
      <ns0:c r="D330" s="29"/>
      <ns0:c r="E330" s="31"/>
      <ns0:c r="F330" s="32"/>
      <ns0:c r="G330" s="29"/>
      <ns0:c r="H330" s="29"/>
      <ns0:c r="I330" s="29"/>
      <ns0:c r="J330" s="29"/>
      <ns0:c r="K330" s="29"/>
    </ns0:row>
    <ns0:row r="331" ht="28" customHeight="1">
      <ns0:c r="A331" s="29"/>
      <ns0:c r="B331" s="30"/>
      <ns0:c r="C331" s="28"/>
      <ns0:c r="D331" s="29"/>
      <ns0:c r="E331" s="31"/>
      <ns0:c r="F331" s="32"/>
      <ns0:c r="G331" s="29"/>
      <ns0:c r="H331" s="29"/>
      <ns0:c r="I331" s="29"/>
      <ns0:c r="J331" s="29"/>
      <ns0:c r="K331" s="29"/>
    </ns0:row>
    <ns0:row r="332" ht="28" customHeight="1">
      <ns0:c r="A332" s="29"/>
      <ns0:c r="B332" s="30"/>
      <ns0:c r="C332" s="28"/>
      <ns0:c r="D332" s="29"/>
      <ns0:c r="E332" s="31"/>
      <ns0:c r="F332" s="32"/>
      <ns0:c r="G332" s="29"/>
      <ns0:c r="H332" s="29"/>
      <ns0:c r="I332" s="29"/>
      <ns0:c r="J332" s="29"/>
      <ns0:c r="K332" s="29"/>
    </ns0:row>
    <ns0:row r="333" ht="28" customHeight="1">
      <ns0:c r="A333" s="29"/>
      <ns0:c r="B333" s="30"/>
      <ns0:c r="C333" s="28"/>
      <ns0:c r="D333" s="29"/>
      <ns0:c r="E333" s="31"/>
      <ns0:c r="F333" s="32"/>
      <ns0:c r="G333" s="29"/>
      <ns0:c r="H333" s="29"/>
      <ns0:c r="I333" s="29"/>
      <ns0:c r="J333" s="29"/>
      <ns0:c r="K333" s="29"/>
    </ns0:row>
    <ns0:row r="334" ht="28" customHeight="1">
      <ns0:c r="A334" s="29"/>
      <ns0:c r="B334" s="30"/>
      <ns0:c r="C334" s="28"/>
      <ns0:c r="D334" s="29"/>
      <ns0:c r="E334" s="31"/>
      <ns0:c r="F334" s="32"/>
      <ns0:c r="G334" s="29"/>
      <ns0:c r="H334" s="29"/>
      <ns0:c r="I334" s="29"/>
      <ns0:c r="J334" s="29"/>
      <ns0:c r="K334" s="29"/>
    </ns0:row>
    <ns0:row r="335" ht="28" customHeight="1">
      <ns0:c r="A335" s="29"/>
      <ns0:c r="B335" s="30"/>
      <ns0:c r="C335" s="28"/>
      <ns0:c r="D335" s="29"/>
      <ns0:c r="E335" s="31"/>
      <ns0:c r="F335" s="32"/>
      <ns0:c r="G335" s="29"/>
      <ns0:c r="H335" s="29"/>
      <ns0:c r="I335" s="29"/>
      <ns0:c r="J335" s="29"/>
      <ns0:c r="K335" s="29"/>
    </ns0:row>
    <ns0:row r="336" ht="28" customHeight="1">
      <ns0:c r="A336" s="29"/>
      <ns0:c r="B336" s="30"/>
      <ns0:c r="C336" s="28"/>
      <ns0:c r="D336" s="29"/>
      <ns0:c r="E336" s="31"/>
      <ns0:c r="F336" s="32"/>
      <ns0:c r="G336" s="29"/>
      <ns0:c r="H336" s="29"/>
      <ns0:c r="I336" s="29"/>
      <ns0:c r="J336" s="29"/>
      <ns0:c r="K336" s="29"/>
    </ns0:row>
    <ns0:row r="337" ht="28" customHeight="1">
      <ns0:c r="A337" s="29"/>
      <ns0:c r="B337" s="30"/>
      <ns0:c r="C337" s="28"/>
      <ns0:c r="D337" s="29"/>
      <ns0:c r="E337" s="31"/>
      <ns0:c r="F337" s="32"/>
      <ns0:c r="G337" s="29"/>
      <ns0:c r="H337" s="29"/>
      <ns0:c r="I337" s="29"/>
      <ns0:c r="J337" s="29"/>
      <ns0:c r="K337" s="29"/>
    </ns0:row>
    <ns0:row r="338" ht="28" customHeight="1">
      <ns0:c r="A338" s="29"/>
      <ns0:c r="B338" s="30"/>
      <ns0:c r="C338" s="28"/>
      <ns0:c r="D338" s="29"/>
      <ns0:c r="E338" s="31"/>
      <ns0:c r="F338" s="32"/>
      <ns0:c r="G338" s="29"/>
      <ns0:c r="H338" s="29"/>
      <ns0:c r="I338" s="29"/>
      <ns0:c r="J338" s="29"/>
      <ns0:c r="K338" s="29"/>
    </ns0:row>
    <ns0:row r="339" ht="28" customHeight="1">
      <ns0:c r="A339" s="29"/>
      <ns0:c r="B339" s="30"/>
      <ns0:c r="C339" s="28"/>
      <ns0:c r="D339" s="29"/>
      <ns0:c r="E339" s="31"/>
      <ns0:c r="F339" s="32"/>
      <ns0:c r="G339" s="29"/>
      <ns0:c r="H339" s="29"/>
      <ns0:c r="I339" s="29"/>
      <ns0:c r="J339" s="29"/>
      <ns0:c r="K339" s="29"/>
    </ns0:row>
    <ns0:row r="340" ht="28" customHeight="1">
      <ns0:c r="A340" s="29"/>
      <ns0:c r="B340" s="30"/>
      <ns0:c r="C340" s="28"/>
      <ns0:c r="D340" s="29"/>
      <ns0:c r="E340" s="31"/>
      <ns0:c r="F340" s="32"/>
      <ns0:c r="G340" s="29"/>
      <ns0:c r="H340" s="29"/>
      <ns0:c r="I340" s="29"/>
      <ns0:c r="J340" s="29"/>
      <ns0:c r="K340" s="29"/>
    </ns0:row>
    <ns0:row r="341" ht="28" customHeight="1">
      <ns0:c r="A341" s="29"/>
      <ns0:c r="B341" s="30"/>
      <ns0:c r="C341" s="28"/>
      <ns0:c r="D341" s="29"/>
      <ns0:c r="E341" s="31"/>
      <ns0:c r="F341" s="32"/>
      <ns0:c r="G341" s="29"/>
      <ns0:c r="H341" s="29"/>
      <ns0:c r="I341" s="29"/>
      <ns0:c r="J341" s="29"/>
      <ns0:c r="K341" s="29"/>
    </ns0:row>
    <ns0:row r="342" ht="28" customHeight="1">
      <ns0:c r="A342" s="29"/>
      <ns0:c r="B342" s="30"/>
      <ns0:c r="C342" s="28"/>
      <ns0:c r="D342" s="29"/>
      <ns0:c r="E342" s="31"/>
      <ns0:c r="F342" s="32"/>
      <ns0:c r="G342" s="29"/>
      <ns0:c r="H342" s="29"/>
      <ns0:c r="I342" s="29"/>
      <ns0:c r="J342" s="29"/>
      <ns0:c r="K342" s="29"/>
    </ns0:row>
    <ns0:row r="343" ht="28" customHeight="1">
      <ns0:c r="A343" s="29"/>
      <ns0:c r="B343" s="30"/>
      <ns0:c r="C343" s="28"/>
      <ns0:c r="D343" s="29"/>
      <ns0:c r="E343" s="31"/>
      <ns0:c r="F343" s="32"/>
      <ns0:c r="G343" s="29"/>
      <ns0:c r="H343" s="29"/>
      <ns0:c r="I343" s="29"/>
      <ns0:c r="J343" s="29"/>
      <ns0:c r="K343" s="29"/>
    </ns0:row>
    <ns0:row r="344" ht="28" customHeight="1">
      <ns0:c r="A344" s="29"/>
      <ns0:c r="B344" s="30"/>
      <ns0:c r="C344" s="28"/>
      <ns0:c r="D344" s="29"/>
      <ns0:c r="E344" s="31"/>
      <ns0:c r="F344" s="32"/>
      <ns0:c r="G344" s="29"/>
      <ns0:c r="H344" s="29"/>
      <ns0:c r="I344" s="29"/>
      <ns0:c r="J344" s="29"/>
      <ns0:c r="K344" s="29"/>
    </ns0:row>
    <ns0:row r="345" ht="28" customHeight="1">
      <ns0:c r="A345" s="29"/>
      <ns0:c r="B345" s="30"/>
      <ns0:c r="C345" s="28"/>
      <ns0:c r="D345" s="29"/>
      <ns0:c r="E345" s="31"/>
      <ns0:c r="F345" s="32"/>
      <ns0:c r="G345" s="29"/>
      <ns0:c r="H345" s="29"/>
      <ns0:c r="I345" s="29"/>
      <ns0:c r="J345" s="29"/>
      <ns0:c r="K345" s="29"/>
    </ns0:row>
    <ns0:row r="346" ht="28" customHeight="1">
      <ns0:c r="A346" s="29"/>
      <ns0:c r="B346" s="30"/>
      <ns0:c r="C346" s="28"/>
      <ns0:c r="D346" s="29"/>
      <ns0:c r="E346" s="31"/>
      <ns0:c r="F346" s="32"/>
      <ns0:c r="G346" s="29"/>
      <ns0:c r="H346" s="29"/>
      <ns0:c r="I346" s="29"/>
      <ns0:c r="J346" s="29"/>
      <ns0:c r="K346" s="29"/>
    </ns0:row>
    <ns0:row r="347" ht="28" customHeight="1">
      <ns0:c r="A347" s="29"/>
      <ns0:c r="B347" s="30"/>
      <ns0:c r="C347" s="28"/>
      <ns0:c r="D347" s="29"/>
      <ns0:c r="E347" s="31"/>
      <ns0:c r="F347" s="32"/>
      <ns0:c r="G347" s="29"/>
      <ns0:c r="H347" s="29"/>
      <ns0:c r="I347" s="29"/>
      <ns0:c r="J347" s="29"/>
      <ns0:c r="K347" s="29"/>
    </ns0:row>
    <ns0:row r="348" ht="28" customHeight="1">
      <ns0:c r="A348" s="29"/>
      <ns0:c r="B348" s="30"/>
      <ns0:c r="C348" s="28"/>
      <ns0:c r="D348" s="29"/>
      <ns0:c r="E348" s="31"/>
      <ns0:c r="F348" s="32"/>
      <ns0:c r="G348" s="29"/>
      <ns0:c r="H348" s="29"/>
      <ns0:c r="I348" s="29"/>
      <ns0:c r="J348" s="29"/>
      <ns0:c r="K348" s="29"/>
    </ns0:row>
    <ns0:row r="349" ht="28" customHeight="1">
      <ns0:c r="A349" s="29"/>
      <ns0:c r="B349" s="30"/>
      <ns0:c r="C349" s="28"/>
      <ns0:c r="D349" s="29"/>
      <ns0:c r="E349" s="31"/>
      <ns0:c r="F349" s="32"/>
      <ns0:c r="G349" s="29"/>
      <ns0:c r="H349" s="29"/>
      <ns0:c r="I349" s="29"/>
      <ns0:c r="J349" s="29"/>
      <ns0:c r="K349" s="29"/>
    </ns0:row>
    <ns0:row r="350" ht="28" customHeight="1">
      <ns0:c r="A350" s="29"/>
      <ns0:c r="B350" s="30"/>
      <ns0:c r="C350" s="28"/>
      <ns0:c r="D350" s="29"/>
      <ns0:c r="E350" s="31"/>
      <ns0:c r="F350" s="32"/>
      <ns0:c r="G350" s="29"/>
      <ns0:c r="H350" s="29"/>
      <ns0:c r="I350" s="29"/>
      <ns0:c r="J350" s="29"/>
      <ns0:c r="K350" s="29"/>
    </ns0:row>
    <ns0:row r="351" ht="28" customHeight="1">
      <ns0:c r="A351" s="29"/>
      <ns0:c r="B351" s="30"/>
      <ns0:c r="C351" s="28"/>
      <ns0:c r="D351" s="29"/>
      <ns0:c r="E351" s="31"/>
      <ns0:c r="F351" s="32"/>
      <ns0:c r="G351" s="29"/>
      <ns0:c r="H351" s="29"/>
      <ns0:c r="I351" s="29"/>
      <ns0:c r="J351" s="29"/>
      <ns0:c r="K351" s="29"/>
    </ns0:row>
    <ns0:row r="352" ht="28" customHeight="1">
      <ns0:c r="A352" s="29"/>
      <ns0:c r="B352" s="30"/>
      <ns0:c r="C352" s="28"/>
      <ns0:c r="D352" s="29"/>
      <ns0:c r="E352" s="31"/>
      <ns0:c r="F352" s="32"/>
      <ns0:c r="G352" s="29"/>
      <ns0:c r="H352" s="29"/>
      <ns0:c r="I352" s="29"/>
      <ns0:c r="J352" s="29"/>
      <ns0:c r="K352" s="29"/>
    </ns0:row>
    <ns0:row r="353" ht="28" customHeight="1">
      <ns0:c r="A353" s="29"/>
      <ns0:c r="B353" s="30"/>
      <ns0:c r="C353" s="28"/>
      <ns0:c r="D353" s="29"/>
      <ns0:c r="E353" s="31"/>
      <ns0:c r="F353" s="32"/>
      <ns0:c r="G353" s="29"/>
      <ns0:c r="H353" s="29"/>
      <ns0:c r="I353" s="29"/>
      <ns0:c r="J353" s="29"/>
      <ns0:c r="K353" s="29"/>
    </ns0:row>
    <ns0:row r="354" ht="28" customHeight="1">
      <ns0:c r="A354" s="29"/>
      <ns0:c r="B354" s="30"/>
      <ns0:c r="C354" s="28"/>
      <ns0:c r="D354" s="29"/>
      <ns0:c r="E354" s="31"/>
      <ns0:c r="F354" s="32"/>
      <ns0:c r="G354" s="29"/>
      <ns0:c r="H354" s="29"/>
      <ns0:c r="I354" s="29"/>
      <ns0:c r="J354" s="29"/>
      <ns0:c r="K354" s="29"/>
    </ns0:row>
    <ns0:row r="355" ht="28" customHeight="1">
      <ns0:c r="A355" s="29"/>
      <ns0:c r="B355" s="30"/>
      <ns0:c r="C355" s="28"/>
      <ns0:c r="D355" s="29"/>
      <ns0:c r="E355" s="31"/>
      <ns0:c r="F355" s="32"/>
      <ns0:c r="G355" s="29"/>
      <ns0:c r="H355" s="29"/>
      <ns0:c r="I355" s="29"/>
      <ns0:c r="J355" s="29"/>
      <ns0:c r="K355" s="29"/>
    </ns0:row>
    <ns0:row r="356" ht="28" customHeight="1">
      <ns0:c r="A356" s="29"/>
      <ns0:c r="B356" s="30"/>
      <ns0:c r="C356" s="28"/>
      <ns0:c r="D356" s="29"/>
      <ns0:c r="E356" s="31"/>
      <ns0:c r="F356" s="32"/>
      <ns0:c r="G356" s="29"/>
      <ns0:c r="H356" s="29"/>
      <ns0:c r="I356" s="29"/>
      <ns0:c r="J356" s="29"/>
      <ns0:c r="K356" s="29"/>
    </ns0:row>
    <ns0:row r="357" ht="28" customHeight="1">
      <ns0:c r="A357" s="29"/>
      <ns0:c r="B357" s="30"/>
      <ns0:c r="C357" s="28"/>
      <ns0:c r="D357" s="29"/>
      <ns0:c r="E357" s="31"/>
      <ns0:c r="F357" s="32"/>
      <ns0:c r="G357" s="29"/>
      <ns0:c r="H357" s="29"/>
      <ns0:c r="I357" s="29"/>
      <ns0:c r="J357" s="29"/>
      <ns0:c r="K357" s="29"/>
    </ns0:row>
    <ns0:row r="358" ht="28" customHeight="1">
      <ns0:c r="A358" s="29"/>
      <ns0:c r="B358" s="30"/>
      <ns0:c r="C358" s="28"/>
      <ns0:c r="D358" s="29"/>
      <ns0:c r="E358" s="31"/>
      <ns0:c r="F358" s="32"/>
      <ns0:c r="G358" s="29"/>
      <ns0:c r="H358" s="29"/>
      <ns0:c r="I358" s="29"/>
      <ns0:c r="J358" s="29"/>
      <ns0:c r="K358" s="29"/>
    </ns0:row>
    <ns0:row r="359" ht="28" customHeight="1">
      <ns0:c r="A359" s="29"/>
      <ns0:c r="B359" s="30"/>
      <ns0:c r="C359" s="28"/>
      <ns0:c r="D359" s="29"/>
      <ns0:c r="E359" s="31"/>
      <ns0:c r="F359" s="32"/>
      <ns0:c r="G359" s="29"/>
      <ns0:c r="H359" s="29"/>
      <ns0:c r="I359" s="29"/>
      <ns0:c r="J359" s="29"/>
      <ns0:c r="K359" s="29"/>
    </ns0:row>
    <ns0:row r="360" ht="28" customHeight="1">
      <ns0:c r="A360" s="29"/>
      <ns0:c r="B360" s="30"/>
      <ns0:c r="C360" s="28"/>
      <ns0:c r="D360" s="29"/>
      <ns0:c r="E360" s="31"/>
      <ns0:c r="F360" s="32"/>
      <ns0:c r="G360" s="29"/>
      <ns0:c r="H360" s="29"/>
      <ns0:c r="I360" s="29"/>
      <ns0:c r="J360" s="29"/>
      <ns0:c r="K360" s="29"/>
    </ns0:row>
    <ns0:row r="361" ht="28" customHeight="1">
      <ns0:c r="A361" s="29"/>
      <ns0:c r="B361" s="30"/>
      <ns0:c r="C361" s="28"/>
      <ns0:c r="D361" s="29"/>
      <ns0:c r="E361" s="31"/>
      <ns0:c r="F361" s="32"/>
      <ns0:c r="G361" s="29"/>
      <ns0:c r="H361" s="29"/>
      <ns0:c r="I361" s="29"/>
      <ns0:c r="J361" s="29"/>
      <ns0:c r="K361" s="29"/>
    </ns0:row>
    <ns0:row r="362" ht="28" customHeight="1">
      <ns0:c r="A362" s="29"/>
      <ns0:c r="B362" s="30"/>
      <ns0:c r="C362" s="28"/>
      <ns0:c r="D362" s="29"/>
      <ns0:c r="E362" s="31"/>
      <ns0:c r="F362" s="32"/>
      <ns0:c r="G362" s="29"/>
      <ns0:c r="H362" s="29"/>
      <ns0:c r="I362" s="29"/>
      <ns0:c r="J362" s="29"/>
      <ns0:c r="K362" s="29"/>
    </ns0:row>
    <ns0:row r="363" ht="28" customHeight="1">
      <ns0:c r="A363" s="29"/>
      <ns0:c r="B363" s="30"/>
      <ns0:c r="C363" s="28"/>
      <ns0:c r="D363" s="29"/>
      <ns0:c r="E363" s="31"/>
      <ns0:c r="F363" s="32"/>
      <ns0:c r="G363" s="29"/>
      <ns0:c r="H363" s="29"/>
      <ns0:c r="I363" s="29"/>
      <ns0:c r="J363" s="29"/>
      <ns0:c r="K363" s="29"/>
    </ns0:row>
    <ns0:row r="364" ht="28" customHeight="1">
      <ns0:c r="A364" s="29"/>
      <ns0:c r="B364" s="30"/>
      <ns0:c r="C364" s="28"/>
      <ns0:c r="D364" s="29"/>
      <ns0:c r="E364" s="31"/>
      <ns0:c r="F364" s="32"/>
      <ns0:c r="G364" s="29"/>
      <ns0:c r="H364" s="29"/>
      <ns0:c r="I364" s="29"/>
      <ns0:c r="J364" s="29"/>
      <ns0:c r="K364" s="29"/>
    </ns0:row>
    <ns0:row r="365" ht="28" customHeight="1">
      <ns0:c r="A365" s="29"/>
      <ns0:c r="B365" s="30"/>
      <ns0:c r="C365" s="28"/>
      <ns0:c r="D365" s="29"/>
      <ns0:c r="E365" s="31"/>
      <ns0:c r="F365" s="32"/>
      <ns0:c r="G365" s="29"/>
      <ns0:c r="H365" s="29"/>
      <ns0:c r="I365" s="29"/>
      <ns0:c r="J365" s="29"/>
      <ns0:c r="K365" s="29"/>
    </ns0:row>
    <ns0:row r="366" ht="28" customHeight="1">
      <ns0:c r="A366" s="29"/>
      <ns0:c r="B366" s="30"/>
      <ns0:c r="C366" s="28"/>
      <ns0:c r="D366" s="29"/>
      <ns0:c r="E366" s="31"/>
      <ns0:c r="F366" s="32"/>
      <ns0:c r="G366" s="29"/>
      <ns0:c r="H366" s="29"/>
      <ns0:c r="I366" s="29"/>
      <ns0:c r="J366" s="29"/>
      <ns0:c r="K366" s="29"/>
    </ns0:row>
    <ns0:row r="367" ht="28" customHeight="1">
      <ns0:c r="A367" s="29"/>
      <ns0:c r="B367" s="30"/>
      <ns0:c r="C367" s="28"/>
      <ns0:c r="D367" s="29"/>
      <ns0:c r="E367" s="31"/>
      <ns0:c r="F367" s="32"/>
      <ns0:c r="G367" s="29"/>
      <ns0:c r="H367" s="29"/>
      <ns0:c r="I367" s="29"/>
      <ns0:c r="J367" s="29"/>
      <ns0:c r="K367" s="29"/>
    </ns0:row>
    <ns0:row r="368" ht="28" customHeight="1">
      <ns0:c r="A368" s="29"/>
      <ns0:c r="B368" s="30"/>
      <ns0:c r="C368" s="28"/>
      <ns0:c r="D368" s="29"/>
      <ns0:c r="E368" s="31"/>
      <ns0:c r="F368" s="32"/>
      <ns0:c r="G368" s="29"/>
      <ns0:c r="H368" s="29"/>
      <ns0:c r="I368" s="29"/>
      <ns0:c r="J368" s="29"/>
      <ns0:c r="K368" s="29"/>
    </ns0:row>
    <ns0:row r="369" ht="28" customHeight="1">
      <ns0:c r="A369" s="29"/>
      <ns0:c r="B369" s="30"/>
      <ns0:c r="C369" s="28"/>
      <ns0:c r="D369" s="29"/>
      <ns0:c r="E369" s="31"/>
      <ns0:c r="F369" s="32"/>
      <ns0:c r="G369" s="29"/>
      <ns0:c r="H369" s="29"/>
      <ns0:c r="I369" s="29"/>
      <ns0:c r="J369" s="29"/>
      <ns0:c r="K369" s="29"/>
    </ns0:row>
    <ns0:row r="370" ht="28" customHeight="1">
      <ns0:c r="A370" s="29"/>
      <ns0:c r="B370" s="30"/>
      <ns0:c r="C370" s="28"/>
      <ns0:c r="D370" s="29"/>
      <ns0:c r="E370" s="31"/>
      <ns0:c r="F370" s="32"/>
      <ns0:c r="G370" s="29"/>
      <ns0:c r="H370" s="29"/>
      <ns0:c r="I370" s="29"/>
      <ns0:c r="J370" s="29"/>
      <ns0:c r="K370" s="29"/>
    </ns0:row>
    <ns0:row r="371" ht="28" customHeight="1">
      <ns0:c r="A371" s="29"/>
      <ns0:c r="B371" s="30"/>
      <ns0:c r="C371" s="28"/>
      <ns0:c r="D371" s="29"/>
      <ns0:c r="E371" s="31"/>
      <ns0:c r="F371" s="32"/>
      <ns0:c r="G371" s="29"/>
      <ns0:c r="H371" s="29"/>
      <ns0:c r="I371" s="29"/>
      <ns0:c r="J371" s="29"/>
      <ns0:c r="K371" s="29"/>
    </ns0:row>
    <ns0:row r="372" ht="28" customHeight="1">
      <ns0:c r="A372" s="29"/>
      <ns0:c r="B372" s="30"/>
      <ns0:c r="C372" s="28"/>
      <ns0:c r="D372" s="29"/>
      <ns0:c r="E372" s="31"/>
      <ns0:c r="F372" s="32"/>
      <ns0:c r="G372" s="29"/>
      <ns0:c r="H372" s="29"/>
      <ns0:c r="I372" s="29"/>
      <ns0:c r="J372" s="29"/>
      <ns0:c r="K372" s="29"/>
    </ns0:row>
    <ns0:row r="373" ht="28" customHeight="1">
      <ns0:c r="A373" s="29"/>
      <ns0:c r="B373" s="30"/>
      <ns0:c r="C373" s="28"/>
      <ns0:c r="D373" s="29"/>
      <ns0:c r="E373" s="31"/>
      <ns0:c r="F373" s="32"/>
      <ns0:c r="G373" s="29"/>
      <ns0:c r="H373" s="29"/>
      <ns0:c r="I373" s="29"/>
      <ns0:c r="J373" s="29"/>
      <ns0:c r="K373" s="29"/>
    </ns0:row>
    <ns0:row r="374" ht="28" customHeight="1">
      <ns0:c r="A374" s="29"/>
      <ns0:c r="B374" s="30"/>
      <ns0:c r="C374" s="28"/>
      <ns0:c r="D374" s="29"/>
      <ns0:c r="E374" s="31"/>
      <ns0:c r="F374" s="32"/>
      <ns0:c r="G374" s="29"/>
      <ns0:c r="H374" s="29"/>
      <ns0:c r="I374" s="29"/>
      <ns0:c r="J374" s="29"/>
      <ns0:c r="K374" s="29"/>
    </ns0:row>
    <ns0:row r="375" ht="28" customHeight="1">
      <ns0:c r="A375" s="29"/>
      <ns0:c r="B375" s="30"/>
      <ns0:c r="C375" s="28"/>
      <ns0:c r="D375" s="29"/>
      <ns0:c r="E375" s="31"/>
      <ns0:c r="F375" s="32"/>
      <ns0:c r="G375" s="29"/>
      <ns0:c r="H375" s="29"/>
      <ns0:c r="I375" s="29"/>
      <ns0:c r="J375" s="29"/>
      <ns0:c r="K375" s="29"/>
    </ns0:row>
    <ns0:row r="376" ht="28" customHeight="1">
      <ns0:c r="A376" s="29"/>
      <ns0:c r="B376" s="30"/>
      <ns0:c r="C376" s="28"/>
      <ns0:c r="D376" s="29"/>
      <ns0:c r="E376" s="31"/>
      <ns0:c r="F376" s="32"/>
      <ns0:c r="G376" s="29"/>
      <ns0:c r="H376" s="29"/>
      <ns0:c r="I376" s="29"/>
      <ns0:c r="J376" s="29"/>
      <ns0:c r="K376" s="29"/>
    </ns0:row>
    <ns0:row r="377" ht="28" customHeight="1">
      <ns0:c r="A377" s="29"/>
      <ns0:c r="B377" s="30"/>
      <ns0:c r="C377" s="28"/>
      <ns0:c r="D377" s="29"/>
      <ns0:c r="E377" s="31"/>
      <ns0:c r="F377" s="32"/>
      <ns0:c r="G377" s="29"/>
      <ns0:c r="H377" s="29"/>
      <ns0:c r="I377" s="29"/>
      <ns0:c r="J377" s="29"/>
      <ns0:c r="K377" s="29"/>
    </ns0:row>
    <ns0:row r="378" ht="28" customHeight="1">
      <ns0:c r="A378" s="29"/>
      <ns0:c r="B378" s="30"/>
      <ns0:c r="C378" s="28"/>
      <ns0:c r="D378" s="29"/>
      <ns0:c r="E378" s="31"/>
      <ns0:c r="F378" s="32"/>
      <ns0:c r="G378" s="29"/>
      <ns0:c r="H378" s="29"/>
      <ns0:c r="I378" s="29"/>
      <ns0:c r="J378" s="29"/>
      <ns0:c r="K378" s="29"/>
    </ns0:row>
    <ns0:row r="379" ht="28" customHeight="1">
      <ns0:c r="A379" s="29"/>
      <ns0:c r="B379" s="30"/>
      <ns0:c r="C379" s="28"/>
      <ns0:c r="D379" s="29"/>
      <ns0:c r="E379" s="31"/>
      <ns0:c r="F379" s="32"/>
      <ns0:c r="G379" s="29"/>
      <ns0:c r="H379" s="29"/>
      <ns0:c r="I379" s="29"/>
      <ns0:c r="J379" s="29"/>
      <ns0:c r="K379" s="29"/>
    </ns0:row>
    <ns0:row r="380" ht="28" customHeight="1">
      <ns0:c r="A380" s="29"/>
      <ns0:c r="B380" s="30"/>
      <ns0:c r="C380" s="28"/>
      <ns0:c r="D380" s="29"/>
      <ns0:c r="E380" s="31"/>
      <ns0:c r="F380" s="32"/>
      <ns0:c r="G380" s="29"/>
      <ns0:c r="H380" s="29"/>
      <ns0:c r="I380" s="29"/>
      <ns0:c r="J380" s="29"/>
      <ns0:c r="K380" s="29"/>
    </ns0:row>
    <ns0:row r="381" ht="28" customHeight="1">
      <ns0:c r="A381" s="29"/>
      <ns0:c r="B381" s="30"/>
      <ns0:c r="C381" s="28"/>
      <ns0:c r="D381" s="29"/>
      <ns0:c r="E381" s="31"/>
      <ns0:c r="F381" s="32"/>
      <ns0:c r="G381" s="29"/>
      <ns0:c r="H381" s="29"/>
      <ns0:c r="I381" s="29"/>
      <ns0:c r="J381" s="29"/>
      <ns0:c r="K381" s="29"/>
    </ns0:row>
    <ns0:row r="382" ht="28" customHeight="1">
      <ns0:c r="A382" s="29"/>
      <ns0:c r="B382" s="30"/>
      <ns0:c r="C382" s="28"/>
      <ns0:c r="D382" s="29"/>
      <ns0:c r="E382" s="31"/>
      <ns0:c r="F382" s="32"/>
      <ns0:c r="G382" s="29"/>
      <ns0:c r="H382" s="29"/>
      <ns0:c r="I382" s="29"/>
      <ns0:c r="J382" s="29"/>
      <ns0:c r="K382" s="29"/>
    </ns0:row>
    <ns0:row r="383" ht="28" customHeight="1">
      <ns0:c r="A383" s="29"/>
      <ns0:c r="B383" s="30"/>
      <ns0:c r="C383" s="28"/>
      <ns0:c r="D383" s="29"/>
      <ns0:c r="E383" s="31"/>
      <ns0:c r="F383" s="32"/>
      <ns0:c r="G383" s="29"/>
      <ns0:c r="H383" s="29"/>
      <ns0:c r="I383" s="29"/>
      <ns0:c r="J383" s="29"/>
      <ns0:c r="K383" s="29"/>
    </ns0:row>
    <ns0:row r="384" ht="28" customHeight="1">
      <ns0:c r="A384" s="29"/>
      <ns0:c r="B384" s="30"/>
      <ns0:c r="C384" s="28"/>
      <ns0:c r="D384" s="29"/>
      <ns0:c r="E384" s="31"/>
      <ns0:c r="F384" s="32"/>
      <ns0:c r="G384" s="29"/>
      <ns0:c r="H384" s="29"/>
      <ns0:c r="I384" s="29"/>
      <ns0:c r="J384" s="29"/>
      <ns0:c r="K384" s="29"/>
    </ns0:row>
    <ns0:row r="385" ht="28" customHeight="1">
      <ns0:c r="A385" s="29"/>
      <ns0:c r="B385" s="30"/>
      <ns0:c r="C385" s="28"/>
      <ns0:c r="D385" s="29"/>
      <ns0:c r="E385" s="31"/>
      <ns0:c r="F385" s="32"/>
      <ns0:c r="G385" s="29"/>
      <ns0:c r="H385" s="29"/>
      <ns0:c r="I385" s="29"/>
      <ns0:c r="J385" s="29"/>
      <ns0:c r="K385" s="29"/>
    </ns0:row>
    <ns0:row r="386" ht="28" customHeight="1">
      <ns0:c r="A386" s="29"/>
      <ns0:c r="B386" s="30"/>
      <ns0:c r="C386" s="28"/>
      <ns0:c r="D386" s="29"/>
      <ns0:c r="E386" s="31"/>
      <ns0:c r="F386" s="32"/>
      <ns0:c r="G386" s="29"/>
      <ns0:c r="H386" s="29"/>
      <ns0:c r="I386" s="29"/>
      <ns0:c r="J386" s="29"/>
      <ns0:c r="K386" s="29"/>
    </ns0:row>
    <ns0:row r="387" ht="28" customHeight="1">
      <ns0:c r="A387" s="29"/>
      <ns0:c r="B387" s="30"/>
      <ns0:c r="C387" s="28"/>
      <ns0:c r="D387" s="29"/>
      <ns0:c r="E387" s="31"/>
      <ns0:c r="F387" s="32"/>
      <ns0:c r="G387" s="29"/>
      <ns0:c r="H387" s="29"/>
      <ns0:c r="I387" s="29"/>
      <ns0:c r="J387" s="29"/>
      <ns0:c r="K387" s="29"/>
    </ns0:row>
    <ns0:row r="388" ht="28" customHeight="1">
      <ns0:c r="A388" s="29"/>
      <ns0:c r="B388" s="30"/>
      <ns0:c r="C388" s="28"/>
      <ns0:c r="D388" s="29"/>
      <ns0:c r="E388" s="31"/>
      <ns0:c r="F388" s="32"/>
      <ns0:c r="G388" s="29"/>
      <ns0:c r="H388" s="29"/>
      <ns0:c r="I388" s="29"/>
      <ns0:c r="J388" s="29"/>
      <ns0:c r="K388" s="29"/>
    </ns0:row>
    <ns0:row r="389" ht="28" customHeight="1">
      <ns0:c r="A389" s="29"/>
      <ns0:c r="B389" s="30"/>
      <ns0:c r="C389" s="28"/>
      <ns0:c r="D389" s="29"/>
      <ns0:c r="E389" s="31"/>
      <ns0:c r="F389" s="32"/>
      <ns0:c r="G389" s="29"/>
      <ns0:c r="H389" s="29"/>
      <ns0:c r="I389" s="29"/>
      <ns0:c r="J389" s="29"/>
      <ns0:c r="K389" s="29"/>
    </ns0:row>
    <ns0:row r="390" ht="28" customHeight="1">
      <ns0:c r="A390" s="29"/>
      <ns0:c r="B390" s="30"/>
      <ns0:c r="C390" s="28"/>
      <ns0:c r="D390" s="29"/>
      <ns0:c r="E390" s="31"/>
      <ns0:c r="F390" s="32"/>
      <ns0:c r="G390" s="29"/>
      <ns0:c r="H390" s="29"/>
      <ns0:c r="I390" s="29"/>
      <ns0:c r="J390" s="29"/>
      <ns0:c r="K390" s="29"/>
    </ns0:row>
    <ns0:row r="391" ht="28" customHeight="1">
      <ns0:c r="A391" s="29"/>
      <ns0:c r="B391" s="30"/>
      <ns0:c r="C391" s="28"/>
      <ns0:c r="D391" s="29"/>
      <ns0:c r="E391" s="31"/>
      <ns0:c r="F391" s="32"/>
      <ns0:c r="G391" s="29"/>
      <ns0:c r="H391" s="29"/>
      <ns0:c r="I391" s="29"/>
      <ns0:c r="J391" s="29"/>
      <ns0:c r="K391" s="29"/>
    </ns0:row>
    <ns0:row r="392" ht="28" customHeight="1">
      <ns0:c r="A392" s="29"/>
      <ns0:c r="B392" s="30"/>
      <ns0:c r="C392" s="28"/>
      <ns0:c r="D392" s="29"/>
      <ns0:c r="E392" s="31"/>
      <ns0:c r="F392" s="32"/>
      <ns0:c r="G392" s="29"/>
      <ns0:c r="H392" s="29"/>
      <ns0:c r="I392" s="29"/>
      <ns0:c r="J392" s="29"/>
      <ns0:c r="K392" s="29"/>
    </ns0:row>
    <ns0:row r="393" ht="28" customHeight="1">
      <ns0:c r="A393" s="29"/>
      <ns0:c r="B393" s="30"/>
      <ns0:c r="C393" s="28"/>
      <ns0:c r="D393" s="29"/>
      <ns0:c r="E393" s="31"/>
      <ns0:c r="F393" s="32"/>
      <ns0:c r="G393" s="29"/>
      <ns0:c r="H393" s="29"/>
      <ns0:c r="I393" s="29"/>
      <ns0:c r="J393" s="29"/>
      <ns0:c r="K393" s="29"/>
    </ns0:row>
    <ns0:row r="394" ht="28" customHeight="1">
      <ns0:c r="A394" s="29"/>
      <ns0:c r="B394" s="30"/>
      <ns0:c r="C394" s="28"/>
      <ns0:c r="D394" s="29"/>
      <ns0:c r="E394" s="31"/>
      <ns0:c r="F394" s="32"/>
      <ns0:c r="G394" s="29"/>
      <ns0:c r="H394" s="29"/>
      <ns0:c r="I394" s="29"/>
      <ns0:c r="J394" s="29"/>
      <ns0:c r="K394" s="29"/>
    </ns0:row>
    <ns0:row r="395" ht="28" customHeight="1">
      <ns0:c r="A395" s="29"/>
      <ns0:c r="B395" s="30"/>
      <ns0:c r="C395" s="28"/>
      <ns0:c r="D395" s="29"/>
      <ns0:c r="E395" s="31"/>
      <ns0:c r="F395" s="32"/>
      <ns0:c r="G395" s="29"/>
      <ns0:c r="H395" s="29"/>
      <ns0:c r="I395" s="29"/>
      <ns0:c r="J395" s="29"/>
      <ns0:c r="K395" s="29"/>
    </ns0:row>
    <ns0:row r="396" ht="28" customHeight="1">
      <ns0:c r="A396" s="29"/>
      <ns0:c r="B396" s="30"/>
      <ns0:c r="C396" s="28"/>
      <ns0:c r="D396" s="29"/>
      <ns0:c r="E396" s="31"/>
      <ns0:c r="F396" s="32"/>
      <ns0:c r="G396" s="29"/>
      <ns0:c r="H396" s="29"/>
      <ns0:c r="I396" s="29"/>
      <ns0:c r="J396" s="29"/>
      <ns0:c r="K396" s="29"/>
    </ns0:row>
    <ns0:row r="397" ht="28" customHeight="1">
      <ns0:c r="A397" s="29"/>
      <ns0:c r="B397" s="30"/>
      <ns0:c r="C397" s="28"/>
      <ns0:c r="D397" s="29"/>
      <ns0:c r="E397" s="31"/>
      <ns0:c r="F397" s="32"/>
      <ns0:c r="G397" s="29"/>
      <ns0:c r="H397" s="29"/>
      <ns0:c r="I397" s="29"/>
      <ns0:c r="J397" s="29"/>
      <ns0:c r="K397" s="29"/>
    </ns0:row>
    <ns0:row r="398" ht="28" customHeight="1">
      <ns0:c r="A398" s="29"/>
      <ns0:c r="B398" s="30"/>
      <ns0:c r="C398" s="28"/>
      <ns0:c r="D398" s="29"/>
      <ns0:c r="E398" s="31"/>
      <ns0:c r="F398" s="32"/>
      <ns0:c r="G398" s="29"/>
      <ns0:c r="H398" s="29"/>
      <ns0:c r="I398" s="29"/>
      <ns0:c r="J398" s="29"/>
      <ns0:c r="K398" s="29"/>
    </ns0:row>
    <ns0:row r="399" ht="28" customHeight="1">
      <ns0:c r="A399" s="29"/>
      <ns0:c r="B399" s="30"/>
      <ns0:c r="C399" s="28"/>
      <ns0:c r="D399" s="29"/>
      <ns0:c r="E399" s="31"/>
      <ns0:c r="F399" s="32"/>
      <ns0:c r="G399" s="29"/>
      <ns0:c r="H399" s="29"/>
      <ns0:c r="I399" s="29"/>
      <ns0:c r="J399" s="29"/>
      <ns0:c r="K399" s="29"/>
    </ns0:row>
    <ns0:row r="400" ht="28" customHeight="1">
      <ns0:c r="A400" s="29"/>
      <ns0:c r="B400" s="30"/>
      <ns0:c r="C400" s="28"/>
      <ns0:c r="D400" s="29"/>
      <ns0:c r="E400" s="31"/>
      <ns0:c r="F400" s="32"/>
      <ns0:c r="G400" s="29"/>
      <ns0:c r="H400" s="29"/>
      <ns0:c r="I400" s="29"/>
      <ns0:c r="J400" s="29"/>
      <ns0:c r="K400" s="29"/>
    </ns0:row>
    <ns0:row r="401" ht="28" customHeight="1">
      <ns0:c r="A401" s="29"/>
      <ns0:c r="B401" s="30"/>
      <ns0:c r="C401" s="28"/>
      <ns0:c r="D401" s="29"/>
      <ns0:c r="E401" s="31"/>
      <ns0:c r="F401" s="32"/>
      <ns0:c r="G401" s="29"/>
      <ns0:c r="H401" s="29"/>
      <ns0:c r="I401" s="29"/>
      <ns0:c r="J401" s="29"/>
      <ns0:c r="K401" s="29"/>
    </ns0:row>
    <ns0:row r="402" ht="28" customHeight="1">
      <ns0:c r="A402" s="29"/>
      <ns0:c r="B402" s="30"/>
      <ns0:c r="C402" s="28"/>
      <ns0:c r="D402" s="29"/>
      <ns0:c r="E402" s="31"/>
      <ns0:c r="F402" s="32"/>
      <ns0:c r="G402" s="29"/>
      <ns0:c r="H402" s="29"/>
      <ns0:c r="I402" s="29"/>
      <ns0:c r="J402" s="29"/>
      <ns0:c r="K402" s="29"/>
    </ns0:row>
    <ns0:row r="403" ht="28" customHeight="1">
      <ns0:c r="A403" s="29"/>
      <ns0:c r="B403" s="30"/>
      <ns0:c r="C403" s="28"/>
      <ns0:c r="D403" s="29"/>
      <ns0:c r="E403" s="31"/>
      <ns0:c r="F403" s="32"/>
      <ns0:c r="G403" s="29"/>
      <ns0:c r="H403" s="29"/>
      <ns0:c r="I403" s="29"/>
      <ns0:c r="J403" s="29"/>
      <ns0:c r="K403" s="29"/>
    </ns0:row>
    <ns0:row r="404" ht="28" customHeight="1">
      <ns0:c r="A404" s="29"/>
      <ns0:c r="B404" s="30"/>
      <ns0:c r="C404" s="28"/>
      <ns0:c r="D404" s="29"/>
      <ns0:c r="E404" s="31"/>
      <ns0:c r="F404" s="32"/>
      <ns0:c r="G404" s="29"/>
      <ns0:c r="H404" s="29"/>
      <ns0:c r="I404" s="29"/>
      <ns0:c r="J404" s="29"/>
      <ns0:c r="K404" s="29"/>
    </ns0:row>
    <ns0:row r="405" ht="28" customHeight="1">
      <ns0:c r="A405" s="29"/>
      <ns0:c r="B405" s="30"/>
      <ns0:c r="C405" s="28"/>
      <ns0:c r="D405" s="29"/>
      <ns0:c r="E405" s="31"/>
      <ns0:c r="F405" s="32"/>
      <ns0:c r="G405" s="29"/>
      <ns0:c r="H405" s="29"/>
      <ns0:c r="I405" s="29"/>
      <ns0:c r="J405" s="29"/>
      <ns0:c r="K405" s="29"/>
    </ns0:row>
    <ns0:row r="406" ht="28" customHeight="1">
      <ns0:c r="A406" s="29"/>
      <ns0:c r="B406" s="30"/>
      <ns0:c r="C406" s="28"/>
      <ns0:c r="D406" s="29"/>
      <ns0:c r="E406" s="31"/>
      <ns0:c r="F406" s="32"/>
      <ns0:c r="G406" s="29"/>
      <ns0:c r="H406" s="29"/>
      <ns0:c r="I406" s="29"/>
      <ns0:c r="J406" s="29"/>
      <ns0:c r="K406" s="29"/>
    </ns0:row>
    <ns0:row r="407" ht="28" customHeight="1">
      <ns0:c r="A407" s="29"/>
      <ns0:c r="B407" s="30"/>
      <ns0:c r="C407" s="28"/>
      <ns0:c r="D407" s="29"/>
      <ns0:c r="E407" s="31"/>
      <ns0:c r="F407" s="32"/>
      <ns0:c r="G407" s="29"/>
      <ns0:c r="H407" s="29"/>
      <ns0:c r="I407" s="29"/>
      <ns0:c r="J407" s="29"/>
      <ns0:c r="K407" s="29"/>
    </ns0:row>
    <ns0:row r="408" ht="28" customHeight="1">
      <ns0:c r="A408" s="29"/>
      <ns0:c r="B408" s="30"/>
      <ns0:c r="C408" s="28"/>
      <ns0:c r="D408" s="29"/>
      <ns0:c r="E408" s="31"/>
      <ns0:c r="F408" s="32"/>
      <ns0:c r="G408" s="29"/>
      <ns0:c r="H408" s="29"/>
      <ns0:c r="I408" s="29"/>
      <ns0:c r="J408" s="29"/>
      <ns0:c r="K408" s="29"/>
    </ns0:row>
    <ns0:row r="409" ht="28" customHeight="1">
      <ns0:c r="A409" s="29"/>
      <ns0:c r="B409" s="30"/>
      <ns0:c r="C409" s="28"/>
      <ns0:c r="D409" s="29"/>
      <ns0:c r="E409" s="31"/>
      <ns0:c r="F409" s="32"/>
      <ns0:c r="G409" s="29"/>
      <ns0:c r="H409" s="29"/>
      <ns0:c r="I409" s="29"/>
      <ns0:c r="J409" s="29"/>
      <ns0:c r="K409" s="29"/>
    </ns0:row>
    <ns0:row r="410" ht="28" customHeight="1">
      <ns0:c r="A410" s="29"/>
      <ns0:c r="B410" s="30"/>
      <ns0:c r="C410" s="28"/>
      <ns0:c r="D410" s="29"/>
      <ns0:c r="E410" s="31"/>
      <ns0:c r="F410" s="32"/>
      <ns0:c r="G410" s="29"/>
      <ns0:c r="H410" s="29"/>
      <ns0:c r="I410" s="29"/>
      <ns0:c r="J410" s="29"/>
      <ns0:c r="K410" s="29"/>
    </ns0:row>
    <ns0:row r="411" ht="28" customHeight="1">
      <ns0:c r="A411" s="29"/>
      <ns0:c r="B411" s="30"/>
      <ns0:c r="C411" s="28"/>
      <ns0:c r="D411" s="29"/>
      <ns0:c r="E411" s="31"/>
      <ns0:c r="F411" s="32"/>
      <ns0:c r="G411" s="29"/>
      <ns0:c r="H411" s="29"/>
      <ns0:c r="I411" s="29"/>
      <ns0:c r="J411" s="29"/>
      <ns0:c r="K411" s="29"/>
    </ns0:row>
    <ns0:row r="412" ht="28" customHeight="1">
      <ns0:c r="A412" s="29"/>
      <ns0:c r="B412" s="30"/>
      <ns0:c r="C412" s="28"/>
      <ns0:c r="D412" s="29"/>
      <ns0:c r="E412" s="31"/>
      <ns0:c r="F412" s="32"/>
      <ns0:c r="G412" s="29"/>
      <ns0:c r="H412" s="29"/>
      <ns0:c r="I412" s="29"/>
      <ns0:c r="J412" s="29"/>
      <ns0:c r="K412" s="29"/>
    </ns0:row>
    <ns0:row r="413" ht="28" customHeight="1">
      <ns0:c r="A413" s="29"/>
      <ns0:c r="B413" s="30"/>
      <ns0:c r="C413" s="28"/>
      <ns0:c r="D413" s="29"/>
      <ns0:c r="E413" s="31"/>
      <ns0:c r="F413" s="32"/>
      <ns0:c r="G413" s="29"/>
      <ns0:c r="H413" s="29"/>
      <ns0:c r="I413" s="29"/>
      <ns0:c r="J413" s="29"/>
      <ns0:c r="K413" s="29"/>
    </ns0:row>
    <ns0:row r="414" ht="28" customHeight="1">
      <ns0:c r="A414" s="29"/>
      <ns0:c r="B414" s="30"/>
      <ns0:c r="C414" s="28"/>
      <ns0:c r="D414" s="29"/>
      <ns0:c r="E414" s="31"/>
      <ns0:c r="F414" s="32"/>
      <ns0:c r="G414" s="29"/>
      <ns0:c r="H414" s="29"/>
      <ns0:c r="I414" s="29"/>
      <ns0:c r="J414" s="29"/>
      <ns0:c r="K414" s="29"/>
    </ns0:row>
    <ns0:row r="415" ht="28" customHeight="1">
      <ns0:c r="A415" s="29"/>
      <ns0:c r="B415" s="30"/>
      <ns0:c r="C415" s="28"/>
      <ns0:c r="D415" s="29"/>
      <ns0:c r="E415" s="31"/>
      <ns0:c r="F415" s="32"/>
      <ns0:c r="G415" s="29"/>
      <ns0:c r="H415" s="29"/>
      <ns0:c r="I415" s="29"/>
      <ns0:c r="J415" s="29"/>
      <ns0:c r="K415" s="29"/>
    </ns0:row>
    <ns0:row r="416" ht="28" customHeight="1">
      <ns0:c r="A416" s="29"/>
      <ns0:c r="B416" s="30"/>
      <ns0:c r="C416" s="28"/>
      <ns0:c r="D416" s="29"/>
      <ns0:c r="E416" s="31"/>
      <ns0:c r="F416" s="32"/>
      <ns0:c r="G416" s="29"/>
      <ns0:c r="H416" s="29"/>
      <ns0:c r="I416" s="29"/>
      <ns0:c r="J416" s="29"/>
      <ns0:c r="K416" s="29"/>
    </ns0:row>
    <ns0:row r="417" ht="28" customHeight="1">
      <ns0:c r="A417" s="29"/>
      <ns0:c r="B417" s="30"/>
      <ns0:c r="C417" s="28"/>
      <ns0:c r="D417" s="29"/>
      <ns0:c r="E417" s="31"/>
      <ns0:c r="F417" s="32"/>
      <ns0:c r="G417" s="29"/>
      <ns0:c r="H417" s="29"/>
      <ns0:c r="I417" s="29"/>
      <ns0:c r="J417" s="29"/>
      <ns0:c r="K417" s="29"/>
    </ns0:row>
    <ns0:row r="418" ht="28" customHeight="1">
      <ns0:c r="A418" s="29"/>
      <ns0:c r="B418" s="30"/>
      <ns0:c r="C418" s="28"/>
      <ns0:c r="D418" s="29"/>
      <ns0:c r="E418" s="31"/>
      <ns0:c r="F418" s="32"/>
      <ns0:c r="G418" s="29"/>
      <ns0:c r="H418" s="29"/>
      <ns0:c r="I418" s="29"/>
      <ns0:c r="J418" s="29"/>
      <ns0:c r="K418" s="29"/>
    </ns0:row>
    <ns0:row r="419" ht="28" customHeight="1">
      <ns0:c r="A419" s="29"/>
      <ns0:c r="B419" s="30"/>
      <ns0:c r="C419" s="28"/>
      <ns0:c r="D419" s="29"/>
      <ns0:c r="E419" s="31"/>
      <ns0:c r="F419" s="32"/>
      <ns0:c r="G419" s="29"/>
      <ns0:c r="H419" s="29"/>
      <ns0:c r="I419" s="29"/>
      <ns0:c r="J419" s="29"/>
      <ns0:c r="K419" s="29"/>
    </ns0:row>
    <ns0:row r="420" ht="28" customHeight="1">
      <ns0:c r="A420" s="29"/>
      <ns0:c r="B420" s="30"/>
      <ns0:c r="C420" s="28"/>
      <ns0:c r="D420" s="29"/>
      <ns0:c r="E420" s="31"/>
      <ns0:c r="F420" s="32"/>
      <ns0:c r="G420" s="29"/>
      <ns0:c r="H420" s="29"/>
      <ns0:c r="I420" s="29"/>
      <ns0:c r="J420" s="29"/>
      <ns0:c r="K420" s="29"/>
    </ns0:row>
    <ns0:row r="421" ht="28" customHeight="1">
      <ns0:c r="A421" s="29"/>
      <ns0:c r="B421" s="30"/>
      <ns0:c r="C421" s="28"/>
      <ns0:c r="D421" s="29"/>
      <ns0:c r="E421" s="31"/>
      <ns0:c r="F421" s="32"/>
      <ns0:c r="G421" s="29"/>
      <ns0:c r="H421" s="29"/>
      <ns0:c r="I421" s="29"/>
      <ns0:c r="J421" s="29"/>
      <ns0:c r="K421" s="29"/>
    </ns0:row>
    <ns0:row r="422" ht="28" customHeight="1">
      <ns0:c r="A422" s="29"/>
      <ns0:c r="B422" s="30"/>
      <ns0:c r="C422" s="28"/>
      <ns0:c r="D422" s="29"/>
      <ns0:c r="E422" s="31"/>
      <ns0:c r="F422" s="32"/>
      <ns0:c r="G422" s="29"/>
      <ns0:c r="H422" s="29"/>
      <ns0:c r="I422" s="29"/>
      <ns0:c r="J422" s="29"/>
      <ns0:c r="K422" s="29"/>
    </ns0:row>
    <ns0:row r="423" ht="28" customHeight="1">
      <ns0:c r="A423" s="29"/>
      <ns0:c r="B423" s="30"/>
      <ns0:c r="C423" s="28"/>
      <ns0:c r="D423" s="29"/>
      <ns0:c r="E423" s="31"/>
      <ns0:c r="F423" s="32"/>
      <ns0:c r="G423" s="29"/>
      <ns0:c r="H423" s="29"/>
      <ns0:c r="I423" s="29"/>
      <ns0:c r="J423" s="29"/>
      <ns0:c r="K423" s="29"/>
    </ns0:row>
    <ns0:row r="424" ht="28" customHeight="1">
      <ns0:c r="A424" s="29"/>
      <ns0:c r="B424" s="30"/>
      <ns0:c r="C424" s="28"/>
      <ns0:c r="D424" s="29"/>
      <ns0:c r="E424" s="31"/>
      <ns0:c r="F424" s="32"/>
      <ns0:c r="G424" s="29"/>
      <ns0:c r="H424" s="29"/>
      <ns0:c r="I424" s="29"/>
      <ns0:c r="J424" s="29"/>
      <ns0:c r="K424" s="29"/>
    </ns0:row>
    <ns0:row r="425" ht="28" customHeight="1">
      <ns0:c r="A425" s="29"/>
      <ns0:c r="B425" s="30"/>
      <ns0:c r="C425" s="28"/>
      <ns0:c r="D425" s="29"/>
      <ns0:c r="E425" s="31"/>
      <ns0:c r="F425" s="32"/>
      <ns0:c r="G425" s="29"/>
      <ns0:c r="H425" s="29"/>
      <ns0:c r="I425" s="29"/>
      <ns0:c r="J425" s="29"/>
      <ns0:c r="K425" s="29"/>
    </ns0:row>
    <ns0:row r="426" ht="28" customHeight="1">
      <ns0:c r="A426" s="29"/>
      <ns0:c r="B426" s="30"/>
      <ns0:c r="C426" s="28"/>
      <ns0:c r="D426" s="29"/>
      <ns0:c r="E426" s="31"/>
      <ns0:c r="F426" s="32"/>
      <ns0:c r="G426" s="29"/>
      <ns0:c r="H426" s="29"/>
      <ns0:c r="I426" s="29"/>
      <ns0:c r="J426" s="29"/>
      <ns0:c r="K426" s="29"/>
    </ns0:row>
    <ns0:row r="427" ht="28" customHeight="1">
      <ns0:c r="A427" s="29"/>
      <ns0:c r="B427" s="30"/>
      <ns0:c r="C427" s="28"/>
      <ns0:c r="D427" s="29"/>
      <ns0:c r="E427" s="31"/>
      <ns0:c r="F427" s="32"/>
      <ns0:c r="G427" s="29"/>
      <ns0:c r="H427" s="29"/>
      <ns0:c r="I427" s="29"/>
      <ns0:c r="J427" s="29"/>
      <ns0:c r="K427" s="29"/>
    </ns0:row>
    <ns0:row r="428" ht="28" customHeight="1">
      <ns0:c r="A428" s="29"/>
      <ns0:c r="B428" s="30"/>
      <ns0:c r="C428" s="28"/>
      <ns0:c r="D428" s="29"/>
      <ns0:c r="E428" s="31"/>
      <ns0:c r="F428" s="32"/>
      <ns0:c r="G428" s="29"/>
      <ns0:c r="H428" s="29"/>
      <ns0:c r="I428" s="29"/>
      <ns0:c r="J428" s="29"/>
      <ns0:c r="K428" s="29"/>
    </ns0:row>
    <ns0:row r="429" ht="28" customHeight="1">
      <ns0:c r="A429" s="29"/>
      <ns0:c r="B429" s="30"/>
      <ns0:c r="C429" s="28"/>
      <ns0:c r="D429" s="29"/>
      <ns0:c r="E429" s="31"/>
      <ns0:c r="F429" s="32"/>
      <ns0:c r="G429" s="29"/>
      <ns0:c r="H429" s="29"/>
      <ns0:c r="I429" s="29"/>
      <ns0:c r="J429" s="29"/>
      <ns0:c r="K429" s="29"/>
    </ns0:row>
    <ns0:row r="430" ht="28" customHeight="1">
      <ns0:c r="A430" s="29"/>
      <ns0:c r="B430" s="30"/>
      <ns0:c r="C430" s="28"/>
      <ns0:c r="D430" s="29"/>
      <ns0:c r="E430" s="31"/>
      <ns0:c r="F430" s="32"/>
      <ns0:c r="G430" s="29"/>
      <ns0:c r="H430" s="29"/>
      <ns0:c r="I430" s="29"/>
      <ns0:c r="J430" s="29"/>
      <ns0:c r="K430" s="29"/>
    </ns0:row>
    <ns0:row r="431" ht="28" customHeight="1">
      <ns0:c r="A431" s="29"/>
      <ns0:c r="B431" s="30"/>
      <ns0:c r="C431" s="28"/>
      <ns0:c r="D431" s="29"/>
      <ns0:c r="E431" s="31"/>
      <ns0:c r="F431" s="32"/>
      <ns0:c r="G431" s="29"/>
      <ns0:c r="H431" s="29"/>
      <ns0:c r="I431" s="29"/>
      <ns0:c r="J431" s="29"/>
      <ns0:c r="K431" s="29"/>
    </ns0:row>
    <ns0:row r="432" ht="28" customHeight="1">
      <ns0:c r="A432" s="29"/>
      <ns0:c r="B432" s="30"/>
      <ns0:c r="C432" s="28"/>
      <ns0:c r="D432" s="29"/>
      <ns0:c r="E432" s="31"/>
      <ns0:c r="F432" s="32"/>
      <ns0:c r="G432" s="29"/>
      <ns0:c r="H432" s="29"/>
      <ns0:c r="I432" s="29"/>
      <ns0:c r="J432" s="29"/>
      <ns0:c r="K432" s="29"/>
    </ns0:row>
    <ns0:row r="433" ht="28" customHeight="1">
      <ns0:c r="A433" s="29"/>
      <ns0:c r="B433" s="30"/>
      <ns0:c r="C433" s="28"/>
      <ns0:c r="D433" s="29"/>
      <ns0:c r="E433" s="31"/>
      <ns0:c r="F433" s="32"/>
      <ns0:c r="G433" s="29"/>
      <ns0:c r="H433" s="29"/>
      <ns0:c r="I433" s="29"/>
      <ns0:c r="J433" s="29"/>
      <ns0:c r="K433" s="29"/>
    </ns0:row>
    <ns0:row r="434" ht="28" customHeight="1">
      <ns0:c r="A434" s="29"/>
      <ns0:c r="B434" s="30"/>
      <ns0:c r="C434" s="28"/>
      <ns0:c r="D434" s="29"/>
      <ns0:c r="E434" s="31"/>
      <ns0:c r="F434" s="32"/>
      <ns0:c r="G434" s="29"/>
      <ns0:c r="H434" s="29"/>
      <ns0:c r="I434" s="29"/>
      <ns0:c r="J434" s="29"/>
      <ns0:c r="K434" s="29"/>
    </ns0:row>
    <ns0:row r="435" ht="28" customHeight="1">
      <ns0:c r="A435" s="29"/>
      <ns0:c r="B435" s="30"/>
      <ns0:c r="C435" s="28"/>
      <ns0:c r="D435" s="29"/>
      <ns0:c r="E435" s="31"/>
      <ns0:c r="F435" s="32"/>
      <ns0:c r="G435" s="29"/>
      <ns0:c r="H435" s="29"/>
      <ns0:c r="I435" s="29"/>
      <ns0:c r="J435" s="29"/>
      <ns0:c r="K435" s="29"/>
    </ns0:row>
    <ns0:row r="436" ht="28" customHeight="1">
      <ns0:c r="A436" s="29"/>
      <ns0:c r="B436" s="30"/>
      <ns0:c r="C436" s="28"/>
      <ns0:c r="D436" s="29"/>
      <ns0:c r="E436" s="31"/>
      <ns0:c r="F436" s="32"/>
      <ns0:c r="G436" s="29"/>
      <ns0:c r="H436" s="29"/>
      <ns0:c r="I436" s="29"/>
      <ns0:c r="J436" s="29"/>
      <ns0:c r="K436" s="29"/>
    </ns0:row>
    <ns0:row r="437" ht="28" customHeight="1">
      <ns0:c r="A437" s="29"/>
      <ns0:c r="B437" s="30"/>
      <ns0:c r="C437" s="28"/>
      <ns0:c r="D437" s="29"/>
      <ns0:c r="E437" s="31"/>
      <ns0:c r="F437" s="32"/>
      <ns0:c r="G437" s="29"/>
      <ns0:c r="H437" s="29"/>
      <ns0:c r="I437" s="29"/>
      <ns0:c r="J437" s="29"/>
      <ns0:c r="K437" s="29"/>
    </ns0:row>
    <ns0:row r="438" ht="28" customHeight="1">
      <ns0:c r="A438" s="29"/>
      <ns0:c r="B438" s="30"/>
      <ns0:c r="C438" s="28"/>
      <ns0:c r="D438" s="29"/>
      <ns0:c r="E438" s="31"/>
      <ns0:c r="F438" s="32"/>
      <ns0:c r="G438" s="29"/>
      <ns0:c r="H438" s="29"/>
      <ns0:c r="I438" s="29"/>
      <ns0:c r="J438" s="29"/>
      <ns0:c r="K438" s="29"/>
    </ns0:row>
    <ns0:row r="439" ht="28" customHeight="1">
      <ns0:c r="A439" s="29"/>
      <ns0:c r="B439" s="30"/>
      <ns0:c r="C439" s="28"/>
      <ns0:c r="D439" s="29"/>
      <ns0:c r="E439" s="31"/>
      <ns0:c r="F439" s="32"/>
      <ns0:c r="G439" s="29"/>
      <ns0:c r="H439" s="29"/>
      <ns0:c r="I439" s="29"/>
      <ns0:c r="J439" s="29"/>
      <ns0:c r="K439" s="29"/>
    </ns0:row>
    <ns0:row r="440" ht="28" customHeight="1">
      <ns0:c r="A440" s="29"/>
      <ns0:c r="B440" s="30"/>
      <ns0:c r="C440" s="28"/>
      <ns0:c r="D440" s="29"/>
      <ns0:c r="E440" s="31"/>
      <ns0:c r="F440" s="32"/>
      <ns0:c r="G440" s="29"/>
      <ns0:c r="H440" s="29"/>
      <ns0:c r="I440" s="29"/>
      <ns0:c r="J440" s="29"/>
      <ns0:c r="K440" s="29"/>
    </ns0:row>
    <ns0:row r="441" ht="28" customHeight="1">
      <ns0:c r="A441" s="29"/>
      <ns0:c r="B441" s="30"/>
      <ns0:c r="C441" s="28"/>
      <ns0:c r="D441" s="29"/>
      <ns0:c r="E441" s="31"/>
      <ns0:c r="F441" s="32"/>
      <ns0:c r="G441" s="29"/>
      <ns0:c r="H441" s="29"/>
      <ns0:c r="I441" s="29"/>
      <ns0:c r="J441" s="29"/>
      <ns0:c r="K441" s="29"/>
    </ns0:row>
    <ns0:row r="442" ht="28" customHeight="1">
      <ns0:c r="A442" s="29"/>
      <ns0:c r="B442" s="30"/>
      <ns0:c r="C442" s="28"/>
      <ns0:c r="D442" s="29"/>
      <ns0:c r="E442" s="31"/>
      <ns0:c r="F442" s="32"/>
      <ns0:c r="G442" s="29"/>
      <ns0:c r="H442" s="29"/>
      <ns0:c r="I442" s="29"/>
      <ns0:c r="J442" s="29"/>
      <ns0:c r="K442" s="29"/>
    </ns0:row>
    <ns0:row r="443" ht="28" customHeight="1">
      <ns0:c r="A443" s="29"/>
      <ns0:c r="B443" s="30"/>
      <ns0:c r="C443" s="28"/>
      <ns0:c r="D443" s="29"/>
      <ns0:c r="E443" s="31"/>
      <ns0:c r="F443" s="32"/>
      <ns0:c r="G443" s="29"/>
      <ns0:c r="H443" s="29"/>
      <ns0:c r="I443" s="29"/>
      <ns0:c r="J443" s="29"/>
      <ns0:c r="K443" s="29"/>
    </ns0:row>
    <ns0:row r="444" ht="28" customHeight="1">
      <ns0:c r="A444" s="29"/>
      <ns0:c r="B444" s="30"/>
      <ns0:c r="C444" s="28"/>
      <ns0:c r="D444" s="29"/>
      <ns0:c r="E444" s="31"/>
      <ns0:c r="F444" s="32"/>
      <ns0:c r="G444" s="29"/>
      <ns0:c r="H444" s="29"/>
      <ns0:c r="I444" s="29"/>
      <ns0:c r="J444" s="29"/>
      <ns0:c r="K444" s="29"/>
    </ns0:row>
    <ns0:row r="445" ht="28" customHeight="1">
      <ns0:c r="A445" s="29"/>
      <ns0:c r="B445" s="30"/>
      <ns0:c r="C445" s="28"/>
      <ns0:c r="D445" s="29"/>
      <ns0:c r="E445" s="31"/>
      <ns0:c r="F445" s="32"/>
      <ns0:c r="G445" s="29"/>
      <ns0:c r="H445" s="29"/>
      <ns0:c r="I445" s="29"/>
      <ns0:c r="J445" s="29"/>
      <ns0:c r="K445" s="29"/>
    </ns0:row>
    <ns0:row r="446" ht="28" customHeight="1">
      <ns0:c r="A446" s="29"/>
      <ns0:c r="B446" s="30"/>
      <ns0:c r="C446" s="28"/>
      <ns0:c r="D446" s="29"/>
      <ns0:c r="E446" s="31"/>
      <ns0:c r="F446" s="32"/>
      <ns0:c r="G446" s="29"/>
      <ns0:c r="H446" s="29"/>
      <ns0:c r="I446" s="29"/>
      <ns0:c r="J446" s="29"/>
      <ns0:c r="K446" s="29"/>
    </ns0:row>
    <ns0:row r="447" ht="28" customHeight="1">
      <ns0:c r="A447" s="29"/>
      <ns0:c r="B447" s="30"/>
      <ns0:c r="C447" s="28"/>
      <ns0:c r="D447" s="29"/>
      <ns0:c r="E447" s="31"/>
      <ns0:c r="F447" s="32"/>
      <ns0:c r="G447" s="29"/>
      <ns0:c r="H447" s="29"/>
      <ns0:c r="I447" s="29"/>
      <ns0:c r="J447" s="29"/>
      <ns0:c r="K447" s="29"/>
    </ns0:row>
    <ns0:row r="448" ht="28" customHeight="1">
      <ns0:c r="A448" s="29"/>
      <ns0:c r="B448" s="30"/>
      <ns0:c r="C448" s="28"/>
      <ns0:c r="D448" s="29"/>
      <ns0:c r="E448" s="31"/>
      <ns0:c r="F448" s="32"/>
      <ns0:c r="G448" s="29"/>
      <ns0:c r="H448" s="29"/>
      <ns0:c r="I448" s="29"/>
      <ns0:c r="J448" s="29"/>
      <ns0:c r="K448" s="29"/>
    </ns0:row>
    <ns0:row r="449" ht="28" customHeight="1">
      <ns0:c r="A449" s="29"/>
      <ns0:c r="B449" s="30"/>
      <ns0:c r="C449" s="28"/>
      <ns0:c r="D449" s="29"/>
      <ns0:c r="E449" s="31"/>
      <ns0:c r="F449" s="32"/>
      <ns0:c r="G449" s="29"/>
      <ns0:c r="H449" s="29"/>
      <ns0:c r="I449" s="29"/>
      <ns0:c r="J449" s="29"/>
      <ns0:c r="K449" s="29"/>
    </ns0:row>
    <ns0:row r="450" ht="28" customHeight="1">
      <ns0:c r="A450" s="29"/>
      <ns0:c r="B450" s="30"/>
      <ns0:c r="C450" s="28"/>
      <ns0:c r="D450" s="29"/>
      <ns0:c r="E450" s="31"/>
      <ns0:c r="F450" s="32"/>
      <ns0:c r="G450" s="29"/>
      <ns0:c r="H450" s="29"/>
      <ns0:c r="I450" s="29"/>
      <ns0:c r="J450" s="29"/>
      <ns0:c r="K450" s="29"/>
    </ns0:row>
    <ns0:row r="451" ht="28" customHeight="1">
      <ns0:c r="A451" s="29"/>
      <ns0:c r="B451" s="30"/>
      <ns0:c r="C451" s="28"/>
      <ns0:c r="D451" s="29"/>
      <ns0:c r="E451" s="31"/>
      <ns0:c r="F451" s="32"/>
      <ns0:c r="G451" s="29"/>
      <ns0:c r="H451" s="29"/>
      <ns0:c r="I451" s="29"/>
      <ns0:c r="J451" s="29"/>
      <ns0:c r="K451" s="29"/>
    </ns0:row>
    <ns0:row r="452" ht="28" customHeight="1">
      <ns0:c r="A452" s="29"/>
      <ns0:c r="B452" s="30"/>
      <ns0:c r="C452" s="28"/>
      <ns0:c r="D452" s="29"/>
      <ns0:c r="E452" s="31"/>
      <ns0:c r="F452" s="32"/>
      <ns0:c r="G452" s="29"/>
      <ns0:c r="H452" s="29"/>
      <ns0:c r="I452" s="29"/>
      <ns0:c r="J452" s="29"/>
      <ns0:c r="K452" s="29"/>
    </ns0:row>
    <ns0:row r="453" ht="28" customHeight="1">
      <ns0:c r="A453" s="29"/>
      <ns0:c r="B453" s="30"/>
      <ns0:c r="C453" s="28"/>
      <ns0:c r="D453" s="29"/>
      <ns0:c r="E453" s="31"/>
      <ns0:c r="F453" s="32"/>
      <ns0:c r="G453" s="29"/>
      <ns0:c r="H453" s="29"/>
      <ns0:c r="I453" s="29"/>
      <ns0:c r="J453" s="29"/>
      <ns0:c r="K453" s="29"/>
    </ns0:row>
    <ns0:row r="454" ht="28" customHeight="1">
      <ns0:c r="A454" s="29"/>
      <ns0:c r="B454" s="30"/>
      <ns0:c r="C454" s="28"/>
      <ns0:c r="D454" s="29"/>
      <ns0:c r="E454" s="31"/>
      <ns0:c r="F454" s="32"/>
      <ns0:c r="G454" s="29"/>
      <ns0:c r="H454" s="29"/>
      <ns0:c r="I454" s="29"/>
      <ns0:c r="J454" s="29"/>
      <ns0:c r="K454" s="29"/>
    </ns0:row>
    <ns0:row r="455" ht="28" customHeight="1">
      <ns0:c r="A455" s="29"/>
      <ns0:c r="B455" s="30"/>
      <ns0:c r="C455" s="28"/>
      <ns0:c r="D455" s="29"/>
      <ns0:c r="E455" s="31"/>
      <ns0:c r="F455" s="32"/>
      <ns0:c r="G455" s="29"/>
      <ns0:c r="H455" s="29"/>
      <ns0:c r="I455" s="29"/>
      <ns0:c r="J455" s="29"/>
      <ns0:c r="K455" s="29"/>
    </ns0:row>
    <ns0:row r="456" ht="28" customHeight="1">
      <ns0:c r="A456" s="29"/>
      <ns0:c r="B456" s="30"/>
      <ns0:c r="C456" s="28"/>
      <ns0:c r="D456" s="29"/>
      <ns0:c r="E456" s="31"/>
      <ns0:c r="F456" s="32"/>
      <ns0:c r="G456" s="29"/>
      <ns0:c r="H456" s="29"/>
      <ns0:c r="I456" s="29"/>
      <ns0:c r="J456" s="29"/>
      <ns0:c r="K456" s="29"/>
    </ns0:row>
    <ns0:row r="457" ht="28" customHeight="1">
      <ns0:c r="A457" s="29"/>
      <ns0:c r="B457" s="30"/>
      <ns0:c r="C457" s="28"/>
      <ns0:c r="D457" s="29"/>
      <ns0:c r="E457" s="31"/>
      <ns0:c r="F457" s="32"/>
      <ns0:c r="G457" s="29"/>
      <ns0:c r="H457" s="29"/>
      <ns0:c r="I457" s="29"/>
      <ns0:c r="J457" s="29"/>
      <ns0:c r="K457" s="29"/>
    </ns0:row>
    <ns0:row r="458" ht="28" customHeight="1">
      <ns0:c r="A458" s="29"/>
      <ns0:c r="B458" s="30"/>
      <ns0:c r="C458" s="28"/>
      <ns0:c r="D458" s="29"/>
      <ns0:c r="E458" s="31"/>
      <ns0:c r="F458" s="32"/>
      <ns0:c r="G458" s="29"/>
      <ns0:c r="H458" s="29"/>
      <ns0:c r="I458" s="29"/>
      <ns0:c r="J458" s="29"/>
      <ns0:c r="K458" s="29"/>
    </ns0:row>
    <ns0:row r="459" ht="28" customHeight="1">
      <ns0:c r="A459" s="29"/>
      <ns0:c r="B459" s="30"/>
      <ns0:c r="C459" s="28"/>
      <ns0:c r="D459" s="29"/>
      <ns0:c r="E459" s="31"/>
      <ns0:c r="F459" s="32"/>
      <ns0:c r="G459" s="29"/>
      <ns0:c r="H459" s="29"/>
      <ns0:c r="I459" s="29"/>
      <ns0:c r="J459" s="29"/>
      <ns0:c r="K459" s="29"/>
    </ns0:row>
    <ns0:row r="460" ht="28" customHeight="1">
      <ns0:c r="A460" s="29"/>
      <ns0:c r="B460" s="30"/>
      <ns0:c r="C460" s="28"/>
      <ns0:c r="D460" s="29"/>
      <ns0:c r="E460" s="31"/>
      <ns0:c r="F460" s="32"/>
      <ns0:c r="G460" s="29"/>
      <ns0:c r="H460" s="29"/>
      <ns0:c r="I460" s="29"/>
      <ns0:c r="J460" s="29"/>
      <ns0:c r="K460" s="29"/>
    </ns0:row>
    <ns0:row r="461" ht="28" customHeight="1">
      <ns0:c r="A461" s="29"/>
      <ns0:c r="B461" s="30"/>
      <ns0:c r="C461" s="28"/>
      <ns0:c r="D461" s="29"/>
      <ns0:c r="E461" s="31"/>
      <ns0:c r="F461" s="32"/>
      <ns0:c r="G461" s="29"/>
      <ns0:c r="H461" s="29"/>
      <ns0:c r="I461" s="29"/>
      <ns0:c r="J461" s="29"/>
      <ns0:c r="K461" s="29"/>
    </ns0:row>
    <ns0:row r="462" ht="28" customHeight="1">
      <ns0:c r="A462" s="29"/>
      <ns0:c r="B462" s="30"/>
      <ns0:c r="C462" s="28"/>
      <ns0:c r="D462" s="29"/>
      <ns0:c r="E462" s="31"/>
      <ns0:c r="F462" s="32"/>
      <ns0:c r="G462" s="29"/>
      <ns0:c r="H462" s="29"/>
      <ns0:c r="I462" s="29"/>
      <ns0:c r="J462" s="29"/>
      <ns0:c r="K462" s="29"/>
    </ns0:row>
    <ns0:row r="463" ht="28" customHeight="1">
      <ns0:c r="A463" s="29"/>
      <ns0:c r="B463" s="30"/>
      <ns0:c r="C463" s="28"/>
      <ns0:c r="D463" s="29"/>
      <ns0:c r="E463" s="31"/>
      <ns0:c r="F463" s="32"/>
      <ns0:c r="G463" s="29"/>
      <ns0:c r="H463" s="29"/>
      <ns0:c r="I463" s="29"/>
      <ns0:c r="J463" s="29"/>
      <ns0:c r="K463" s="29"/>
    </ns0:row>
    <ns0:row r="464" ht="28" customHeight="1">
      <ns0:c r="A464" s="29"/>
      <ns0:c r="B464" s="30"/>
      <ns0:c r="C464" s="28"/>
      <ns0:c r="D464" s="29"/>
      <ns0:c r="E464" s="31"/>
      <ns0:c r="F464" s="32"/>
      <ns0:c r="G464" s="29"/>
      <ns0:c r="H464" s="29"/>
      <ns0:c r="I464" s="29"/>
      <ns0:c r="J464" s="29"/>
      <ns0:c r="K464" s="29"/>
    </ns0:row>
    <ns0:row r="465" ht="28" customHeight="1">
      <ns0:c r="A465" s="29"/>
      <ns0:c r="B465" s="30"/>
      <ns0:c r="C465" s="28"/>
      <ns0:c r="D465" s="29"/>
      <ns0:c r="E465" s="31"/>
      <ns0:c r="F465" s="32"/>
      <ns0:c r="G465" s="29"/>
      <ns0:c r="H465" s="29"/>
      <ns0:c r="I465" s="29"/>
      <ns0:c r="J465" s="29"/>
      <ns0:c r="K465" s="29"/>
    </ns0:row>
    <ns0:row r="466" ht="28" customHeight="1">
      <ns0:c r="A466" s="29"/>
      <ns0:c r="B466" s="30"/>
      <ns0:c r="C466" s="28"/>
      <ns0:c r="D466" s="29"/>
      <ns0:c r="E466" s="31"/>
      <ns0:c r="F466" s="32"/>
      <ns0:c r="G466" s="29"/>
      <ns0:c r="H466" s="29"/>
      <ns0:c r="I466" s="29"/>
      <ns0:c r="J466" s="29"/>
      <ns0:c r="K466" s="29"/>
    </ns0:row>
    <ns0:row r="467" ht="28" customHeight="1">
      <ns0:c r="A467" s="29"/>
      <ns0:c r="B467" s="30"/>
      <ns0:c r="C467" s="28"/>
      <ns0:c r="D467" s="29"/>
      <ns0:c r="E467" s="31"/>
      <ns0:c r="F467" s="32"/>
      <ns0:c r="G467" s="29"/>
      <ns0:c r="H467" s="29"/>
      <ns0:c r="I467" s="29"/>
      <ns0:c r="J467" s="29"/>
      <ns0:c r="K467" s="29"/>
    </ns0:row>
    <ns0:row r="468" ht="28" customHeight="1">
      <ns0:c r="A468" s="29"/>
      <ns0:c r="B468" s="30"/>
      <ns0:c r="C468" s="28"/>
      <ns0:c r="D468" s="29"/>
      <ns0:c r="E468" s="31"/>
      <ns0:c r="F468" s="32"/>
      <ns0:c r="G468" s="29"/>
      <ns0:c r="H468" s="29"/>
      <ns0:c r="I468" s="29"/>
      <ns0:c r="J468" s="29"/>
      <ns0:c r="K468" s="29"/>
    </ns0:row>
    <ns0:row r="469" ht="28" customHeight="1">
      <ns0:c r="A469" s="29"/>
      <ns0:c r="B469" s="30"/>
      <ns0:c r="C469" s="28"/>
      <ns0:c r="D469" s="29"/>
      <ns0:c r="E469" s="31"/>
      <ns0:c r="F469" s="32"/>
      <ns0:c r="G469" s="29"/>
      <ns0:c r="H469" s="29"/>
      <ns0:c r="I469" s="29"/>
      <ns0:c r="J469" s="29"/>
      <ns0:c r="K469" s="29"/>
    </ns0:row>
    <ns0:row r="470" ht="28" customHeight="1">
      <ns0:c r="A470" s="29"/>
      <ns0:c r="B470" s="30"/>
      <ns0:c r="C470" s="28"/>
      <ns0:c r="D470" s="29"/>
      <ns0:c r="E470" s="31"/>
      <ns0:c r="F470" s="32"/>
      <ns0:c r="G470" s="29"/>
      <ns0:c r="H470" s="29"/>
      <ns0:c r="I470" s="29"/>
      <ns0:c r="J470" s="29"/>
      <ns0:c r="K470" s="29"/>
    </ns0:row>
    <ns0:row r="471" ht="28" customHeight="1">
      <ns0:c r="A471" s="29"/>
      <ns0:c r="B471" s="30"/>
      <ns0:c r="C471" s="28"/>
      <ns0:c r="D471" s="29"/>
      <ns0:c r="E471" s="31"/>
      <ns0:c r="F471" s="32"/>
      <ns0:c r="G471" s="29"/>
      <ns0:c r="H471" s="29"/>
      <ns0:c r="I471" s="29"/>
      <ns0:c r="J471" s="29"/>
      <ns0:c r="K471" s="29"/>
    </ns0:row>
    <ns0:row r="472" ht="28" customHeight="1">
      <ns0:c r="A472" s="29"/>
      <ns0:c r="B472" s="30"/>
      <ns0:c r="C472" s="28"/>
      <ns0:c r="D472" s="29"/>
      <ns0:c r="E472" s="31"/>
      <ns0:c r="F472" s="32"/>
      <ns0:c r="G472" s="29"/>
      <ns0:c r="H472" s="29"/>
      <ns0:c r="I472" s="29"/>
      <ns0:c r="J472" s="29"/>
      <ns0:c r="K472" s="29"/>
    </ns0:row>
    <ns0:row r="473" ht="28" customHeight="1">
      <ns0:c r="A473" s="29"/>
      <ns0:c r="B473" s="30"/>
      <ns0:c r="C473" s="28"/>
      <ns0:c r="D473" s="29"/>
      <ns0:c r="E473" s="31"/>
      <ns0:c r="F473" s="32"/>
      <ns0:c r="G473" s="29"/>
      <ns0:c r="H473" s="29"/>
      <ns0:c r="I473" s="29"/>
      <ns0:c r="J473" s="29"/>
      <ns0:c r="K473" s="29"/>
    </ns0:row>
    <ns0:row r="474" ht="28" customHeight="1">
      <ns0:c r="A474" s="29"/>
      <ns0:c r="B474" s="30"/>
      <ns0:c r="C474" s="28"/>
      <ns0:c r="D474" s="29"/>
      <ns0:c r="E474" s="31"/>
      <ns0:c r="F474" s="32"/>
      <ns0:c r="G474" s="29"/>
      <ns0:c r="H474" s="29"/>
      <ns0:c r="I474" s="29"/>
      <ns0:c r="J474" s="29"/>
      <ns0:c r="K474" s="29"/>
    </ns0:row>
    <ns0:row r="475" ht="28" customHeight="1">
      <ns0:c r="A475" s="29"/>
      <ns0:c r="B475" s="30"/>
      <ns0:c r="C475" s="28"/>
      <ns0:c r="D475" s="29"/>
      <ns0:c r="E475" s="31"/>
      <ns0:c r="F475" s="32"/>
      <ns0:c r="G475" s="29"/>
      <ns0:c r="H475" s="29"/>
      <ns0:c r="I475" s="29"/>
      <ns0:c r="J475" s="29"/>
      <ns0:c r="K475" s="29"/>
    </ns0:row>
    <ns0:row r="476" ht="28" customHeight="1">
      <ns0:c r="A476" s="29"/>
      <ns0:c r="B476" s="30"/>
      <ns0:c r="C476" s="28"/>
      <ns0:c r="D476" s="29"/>
      <ns0:c r="E476" s="31"/>
      <ns0:c r="F476" s="32"/>
      <ns0:c r="G476" s="29"/>
      <ns0:c r="H476" s="29"/>
      <ns0:c r="I476" s="29"/>
      <ns0:c r="J476" s="29"/>
      <ns0:c r="K476" s="29"/>
    </ns0:row>
    <ns0:row r="477" ht="28" customHeight="1">
      <ns0:c r="A477" s="29"/>
      <ns0:c r="B477" s="30"/>
      <ns0:c r="C477" s="28"/>
      <ns0:c r="D477" s="29"/>
      <ns0:c r="E477" s="31"/>
      <ns0:c r="F477" s="32"/>
      <ns0:c r="G477" s="29"/>
      <ns0:c r="H477" s="29"/>
      <ns0:c r="I477" s="29"/>
      <ns0:c r="J477" s="29"/>
      <ns0:c r="K477" s="29"/>
    </ns0:row>
    <ns0:row r="478" ht="28" customHeight="1">
      <ns0:c r="A478" s="29"/>
      <ns0:c r="B478" s="30"/>
      <ns0:c r="C478" s="28"/>
      <ns0:c r="D478" s="29"/>
      <ns0:c r="E478" s="31"/>
      <ns0:c r="F478" s="32"/>
      <ns0:c r="G478" s="29"/>
      <ns0:c r="H478" s="29"/>
      <ns0:c r="I478" s="29"/>
      <ns0:c r="J478" s="29"/>
      <ns0:c r="K478" s="29"/>
    </ns0:row>
    <ns0:row r="479" ht="28" customHeight="1">
      <ns0:c r="A479" s="29"/>
      <ns0:c r="B479" s="30"/>
      <ns0:c r="C479" s="28"/>
      <ns0:c r="D479" s="29"/>
      <ns0:c r="E479" s="31"/>
      <ns0:c r="F479" s="32"/>
      <ns0:c r="G479" s="29"/>
      <ns0:c r="H479" s="29"/>
      <ns0:c r="I479" s="29"/>
      <ns0:c r="J479" s="29"/>
      <ns0:c r="K479" s="29"/>
    </ns0:row>
    <ns0:row r="480" ht="28" customHeight="1">
      <ns0:c r="A480" s="29"/>
      <ns0:c r="B480" s="30"/>
      <ns0:c r="C480" s="28"/>
      <ns0:c r="D480" s="29"/>
      <ns0:c r="E480" s="31"/>
      <ns0:c r="F480" s="32"/>
      <ns0:c r="G480" s="29"/>
      <ns0:c r="H480" s="29"/>
      <ns0:c r="I480" s="29"/>
      <ns0:c r="J480" s="29"/>
      <ns0:c r="K480" s="29"/>
    </ns0:row>
    <ns0:row r="481" ht="28" customHeight="1">
      <ns0:c r="A481" s="29"/>
      <ns0:c r="B481" s="30"/>
      <ns0:c r="C481" s="28"/>
      <ns0:c r="D481" s="29"/>
      <ns0:c r="E481" s="31"/>
      <ns0:c r="F481" s="32"/>
      <ns0:c r="G481" s="29"/>
      <ns0:c r="H481" s="29"/>
      <ns0:c r="I481" s="29"/>
      <ns0:c r="J481" s="29"/>
      <ns0:c r="K481" s="29"/>
    </ns0:row>
    <ns0:row r="482" ht="28" customHeight="1">
      <ns0:c r="A482" s="29"/>
      <ns0:c r="B482" s="30"/>
      <ns0:c r="C482" s="28"/>
      <ns0:c r="D482" s="29"/>
      <ns0:c r="E482" s="31"/>
      <ns0:c r="F482" s="32"/>
      <ns0:c r="G482" s="29"/>
      <ns0:c r="H482" s="29"/>
      <ns0:c r="I482" s="29"/>
      <ns0:c r="J482" s="29"/>
      <ns0:c r="K482" s="29"/>
    </ns0:row>
    <ns0:row r="483" ht="28" customHeight="1">
      <ns0:c r="A483" s="29"/>
      <ns0:c r="B483" s="30"/>
      <ns0:c r="C483" s="28"/>
      <ns0:c r="D483" s="29"/>
      <ns0:c r="E483" s="31"/>
      <ns0:c r="F483" s="32"/>
      <ns0:c r="G483" s="29"/>
      <ns0:c r="H483" s="29"/>
      <ns0:c r="I483" s="29"/>
      <ns0:c r="J483" s="29"/>
      <ns0:c r="K483" s="29"/>
    </ns0:row>
    <ns0:row r="484" ht="28" customHeight="1">
      <ns0:c r="A484" s="29"/>
      <ns0:c r="B484" s="30"/>
      <ns0:c r="C484" s="28"/>
      <ns0:c r="D484" s="29"/>
      <ns0:c r="E484" s="31"/>
      <ns0:c r="F484" s="32"/>
      <ns0:c r="G484" s="29"/>
      <ns0:c r="H484" s="29"/>
      <ns0:c r="I484" s="29"/>
      <ns0:c r="J484" s="29"/>
      <ns0:c r="K484" s="29"/>
    </ns0:row>
    <ns0:row r="485" ht="28" customHeight="1">
      <ns0:c r="A485" s="29"/>
      <ns0:c r="B485" s="30"/>
      <ns0:c r="C485" s="28"/>
      <ns0:c r="D485" s="29"/>
      <ns0:c r="E485" s="31"/>
      <ns0:c r="F485" s="32"/>
      <ns0:c r="G485" s="29"/>
      <ns0:c r="H485" s="29"/>
      <ns0:c r="I485" s="29"/>
      <ns0:c r="J485" s="29"/>
      <ns0:c r="K485" s="29"/>
    </ns0:row>
    <ns0:row r="486" ht="28" customHeight="1">
      <ns0:c r="A486" s="29"/>
      <ns0:c r="B486" s="30"/>
      <ns0:c r="C486" s="28"/>
      <ns0:c r="D486" s="29"/>
      <ns0:c r="E486" s="31"/>
      <ns0:c r="F486" s="32"/>
      <ns0:c r="G486" s="29"/>
      <ns0:c r="H486" s="29"/>
      <ns0:c r="I486" s="29"/>
      <ns0:c r="J486" s="29"/>
      <ns0:c r="K486" s="29"/>
    </ns0:row>
    <ns0:row r="487" ht="28" customHeight="1">
      <ns0:c r="A487" s="29"/>
      <ns0:c r="B487" s="30"/>
      <ns0:c r="C487" s="28"/>
      <ns0:c r="D487" s="29"/>
      <ns0:c r="E487" s="31"/>
      <ns0:c r="F487" s="32"/>
      <ns0:c r="G487" s="29"/>
      <ns0:c r="H487" s="29"/>
      <ns0:c r="I487" s="29"/>
      <ns0:c r="J487" s="29"/>
      <ns0:c r="K487" s="29"/>
    </ns0:row>
    <ns0:row r="488" ht="28" customHeight="1">
      <ns0:c r="A488" s="29"/>
      <ns0:c r="B488" s="30"/>
      <ns0:c r="C488" s="28"/>
      <ns0:c r="D488" s="29"/>
      <ns0:c r="E488" s="31"/>
      <ns0:c r="F488" s="32"/>
      <ns0:c r="G488" s="29"/>
      <ns0:c r="H488" s="29"/>
      <ns0:c r="I488" s="29"/>
      <ns0:c r="J488" s="29"/>
      <ns0:c r="K488" s="29"/>
    </ns0:row>
    <ns0:row r="489" ht="28" customHeight="1">
      <ns0:c r="A489" s="29"/>
      <ns0:c r="B489" s="30"/>
      <ns0:c r="C489" s="28"/>
      <ns0:c r="D489" s="29"/>
      <ns0:c r="E489" s="31"/>
      <ns0:c r="F489" s="32"/>
      <ns0:c r="G489" s="29"/>
      <ns0:c r="H489" s="29"/>
      <ns0:c r="I489" s="29"/>
      <ns0:c r="J489" s="29"/>
      <ns0:c r="K489" s="29"/>
    </ns0:row>
    <ns0:row r="490" ht="28" customHeight="1">
      <ns0:c r="A490" s="29"/>
      <ns0:c r="B490" s="30"/>
      <ns0:c r="C490" s="28"/>
      <ns0:c r="D490" s="29"/>
      <ns0:c r="E490" s="31"/>
      <ns0:c r="F490" s="32"/>
      <ns0:c r="G490" s="29"/>
      <ns0:c r="H490" s="29"/>
      <ns0:c r="I490" s="29"/>
      <ns0:c r="J490" s="29"/>
      <ns0:c r="K490" s="29"/>
    </ns0:row>
    <ns0:row r="491" ht="28" customHeight="1">
      <ns0:c r="A491" s="29"/>
      <ns0:c r="B491" s="30"/>
      <ns0:c r="C491" s="28"/>
      <ns0:c r="D491" s="29"/>
      <ns0:c r="E491" s="31"/>
      <ns0:c r="F491" s="32"/>
      <ns0:c r="G491" s="29"/>
      <ns0:c r="H491" s="29"/>
      <ns0:c r="I491" s="29"/>
      <ns0:c r="J491" s="29"/>
      <ns0:c r="K491" s="29"/>
    </ns0:row>
    <ns0:row r="492" ht="28" customHeight="1">
      <ns0:c r="A492" s="29"/>
      <ns0:c r="B492" s="30"/>
      <ns0:c r="C492" s="28"/>
      <ns0:c r="D492" s="29"/>
      <ns0:c r="E492" s="31"/>
      <ns0:c r="F492" s="32"/>
      <ns0:c r="G492" s="29"/>
      <ns0:c r="H492" s="29"/>
      <ns0:c r="I492" s="29"/>
      <ns0:c r="J492" s="29"/>
      <ns0:c r="K492" s="29"/>
    </ns0:row>
    <ns0:row r="493" ht="28" customHeight="1">
      <ns0:c r="A493" s="29"/>
      <ns0:c r="B493" s="30"/>
      <ns0:c r="C493" s="28"/>
      <ns0:c r="D493" s="29"/>
      <ns0:c r="E493" s="31"/>
      <ns0:c r="F493" s="32"/>
      <ns0:c r="G493" s="29"/>
      <ns0:c r="H493" s="29"/>
      <ns0:c r="I493" s="29"/>
      <ns0:c r="J493" s="29"/>
      <ns0:c r="K493" s="29"/>
    </ns0:row>
    <ns0:row r="494" ht="28" customHeight="1">
      <ns0:c r="A494" s="29"/>
      <ns0:c r="B494" s="30"/>
      <ns0:c r="C494" s="28"/>
      <ns0:c r="D494" s="29"/>
      <ns0:c r="E494" s="31"/>
      <ns0:c r="F494" s="32"/>
      <ns0:c r="G494" s="29"/>
      <ns0:c r="H494" s="29"/>
      <ns0:c r="I494" s="29"/>
      <ns0:c r="J494" s="29"/>
      <ns0:c r="K494" s="29"/>
    </ns0:row>
    <ns0:row r="495" ht="28" customHeight="1">
      <ns0:c r="A495" s="29"/>
      <ns0:c r="B495" s="30"/>
      <ns0:c r="C495" s="28"/>
      <ns0:c r="D495" s="29"/>
      <ns0:c r="E495" s="31"/>
      <ns0:c r="F495" s="32"/>
      <ns0:c r="G495" s="29"/>
      <ns0:c r="H495" s="29"/>
      <ns0:c r="I495" s="29"/>
      <ns0:c r="J495" s="29"/>
      <ns0:c r="K495" s="29"/>
    </ns0:row>
    <ns0:row r="496" ht="28" customHeight="1">
      <ns0:c r="A496" s="29"/>
      <ns0:c r="B496" s="30"/>
      <ns0:c r="C496" s="28"/>
      <ns0:c r="D496" s="29"/>
      <ns0:c r="E496" s="31"/>
      <ns0:c r="F496" s="32"/>
      <ns0:c r="G496" s="29"/>
      <ns0:c r="H496" s="29"/>
      <ns0:c r="I496" s="29"/>
      <ns0:c r="J496" s="29"/>
      <ns0:c r="K496" s="29"/>
    </ns0:row>
    <ns0:row r="497" ht="28" customHeight="1">
      <ns0:c r="A497" s="29"/>
      <ns0:c r="B497" s="30"/>
      <ns0:c r="C497" s="28"/>
      <ns0:c r="D497" s="29"/>
      <ns0:c r="E497" s="31"/>
      <ns0:c r="F497" s="32"/>
      <ns0:c r="G497" s="29"/>
      <ns0:c r="H497" s="29"/>
      <ns0:c r="I497" s="29"/>
      <ns0:c r="J497" s="29"/>
      <ns0:c r="K497" s="29"/>
    </ns0:row>
    <ns0:row r="498" ht="28" customHeight="1">
      <ns0:c r="A498" s="29"/>
      <ns0:c r="B498" s="30"/>
      <ns0:c r="C498" s="28"/>
      <ns0:c r="D498" s="29"/>
      <ns0:c r="E498" s="31"/>
      <ns0:c r="F498" s="32"/>
      <ns0:c r="G498" s="29"/>
      <ns0:c r="H498" s="29"/>
      <ns0:c r="I498" s="29"/>
      <ns0:c r="J498" s="29"/>
      <ns0:c r="K498" s="29"/>
    </ns0:row>
    <ns0:row r="499" ht="28" customHeight="1">
      <ns0:c r="A499" s="29"/>
      <ns0:c r="B499" s="30"/>
      <ns0:c r="C499" s="28"/>
      <ns0:c r="D499" s="29"/>
      <ns0:c r="E499" s="31"/>
      <ns0:c r="F499" s="32"/>
      <ns0:c r="G499" s="29"/>
      <ns0:c r="H499" s="29"/>
      <ns0:c r="I499" s="29"/>
      <ns0:c r="J499" s="29"/>
      <ns0:c r="K499" s="29"/>
    </ns0:row>
    <ns0:row r="500" ht="28" customHeight="1">
      <ns0:c r="A500" s="29"/>
      <ns0:c r="B500" s="30"/>
      <ns0:c r="C500" s="28"/>
      <ns0:c r="D500" s="29"/>
      <ns0:c r="E500" s="31"/>
      <ns0:c r="F500" s="32"/>
      <ns0:c r="G500" s="29"/>
      <ns0:c r="H500" s="29"/>
      <ns0:c r="I500" s="29"/>
      <ns0:c r="J500" s="29"/>
      <ns0:c r="K500" s="29"/>
    </ns0:row>
    <ns0:row r="501" ht="28" customHeight="1">
      <ns0:c r="A501" s="29"/>
      <ns0:c r="B501" s="30"/>
      <ns0:c r="C501" s="28"/>
      <ns0:c r="D501" s="29"/>
      <ns0:c r="E501" s="31"/>
      <ns0:c r="F501" s="32"/>
      <ns0:c r="G501" s="29"/>
      <ns0:c r="H501" s="29"/>
      <ns0:c r="I501" s="29"/>
      <ns0:c r="J501" s="29"/>
      <ns0:c r="K501" s="29"/>
    </ns0:row>
    <ns0:row r="502" ht="28" customHeight="1">
      <ns0:c r="A502" s="29"/>
      <ns0:c r="B502" s="30"/>
      <ns0:c r="C502" s="28"/>
      <ns0:c r="D502" s="29"/>
      <ns0:c r="E502" s="31"/>
      <ns0:c r="F502" s="32"/>
      <ns0:c r="G502" s="29"/>
      <ns0:c r="H502" s="29"/>
      <ns0:c r="I502" s="29"/>
      <ns0:c r="J502" s="29"/>
      <ns0:c r="K502" s="29"/>
    </ns0:row>
    <ns0:row r="503" ht="28" customHeight="1">
      <ns0:c r="A503" s="29"/>
      <ns0:c r="B503" s="30"/>
      <ns0:c r="C503" s="28"/>
      <ns0:c r="D503" s="29"/>
      <ns0:c r="E503" s="31"/>
      <ns0:c r="F503" s="32"/>
      <ns0:c r="G503" s="29"/>
      <ns0:c r="H503" s="29"/>
      <ns0:c r="I503" s="29"/>
      <ns0:c r="J503" s="29"/>
      <ns0:c r="K503" s="29"/>
    </ns0:row>
    <ns0:row r="504" ht="28" customHeight="1">
      <ns0:c r="A504" s="29"/>
      <ns0:c r="B504" s="30"/>
      <ns0:c r="C504" s="28"/>
      <ns0:c r="D504" s="29"/>
      <ns0:c r="E504" s="31"/>
      <ns0:c r="F504" s="32"/>
      <ns0:c r="G504" s="29"/>
      <ns0:c r="H504" s="29"/>
      <ns0:c r="I504" s="29"/>
      <ns0:c r="J504" s="29"/>
      <ns0:c r="K504" s="29"/>
    </ns0:row>
    <ns0:row r="505" ht="28" customHeight="1">
      <ns0:c r="A505" s="29"/>
      <ns0:c r="B505" s="30"/>
      <ns0:c r="C505" s="28"/>
      <ns0:c r="D505" s="29"/>
      <ns0:c r="E505" s="31"/>
      <ns0:c r="F505" s="32"/>
      <ns0:c r="G505" s="29"/>
      <ns0:c r="H505" s="29"/>
      <ns0:c r="I505" s="29"/>
      <ns0:c r="J505" s="29"/>
      <ns0:c r="K505" s="29"/>
    </ns0:row>
    <ns0:row r="506" ht="28" customHeight="1">
      <ns0:c r="A506" s="29"/>
      <ns0:c r="B506" s="30"/>
      <ns0:c r="C506" s="28"/>
      <ns0:c r="D506" s="29"/>
      <ns0:c r="E506" s="31"/>
      <ns0:c r="F506" s="32"/>
      <ns0:c r="G506" s="29"/>
      <ns0:c r="H506" s="29"/>
      <ns0:c r="I506" s="29"/>
      <ns0:c r="J506" s="29"/>
      <ns0:c r="K506" s="29"/>
    </ns0:row>
    <ns0:row r="507" ht="28" customHeight="1">
      <ns0:c r="A507" s="29"/>
      <ns0:c r="B507" s="30"/>
      <ns0:c r="C507" s="28"/>
      <ns0:c r="D507" s="29"/>
      <ns0:c r="E507" s="31"/>
      <ns0:c r="F507" s="32"/>
      <ns0:c r="G507" s="29"/>
      <ns0:c r="H507" s="29"/>
      <ns0:c r="I507" s="29"/>
      <ns0:c r="J507" s="29"/>
      <ns0:c r="K507" s="29"/>
    </ns0:row>
    <ns0:row r="508" ht="28" customHeight="1">
      <ns0:c r="A508" s="29"/>
      <ns0:c r="B508" s="30"/>
      <ns0:c r="C508" s="28"/>
      <ns0:c r="D508" s="29"/>
      <ns0:c r="E508" s="31"/>
      <ns0:c r="F508" s="32"/>
      <ns0:c r="G508" s="29"/>
      <ns0:c r="H508" s="29"/>
      <ns0:c r="I508" s="29"/>
      <ns0:c r="J508" s="29"/>
      <ns0:c r="K508" s="29"/>
    </ns0:row>
    <ns0:row r="509" ht="28" customHeight="1">
      <ns0:c r="A509" s="29"/>
      <ns0:c r="B509" s="30"/>
      <ns0:c r="C509" s="28"/>
      <ns0:c r="D509" s="29"/>
      <ns0:c r="E509" s="31"/>
      <ns0:c r="F509" s="32"/>
      <ns0:c r="G509" s="29"/>
      <ns0:c r="H509" s="29"/>
      <ns0:c r="I509" s="29"/>
      <ns0:c r="J509" s="29"/>
      <ns0:c r="K509" s="29"/>
    </ns0:row>
    <ns0:row r="510" ht="28" customHeight="1">
      <ns0:c r="A510" s="29"/>
      <ns0:c r="B510" s="30"/>
      <ns0:c r="C510" s="28"/>
      <ns0:c r="D510" s="29"/>
      <ns0:c r="E510" s="31"/>
      <ns0:c r="F510" s="32"/>
      <ns0:c r="G510" s="29"/>
      <ns0:c r="H510" s="29"/>
      <ns0:c r="I510" s="29"/>
      <ns0:c r="J510" s="29"/>
      <ns0:c r="K510" s="29"/>
    </ns0:row>
    <ns0:row r="511" ht="28" customHeight="1">
      <ns0:c r="A511" s="29"/>
      <ns0:c r="B511" s="30"/>
      <ns0:c r="C511" s="28"/>
      <ns0:c r="D511" s="29"/>
      <ns0:c r="E511" s="31"/>
      <ns0:c r="F511" s="32"/>
      <ns0:c r="G511" s="29"/>
      <ns0:c r="H511" s="29"/>
      <ns0:c r="I511" s="29"/>
      <ns0:c r="J511" s="29"/>
      <ns0:c r="K511" s="29"/>
    </ns0:row>
    <ns0:row r="512" ht="28" customHeight="1">
      <ns0:c r="A512" s="29"/>
      <ns0:c r="B512" s="30"/>
      <ns0:c r="C512" s="28"/>
      <ns0:c r="D512" s="29"/>
      <ns0:c r="E512" s="31"/>
      <ns0:c r="F512" s="32"/>
      <ns0:c r="G512" s="29"/>
      <ns0:c r="H512" s="29"/>
      <ns0:c r="I512" s="29"/>
      <ns0:c r="J512" s="29"/>
      <ns0:c r="K512" s="29"/>
    </ns0:row>
    <ns0:row r="513" ht="28" customHeight="1">
      <ns0:c r="A513" s="29"/>
      <ns0:c r="B513" s="30"/>
      <ns0:c r="C513" s="28"/>
      <ns0:c r="D513" s="29"/>
      <ns0:c r="E513" s="31"/>
      <ns0:c r="F513" s="32"/>
      <ns0:c r="G513" s="29"/>
      <ns0:c r="H513" s="29"/>
      <ns0:c r="I513" s="29"/>
      <ns0:c r="J513" s="29"/>
      <ns0:c r="K513" s="29"/>
    </ns0:row>
    <ns0:row r="514" ht="28" customHeight="1">
      <ns0:c r="A514" s="29"/>
      <ns0:c r="B514" s="30"/>
      <ns0:c r="C514" s="28"/>
      <ns0:c r="D514" s="29"/>
      <ns0:c r="E514" s="31"/>
      <ns0:c r="F514" s="32"/>
      <ns0:c r="G514" s="29"/>
      <ns0:c r="H514" s="29"/>
      <ns0:c r="I514" s="29"/>
      <ns0:c r="J514" s="29"/>
      <ns0:c r="K514" s="29"/>
    </ns0:row>
    <ns0:row r="515" ht="28" customHeight="1">
      <ns0:c r="A515" s="29"/>
      <ns0:c r="B515" s="30"/>
      <ns0:c r="C515" s="28"/>
      <ns0:c r="D515" s="29"/>
      <ns0:c r="E515" s="31"/>
      <ns0:c r="F515" s="32"/>
      <ns0:c r="G515" s="29"/>
      <ns0:c r="H515" s="29"/>
      <ns0:c r="I515" s="29"/>
      <ns0:c r="J515" s="29"/>
      <ns0:c r="K515" s="29"/>
    </ns0:row>
    <ns0:row r="516" ht="28" customHeight="1">
      <ns0:c r="A516" s="29"/>
      <ns0:c r="B516" s="30"/>
      <ns0:c r="C516" s="28"/>
      <ns0:c r="D516" s="29"/>
      <ns0:c r="E516" s="31"/>
      <ns0:c r="F516" s="32"/>
      <ns0:c r="G516" s="29"/>
      <ns0:c r="H516" s="29"/>
      <ns0:c r="I516" s="29"/>
      <ns0:c r="J516" s="29"/>
      <ns0:c r="K516" s="29"/>
    </ns0:row>
    <ns0:row r="517" ht="28" customHeight="1">
      <ns0:c r="A517" s="29"/>
      <ns0:c r="B517" s="30"/>
      <ns0:c r="C517" s="28"/>
      <ns0:c r="D517" s="29"/>
      <ns0:c r="E517" s="31"/>
      <ns0:c r="F517" s="32"/>
      <ns0:c r="G517" s="29"/>
      <ns0:c r="H517" s="29"/>
      <ns0:c r="I517" s="29"/>
      <ns0:c r="J517" s="29"/>
      <ns0:c r="K517" s="29"/>
    </ns0:row>
    <ns0:row r="518" ht="28" customHeight="1">
      <ns0:c r="A518" s="29"/>
      <ns0:c r="B518" s="30"/>
      <ns0:c r="C518" s="28"/>
      <ns0:c r="D518" s="29"/>
      <ns0:c r="E518" s="31"/>
      <ns0:c r="F518" s="32"/>
      <ns0:c r="G518" s="29"/>
      <ns0:c r="H518" s="29"/>
      <ns0:c r="I518" s="29"/>
      <ns0:c r="J518" s="29"/>
      <ns0:c r="K518" s="29"/>
    </ns0:row>
    <ns0:row r="519" ht="28" customHeight="1">
      <ns0:c r="A519" s="29"/>
      <ns0:c r="B519" s="30"/>
      <ns0:c r="C519" s="28"/>
      <ns0:c r="D519" s="29"/>
      <ns0:c r="E519" s="31"/>
      <ns0:c r="F519" s="32"/>
      <ns0:c r="G519" s="29"/>
      <ns0:c r="H519" s="29"/>
      <ns0:c r="I519" s="29"/>
      <ns0:c r="J519" s="29"/>
      <ns0:c r="K519" s="29"/>
    </ns0:row>
    <ns0:row r="520" ht="28" customHeight="1">
      <ns0:c r="A520" s="29"/>
      <ns0:c r="B520" s="30"/>
      <ns0:c r="C520" s="28"/>
      <ns0:c r="D520" s="29"/>
      <ns0:c r="E520" s="31"/>
      <ns0:c r="F520" s="32"/>
      <ns0:c r="G520" s="29"/>
      <ns0:c r="H520" s="29"/>
      <ns0:c r="I520" s="29"/>
      <ns0:c r="J520" s="29"/>
      <ns0:c r="K520" s="29"/>
    </ns0:row>
    <ns0:row r="521" ht="28" customHeight="1">
      <ns0:c r="A521" s="29"/>
      <ns0:c r="B521" s="30"/>
      <ns0:c r="C521" s="28"/>
      <ns0:c r="D521" s="29"/>
      <ns0:c r="E521" s="31"/>
      <ns0:c r="F521" s="32"/>
      <ns0:c r="G521" s="29"/>
      <ns0:c r="H521" s="29"/>
      <ns0:c r="I521" s="29"/>
      <ns0:c r="J521" s="29"/>
      <ns0:c r="K521" s="29"/>
    </ns0:row>
    <ns0:row r="522" ht="28" customHeight="1">
      <ns0:c r="A522" s="29"/>
      <ns0:c r="B522" s="30"/>
      <ns0:c r="C522" s="28"/>
      <ns0:c r="D522" s="29"/>
      <ns0:c r="E522" s="31"/>
      <ns0:c r="F522" s="32"/>
      <ns0:c r="G522" s="29"/>
      <ns0:c r="H522" s="29"/>
      <ns0:c r="I522" s="29"/>
      <ns0:c r="J522" s="29"/>
      <ns0:c r="K522" s="29"/>
    </ns0:row>
    <ns0:row r="523" ht="28" customHeight="1">
      <ns0:c r="A523" s="29"/>
      <ns0:c r="B523" s="30"/>
      <ns0:c r="C523" s="28"/>
      <ns0:c r="D523" s="29"/>
      <ns0:c r="E523" s="31"/>
      <ns0:c r="F523" s="32"/>
      <ns0:c r="G523" s="29"/>
      <ns0:c r="H523" s="29"/>
      <ns0:c r="I523" s="29"/>
      <ns0:c r="J523" s="29"/>
      <ns0:c r="K523" s="29"/>
    </ns0:row>
    <ns0:row r="524" ht="28" customHeight="1">
      <ns0:c r="A524" s="29"/>
      <ns0:c r="B524" s="30"/>
      <ns0:c r="C524" s="28"/>
      <ns0:c r="D524" s="29"/>
      <ns0:c r="E524" s="31"/>
      <ns0:c r="F524" s="32"/>
      <ns0:c r="G524" s="29"/>
      <ns0:c r="H524" s="29"/>
      <ns0:c r="I524" s="29"/>
      <ns0:c r="J524" s="29"/>
      <ns0:c r="K524" s="29"/>
    </ns0:row>
    <ns0:row r="525" ht="28" customHeight="1">
      <ns0:c r="A525" s="29"/>
      <ns0:c r="B525" s="30"/>
      <ns0:c r="C525" s="28"/>
      <ns0:c r="D525" s="29"/>
      <ns0:c r="E525" s="31"/>
      <ns0:c r="F525" s="32"/>
      <ns0:c r="G525" s="29"/>
      <ns0:c r="H525" s="29"/>
      <ns0:c r="I525" s="29"/>
      <ns0:c r="J525" s="29"/>
      <ns0:c r="K525" s="29"/>
    </ns0:row>
    <ns0:row r="526" ht="28" customHeight="1">
      <ns0:c r="A526" s="29"/>
      <ns0:c r="B526" s="30"/>
      <ns0:c r="C526" s="28"/>
      <ns0:c r="D526" s="29"/>
      <ns0:c r="E526" s="31"/>
      <ns0:c r="F526" s="32"/>
      <ns0:c r="G526" s="29"/>
      <ns0:c r="H526" s="29"/>
      <ns0:c r="I526" s="29"/>
      <ns0:c r="J526" s="29"/>
      <ns0:c r="K526" s="29"/>
    </ns0:row>
    <ns0:row r="527" ht="28" customHeight="1">
      <ns0:c r="A527" s="29"/>
      <ns0:c r="B527" s="30"/>
      <ns0:c r="C527" s="28"/>
      <ns0:c r="D527" s="29"/>
      <ns0:c r="E527" s="31"/>
      <ns0:c r="F527" s="32"/>
      <ns0:c r="G527" s="29"/>
      <ns0:c r="H527" s="29"/>
      <ns0:c r="I527" s="29"/>
      <ns0:c r="J527" s="29"/>
      <ns0:c r="K527" s="29"/>
    </ns0:row>
    <ns0:row r="528" ht="28" customHeight="1">
      <ns0:c r="A528" s="29"/>
      <ns0:c r="B528" s="30"/>
      <ns0:c r="C528" s="28"/>
      <ns0:c r="D528" s="29"/>
      <ns0:c r="E528" s="31"/>
      <ns0:c r="F528" s="32"/>
      <ns0:c r="G528" s="29"/>
      <ns0:c r="H528" s="29"/>
      <ns0:c r="I528" s="29"/>
      <ns0:c r="J528" s="29"/>
      <ns0:c r="K528" s="29"/>
    </ns0:row>
    <ns0:row r="529" ht="28" customHeight="1">
      <ns0:c r="A529" s="29"/>
      <ns0:c r="B529" s="30"/>
      <ns0:c r="C529" s="28"/>
      <ns0:c r="D529" s="29"/>
      <ns0:c r="E529" s="31"/>
      <ns0:c r="F529" s="32"/>
      <ns0:c r="G529" s="29"/>
      <ns0:c r="H529" s="29"/>
      <ns0:c r="I529" s="29"/>
      <ns0:c r="J529" s="29"/>
      <ns0:c r="K529" s="29"/>
    </ns0:row>
    <ns0:row r="530" ht="28" customHeight="1">
      <ns0:c r="A530" s="29"/>
      <ns0:c r="B530" s="30"/>
      <ns0:c r="C530" s="28"/>
      <ns0:c r="D530" s="29"/>
      <ns0:c r="E530" s="31"/>
      <ns0:c r="F530" s="32"/>
      <ns0:c r="G530" s="29"/>
      <ns0:c r="H530" s="29"/>
      <ns0:c r="I530" s="29"/>
      <ns0:c r="J530" s="29"/>
      <ns0:c r="K530" s="29"/>
    </ns0:row>
    <ns0:row r="531" ht="28" customHeight="1">
      <ns0:c r="A531" s="29"/>
      <ns0:c r="B531" s="30"/>
      <ns0:c r="C531" s="28"/>
      <ns0:c r="D531" s="29"/>
      <ns0:c r="E531" s="31"/>
      <ns0:c r="F531" s="32"/>
      <ns0:c r="G531" s="29"/>
      <ns0:c r="H531" s="29"/>
      <ns0:c r="I531" s="29"/>
      <ns0:c r="J531" s="29"/>
      <ns0:c r="K531" s="29"/>
    </ns0:row>
    <ns0:row r="532" ht="28" customHeight="1">
      <ns0:c r="A532" s="29"/>
      <ns0:c r="B532" s="30"/>
      <ns0:c r="C532" s="28"/>
      <ns0:c r="D532" s="29"/>
      <ns0:c r="E532" s="31"/>
      <ns0:c r="F532" s="32"/>
      <ns0:c r="G532" s="29"/>
      <ns0:c r="H532" s="29"/>
      <ns0:c r="I532" s="29"/>
      <ns0:c r="J532" s="29"/>
      <ns0:c r="K532" s="29"/>
    </ns0:row>
    <ns0:row r="533" ht="28" customHeight="1">
      <ns0:c r="A533" s="29"/>
      <ns0:c r="B533" s="30"/>
      <ns0:c r="C533" s="28"/>
      <ns0:c r="D533" s="29"/>
      <ns0:c r="E533" s="31"/>
      <ns0:c r="F533" s="32"/>
      <ns0:c r="G533" s="29"/>
      <ns0:c r="H533" s="29"/>
      <ns0:c r="I533" s="29"/>
      <ns0:c r="J533" s="29"/>
      <ns0:c r="K533" s="29"/>
    </ns0:row>
    <ns0:row r="534" ht="28" customHeight="1">
      <ns0:c r="A534" s="29"/>
      <ns0:c r="B534" s="30"/>
      <ns0:c r="C534" s="28"/>
      <ns0:c r="D534" s="29"/>
      <ns0:c r="E534" s="31"/>
      <ns0:c r="F534" s="32"/>
      <ns0:c r="G534" s="29"/>
      <ns0:c r="H534" s="29"/>
      <ns0:c r="I534" s="29"/>
      <ns0:c r="J534" s="29"/>
      <ns0:c r="K534" s="29"/>
    </ns0:row>
    <ns0:row r="535" ht="28" customHeight="1">
      <ns0:c r="A535" s="29"/>
      <ns0:c r="B535" s="30"/>
      <ns0:c r="C535" s="28"/>
      <ns0:c r="D535" s="29"/>
      <ns0:c r="E535" s="31"/>
      <ns0:c r="F535" s="32"/>
      <ns0:c r="G535" s="29"/>
      <ns0:c r="H535" s="29"/>
      <ns0:c r="I535" s="29"/>
      <ns0:c r="J535" s="29"/>
      <ns0:c r="K535" s="29"/>
    </ns0:row>
    <ns0:row r="536" ht="28" customHeight="1">
      <ns0:c r="A536" s="29"/>
      <ns0:c r="B536" s="30"/>
      <ns0:c r="C536" s="28"/>
      <ns0:c r="D536" s="29"/>
      <ns0:c r="E536" s="31"/>
      <ns0:c r="F536" s="32"/>
      <ns0:c r="G536" s="29"/>
      <ns0:c r="H536" s="29"/>
      <ns0:c r="I536" s="29"/>
      <ns0:c r="J536" s="29"/>
      <ns0:c r="K536" s="29"/>
    </ns0:row>
    <ns0:row r="537" ht="28" customHeight="1">
      <ns0:c r="A537" s="29"/>
      <ns0:c r="B537" s="30"/>
      <ns0:c r="C537" s="28"/>
      <ns0:c r="D537" s="29"/>
      <ns0:c r="E537" s="31"/>
      <ns0:c r="F537" s="32"/>
      <ns0:c r="G537" s="29"/>
      <ns0:c r="H537" s="29"/>
      <ns0:c r="I537" s="29"/>
      <ns0:c r="J537" s="29"/>
      <ns0:c r="K537" s="29"/>
    </ns0:row>
    <ns0:row r="538" ht="28" customHeight="1">
      <ns0:c r="A538" s="29"/>
      <ns0:c r="B538" s="30"/>
      <ns0:c r="C538" s="28"/>
      <ns0:c r="D538" s="29"/>
      <ns0:c r="E538" s="31"/>
      <ns0:c r="F538" s="32"/>
      <ns0:c r="G538" s="29"/>
      <ns0:c r="H538" s="29"/>
      <ns0:c r="I538" s="29"/>
      <ns0:c r="J538" s="29"/>
      <ns0:c r="K538" s="29"/>
    </ns0:row>
    <ns0:row r="539" ht="28" customHeight="1">
      <ns0:c r="A539" s="29"/>
      <ns0:c r="B539" s="30"/>
      <ns0:c r="C539" s="28"/>
      <ns0:c r="D539" s="29"/>
      <ns0:c r="E539" s="31"/>
      <ns0:c r="F539" s="32"/>
      <ns0:c r="G539" s="29"/>
      <ns0:c r="H539" s="29"/>
      <ns0:c r="I539" s="29"/>
      <ns0:c r="J539" s="29"/>
      <ns0:c r="K539" s="29"/>
    </ns0:row>
    <ns0:row r="540" ht="28" customHeight="1">
      <ns0:c r="A540" s="29"/>
      <ns0:c r="B540" s="30"/>
      <ns0:c r="C540" s="28"/>
      <ns0:c r="D540" s="29"/>
      <ns0:c r="E540" s="31"/>
      <ns0:c r="F540" s="32"/>
      <ns0:c r="G540" s="29"/>
      <ns0:c r="H540" s="29"/>
      <ns0:c r="I540" s="29"/>
      <ns0:c r="J540" s="29"/>
      <ns0:c r="K540" s="29"/>
    </ns0:row>
    <ns0:row r="541" ht="28" customHeight="1">
      <ns0:c r="A541" s="29"/>
      <ns0:c r="B541" s="30"/>
      <ns0:c r="C541" s="28"/>
      <ns0:c r="D541" s="29"/>
      <ns0:c r="E541" s="31"/>
      <ns0:c r="F541" s="32"/>
      <ns0:c r="G541" s="29"/>
      <ns0:c r="H541" s="29"/>
      <ns0:c r="I541" s="29"/>
      <ns0:c r="J541" s="29"/>
      <ns0:c r="K541" s="29"/>
    </ns0:row>
    <ns0:row r="542" ht="28" customHeight="1">
      <ns0:c r="A542" s="29"/>
      <ns0:c r="B542" s="30"/>
      <ns0:c r="C542" s="28"/>
      <ns0:c r="D542" s="29"/>
      <ns0:c r="E542" s="31"/>
      <ns0:c r="F542" s="32"/>
      <ns0:c r="G542" s="29"/>
      <ns0:c r="H542" s="29"/>
      <ns0:c r="I542" s="29"/>
      <ns0:c r="J542" s="29"/>
      <ns0:c r="K542" s="29"/>
    </ns0:row>
    <ns0:row r="543" ht="28" customHeight="1">
      <ns0:c r="A543" s="29"/>
      <ns0:c r="B543" s="30"/>
      <ns0:c r="C543" s="28"/>
      <ns0:c r="D543" s="29"/>
      <ns0:c r="E543" s="31"/>
      <ns0:c r="F543" s="32"/>
      <ns0:c r="G543" s="29"/>
      <ns0:c r="H543" s="29"/>
      <ns0:c r="I543" s="29"/>
      <ns0:c r="J543" s="29"/>
      <ns0:c r="K543" s="29"/>
    </ns0:row>
    <ns0:row r="544" ht="28" customHeight="1">
      <ns0:c r="A544" s="29"/>
      <ns0:c r="B544" s="30"/>
      <ns0:c r="C544" s="28"/>
      <ns0:c r="D544" s="29"/>
      <ns0:c r="E544" s="31"/>
      <ns0:c r="F544" s="32"/>
      <ns0:c r="G544" s="29"/>
      <ns0:c r="H544" s="29"/>
      <ns0:c r="I544" s="29"/>
      <ns0:c r="J544" s="29"/>
      <ns0:c r="K544" s="29"/>
    </ns0:row>
    <ns0:row r="545" ht="28" customHeight="1">
      <ns0:c r="A545" s="29"/>
      <ns0:c r="B545" s="30"/>
      <ns0:c r="C545" s="28"/>
      <ns0:c r="D545" s="29"/>
      <ns0:c r="E545" s="31"/>
      <ns0:c r="F545" s="32"/>
      <ns0:c r="G545" s="29"/>
      <ns0:c r="H545" s="29"/>
      <ns0:c r="I545" s="29"/>
      <ns0:c r="J545" s="29"/>
      <ns0:c r="K545" s="29"/>
    </ns0:row>
    <ns0:row r="546" ht="28" customHeight="1">
      <ns0:c r="A546" s="29"/>
      <ns0:c r="B546" s="30"/>
      <ns0:c r="C546" s="28"/>
      <ns0:c r="D546" s="29"/>
      <ns0:c r="E546" s="31"/>
      <ns0:c r="F546" s="32"/>
      <ns0:c r="G546" s="29"/>
      <ns0:c r="H546" s="29"/>
      <ns0:c r="I546" s="29"/>
      <ns0:c r="J546" s="29"/>
      <ns0:c r="K546" s="29"/>
    </ns0:row>
    <ns0:row r="547" ht="28" customHeight="1">
      <ns0:c r="A547" s="29"/>
      <ns0:c r="B547" s="30"/>
      <ns0:c r="C547" s="28"/>
      <ns0:c r="D547" s="29"/>
      <ns0:c r="E547" s="31"/>
      <ns0:c r="F547" s="32"/>
      <ns0:c r="G547" s="29"/>
      <ns0:c r="H547" s="29"/>
      <ns0:c r="I547" s="29"/>
      <ns0:c r="J547" s="29"/>
      <ns0:c r="K547" s="29"/>
    </ns0:row>
    <ns0:row r="548" ht="28" customHeight="1">
      <ns0:c r="A548" s="29"/>
      <ns0:c r="B548" s="30"/>
      <ns0:c r="C548" s="28"/>
      <ns0:c r="D548" s="29"/>
      <ns0:c r="E548" s="31"/>
      <ns0:c r="F548" s="32"/>
      <ns0:c r="G548" s="29"/>
      <ns0:c r="H548" s="29"/>
      <ns0:c r="I548" s="29"/>
      <ns0:c r="J548" s="29"/>
      <ns0:c r="K548" s="29"/>
    </ns0:row>
    <ns0:row r="549" ht="28" customHeight="1">
      <ns0:c r="A549" s="29"/>
      <ns0:c r="B549" s="30"/>
      <ns0:c r="C549" s="28"/>
      <ns0:c r="D549" s="29"/>
      <ns0:c r="E549" s="31"/>
      <ns0:c r="F549" s="32"/>
      <ns0:c r="G549" s="29"/>
      <ns0:c r="H549" s="29"/>
      <ns0:c r="I549" s="29"/>
      <ns0:c r="J549" s="29"/>
      <ns0:c r="K549" s="29"/>
    </ns0:row>
    <ns0:row r="550" ht="28" customHeight="1">
      <ns0:c r="A550" s="29"/>
      <ns0:c r="B550" s="30"/>
      <ns0:c r="C550" s="28"/>
      <ns0:c r="D550" s="29"/>
      <ns0:c r="E550" s="31"/>
      <ns0:c r="F550" s="32"/>
      <ns0:c r="G550" s="29"/>
      <ns0:c r="H550" s="29"/>
      <ns0:c r="I550" s="29"/>
      <ns0:c r="J550" s="29"/>
      <ns0:c r="K550" s="29"/>
    </ns0:row>
    <ns0:row r="551" ht="28" customHeight="1">
      <ns0:c r="A551" s="29"/>
      <ns0:c r="B551" s="30"/>
      <ns0:c r="C551" s="28"/>
      <ns0:c r="D551" s="29"/>
      <ns0:c r="E551" s="31"/>
      <ns0:c r="F551" s="32"/>
      <ns0:c r="G551" s="29"/>
      <ns0:c r="H551" s="29"/>
      <ns0:c r="I551" s="29"/>
      <ns0:c r="J551" s="29"/>
      <ns0:c r="K551" s="29"/>
    </ns0:row>
    <ns0:row r="552" ht="28" customHeight="1">
      <ns0:c r="A552" s="29"/>
      <ns0:c r="B552" s="30"/>
      <ns0:c r="C552" s="28"/>
      <ns0:c r="D552" s="29"/>
      <ns0:c r="E552" s="31"/>
      <ns0:c r="F552" s="32"/>
      <ns0:c r="G552" s="29"/>
      <ns0:c r="H552" s="29"/>
      <ns0:c r="I552" s="29"/>
      <ns0:c r="J552" s="29"/>
      <ns0:c r="K552" s="29"/>
    </ns0:row>
    <ns0:row r="553" ht="28" customHeight="1">
      <ns0:c r="A553" s="29"/>
      <ns0:c r="B553" s="30"/>
      <ns0:c r="C553" s="28"/>
      <ns0:c r="D553" s="29"/>
      <ns0:c r="E553" s="31"/>
      <ns0:c r="F553" s="32"/>
      <ns0:c r="G553" s="29"/>
      <ns0:c r="H553" s="29"/>
      <ns0:c r="I553" s="29"/>
      <ns0:c r="J553" s="29"/>
      <ns0:c r="K553" s="29"/>
    </ns0:row>
    <ns0:row r="554" ht="28" customHeight="1">
      <ns0:c r="A554" s="29"/>
      <ns0:c r="B554" s="30"/>
      <ns0:c r="C554" s="28"/>
      <ns0:c r="D554" s="29"/>
      <ns0:c r="E554" s="31"/>
      <ns0:c r="F554" s="32"/>
      <ns0:c r="G554" s="29"/>
      <ns0:c r="H554" s="29"/>
      <ns0:c r="I554" s="29"/>
      <ns0:c r="J554" s="29"/>
      <ns0:c r="K554" s="29"/>
    </ns0:row>
    <ns0:row r="555" ht="28" customHeight="1">
      <ns0:c r="A555" s="29"/>
      <ns0:c r="B555" s="30"/>
      <ns0:c r="C555" s="28"/>
      <ns0:c r="D555" s="29"/>
      <ns0:c r="E555" s="31"/>
      <ns0:c r="F555" s="32"/>
      <ns0:c r="G555" s="29"/>
      <ns0:c r="H555" s="29"/>
      <ns0:c r="I555" s="29"/>
      <ns0:c r="J555" s="29"/>
      <ns0:c r="K555" s="29"/>
    </ns0:row>
    <ns0:row r="556" ht="28" customHeight="1">
      <ns0:c r="A556" s="29"/>
      <ns0:c r="B556" s="30"/>
      <ns0:c r="C556" s="28"/>
      <ns0:c r="D556" s="29"/>
      <ns0:c r="E556" s="31"/>
      <ns0:c r="F556" s="32"/>
      <ns0:c r="G556" s="29"/>
      <ns0:c r="H556" s="29"/>
      <ns0:c r="I556" s="29"/>
      <ns0:c r="J556" s="29"/>
      <ns0:c r="K556" s="29"/>
    </ns0:row>
    <ns0:row r="557" ht="28" customHeight="1">
      <ns0:c r="A557" s="29"/>
      <ns0:c r="B557" s="30"/>
      <ns0:c r="C557" s="28"/>
      <ns0:c r="D557" s="29"/>
      <ns0:c r="E557" s="31"/>
      <ns0:c r="F557" s="32"/>
      <ns0:c r="G557" s="29"/>
      <ns0:c r="H557" s="29"/>
      <ns0:c r="I557" s="29"/>
      <ns0:c r="J557" s="29"/>
      <ns0:c r="K557" s="29"/>
    </ns0:row>
    <ns0:row r="558" ht="28" customHeight="1">
      <ns0:c r="A558" s="29"/>
      <ns0:c r="B558" s="30"/>
      <ns0:c r="C558" s="28"/>
      <ns0:c r="D558" s="29"/>
      <ns0:c r="E558" s="31"/>
      <ns0:c r="F558" s="32"/>
      <ns0:c r="G558" s="29"/>
      <ns0:c r="H558" s="29"/>
      <ns0:c r="I558" s="29"/>
      <ns0:c r="J558" s="29"/>
      <ns0:c r="K558" s="29"/>
    </ns0:row>
    <ns0:row r="559" ht="28" customHeight="1">
      <ns0:c r="A559" s="29"/>
      <ns0:c r="B559" s="30"/>
      <ns0:c r="C559" s="28"/>
      <ns0:c r="D559" s="29"/>
      <ns0:c r="E559" s="31"/>
      <ns0:c r="F559" s="32"/>
      <ns0:c r="G559" s="29"/>
      <ns0:c r="H559" s="29"/>
      <ns0:c r="I559" s="29"/>
      <ns0:c r="J559" s="29"/>
      <ns0:c r="K559" s="29"/>
    </ns0:row>
    <ns0:row r="560" ht="28" customHeight="1">
      <ns0:c r="A560" s="29"/>
      <ns0:c r="B560" s="30"/>
      <ns0:c r="C560" s="28"/>
      <ns0:c r="D560" s="29"/>
      <ns0:c r="E560" s="31"/>
      <ns0:c r="F560" s="32"/>
      <ns0:c r="G560" s="29"/>
      <ns0:c r="H560" s="29"/>
      <ns0:c r="I560" s="29"/>
      <ns0:c r="J560" s="29"/>
      <ns0:c r="K560" s="29"/>
    </ns0:row>
    <ns0:row r="561" ht="28" customHeight="1">
      <ns0:c r="A561" s="29"/>
      <ns0:c r="B561" s="30"/>
      <ns0:c r="C561" s="28"/>
      <ns0:c r="D561" s="29"/>
      <ns0:c r="E561" s="31"/>
      <ns0:c r="F561" s="32"/>
      <ns0:c r="G561" s="29"/>
      <ns0:c r="H561" s="29"/>
      <ns0:c r="I561" s="29"/>
      <ns0:c r="J561" s="29"/>
      <ns0:c r="K561" s="29"/>
    </ns0:row>
    <ns0:row r="562" ht="28" customHeight="1">
      <ns0:c r="A562" s="29"/>
      <ns0:c r="B562" s="30"/>
      <ns0:c r="C562" s="28"/>
      <ns0:c r="D562" s="29"/>
      <ns0:c r="E562" s="31"/>
      <ns0:c r="F562" s="32"/>
      <ns0:c r="G562" s="29"/>
      <ns0:c r="H562" s="29"/>
      <ns0:c r="I562" s="29"/>
      <ns0:c r="J562" s="29"/>
      <ns0:c r="K562" s="29"/>
    </ns0:row>
    <ns0:row r="563" ht="28" customHeight="1">
      <ns0:c r="A563" s="29"/>
      <ns0:c r="B563" s="30"/>
      <ns0:c r="C563" s="28"/>
      <ns0:c r="D563" s="29"/>
      <ns0:c r="E563" s="31"/>
      <ns0:c r="F563" s="32"/>
      <ns0:c r="G563" s="29"/>
      <ns0:c r="H563" s="29"/>
      <ns0:c r="I563" s="29"/>
      <ns0:c r="J563" s="29"/>
      <ns0:c r="K563" s="29"/>
    </ns0:row>
    <ns0:row r="564" ht="28" customHeight="1">
      <ns0:c r="A564" s="29"/>
      <ns0:c r="B564" s="30"/>
      <ns0:c r="C564" s="28"/>
      <ns0:c r="D564" s="29"/>
      <ns0:c r="E564" s="31"/>
      <ns0:c r="F564" s="32"/>
      <ns0:c r="G564" s="29"/>
      <ns0:c r="H564" s="29"/>
      <ns0:c r="I564" s="29"/>
      <ns0:c r="J564" s="29"/>
      <ns0:c r="K564" s="29"/>
    </ns0:row>
    <ns0:row r="565" ht="28" customHeight="1">
      <ns0:c r="A565" s="29"/>
      <ns0:c r="B565" s="30"/>
      <ns0:c r="C565" s="28"/>
      <ns0:c r="D565" s="29"/>
      <ns0:c r="E565" s="31"/>
      <ns0:c r="F565" s="32"/>
      <ns0:c r="G565" s="29"/>
      <ns0:c r="H565" s="29"/>
      <ns0:c r="I565" s="29"/>
      <ns0:c r="J565" s="29"/>
      <ns0:c r="K565" s="29"/>
    </ns0:row>
    <ns0:row r="566" ht="28" customHeight="1">
      <ns0:c r="A566" s="29"/>
      <ns0:c r="B566" s="30"/>
      <ns0:c r="C566" s="28"/>
      <ns0:c r="D566" s="29"/>
      <ns0:c r="E566" s="31"/>
      <ns0:c r="F566" s="32"/>
      <ns0:c r="G566" s="29"/>
      <ns0:c r="H566" s="29"/>
      <ns0:c r="I566" s="29"/>
      <ns0:c r="J566" s="29"/>
      <ns0:c r="K566" s="29"/>
    </ns0:row>
    <ns0:row r="567" ht="28" customHeight="1">
      <ns0:c r="A567" s="29"/>
      <ns0:c r="B567" s="30"/>
      <ns0:c r="C567" s="28"/>
      <ns0:c r="D567" s="29"/>
      <ns0:c r="E567" s="31"/>
      <ns0:c r="F567" s="32"/>
      <ns0:c r="G567" s="29"/>
      <ns0:c r="H567" s="29"/>
      <ns0:c r="I567" s="29"/>
      <ns0:c r="J567" s="29"/>
      <ns0:c r="K567" s="29"/>
    </ns0:row>
    <ns0:row r="568" ht="28" customHeight="1">
      <ns0:c r="A568" s="29"/>
      <ns0:c r="B568" s="30"/>
      <ns0:c r="C568" s="28"/>
      <ns0:c r="D568" s="29"/>
      <ns0:c r="E568" s="31"/>
      <ns0:c r="F568" s="32"/>
      <ns0:c r="G568" s="29"/>
      <ns0:c r="H568" s="29"/>
      <ns0:c r="I568" s="29"/>
      <ns0:c r="J568" s="29"/>
      <ns0:c r="K568" s="29"/>
    </ns0:row>
    <ns0:row r="569" ht="28" customHeight="1">
      <ns0:c r="A569" s="29"/>
      <ns0:c r="B569" s="30"/>
      <ns0:c r="C569" s="28"/>
      <ns0:c r="D569" s="29"/>
      <ns0:c r="E569" s="31"/>
      <ns0:c r="F569" s="32"/>
      <ns0:c r="G569" s="29"/>
      <ns0:c r="H569" s="29"/>
      <ns0:c r="I569" s="29"/>
      <ns0:c r="J569" s="29"/>
      <ns0:c r="K569" s="29"/>
    </ns0:row>
    <ns0:row r="570" ht="28" customHeight="1">
      <ns0:c r="A570" s="29"/>
      <ns0:c r="B570" s="30"/>
      <ns0:c r="C570" s="28"/>
      <ns0:c r="D570" s="29"/>
      <ns0:c r="E570" s="31"/>
      <ns0:c r="F570" s="32"/>
      <ns0:c r="G570" s="29"/>
      <ns0:c r="H570" s="29"/>
      <ns0:c r="I570" s="29"/>
      <ns0:c r="J570" s="29"/>
      <ns0:c r="K570" s="29"/>
    </ns0:row>
    <ns0:row r="571" ht="28" customHeight="1">
      <ns0:c r="A571" s="29"/>
      <ns0:c r="B571" s="30"/>
      <ns0:c r="C571" s="28"/>
      <ns0:c r="D571" s="29"/>
      <ns0:c r="E571" s="31"/>
      <ns0:c r="F571" s="32"/>
      <ns0:c r="G571" s="29"/>
      <ns0:c r="H571" s="29"/>
      <ns0:c r="I571" s="29"/>
      <ns0:c r="J571" s="29"/>
      <ns0:c r="K571" s="29"/>
    </ns0:row>
    <ns0:row r="572" ht="28" customHeight="1">
      <ns0:c r="A572" s="29"/>
      <ns0:c r="B572" s="30"/>
      <ns0:c r="C572" s="28"/>
      <ns0:c r="D572" s="29"/>
      <ns0:c r="E572" s="31"/>
      <ns0:c r="F572" s="32"/>
      <ns0:c r="G572" s="29"/>
      <ns0:c r="H572" s="29"/>
      <ns0:c r="I572" s="29"/>
      <ns0:c r="J572" s="29"/>
      <ns0:c r="K572" s="29"/>
    </ns0:row>
    <ns0:row r="573" ht="28" customHeight="1">
      <ns0:c r="A573" s="29"/>
      <ns0:c r="B573" s="30"/>
      <ns0:c r="C573" s="28"/>
      <ns0:c r="D573" s="29"/>
      <ns0:c r="E573" s="31"/>
      <ns0:c r="F573" s="32"/>
      <ns0:c r="G573" s="29"/>
      <ns0:c r="H573" s="29"/>
      <ns0:c r="I573" s="29"/>
      <ns0:c r="J573" s="29"/>
      <ns0:c r="K573" s="29"/>
    </ns0:row>
    <ns0:row r="574" ht="28" customHeight="1">
      <ns0:c r="A574" s="29"/>
      <ns0:c r="B574" s="30"/>
      <ns0:c r="C574" s="28"/>
      <ns0:c r="D574" s="29"/>
      <ns0:c r="E574" s="31"/>
      <ns0:c r="F574" s="32"/>
      <ns0:c r="G574" s="29"/>
      <ns0:c r="H574" s="29"/>
      <ns0:c r="I574" s="29"/>
      <ns0:c r="J574" s="29"/>
      <ns0:c r="K574" s="29"/>
    </ns0:row>
    <ns0:row r="575" ht="28" customHeight="1">
      <ns0:c r="A575" s="29"/>
      <ns0:c r="B575" s="30"/>
      <ns0:c r="C575" s="28"/>
      <ns0:c r="D575" s="29"/>
      <ns0:c r="E575" s="31"/>
      <ns0:c r="F575" s="32"/>
      <ns0:c r="G575" s="29"/>
      <ns0:c r="H575" s="29"/>
      <ns0:c r="I575" s="29"/>
      <ns0:c r="J575" s="29"/>
      <ns0:c r="K575" s="29"/>
    </ns0:row>
    <ns0:row r="576" ht="28" customHeight="1">
      <ns0:c r="A576" s="29"/>
      <ns0:c r="B576" s="30"/>
      <ns0:c r="C576" s="28"/>
      <ns0:c r="D576" s="29"/>
      <ns0:c r="E576" s="31"/>
      <ns0:c r="F576" s="32"/>
      <ns0:c r="G576" s="29"/>
      <ns0:c r="H576" s="29"/>
      <ns0:c r="I576" s="29"/>
      <ns0:c r="J576" s="29"/>
      <ns0:c r="K576" s="29"/>
    </ns0:row>
    <ns0:row r="577" ht="28" customHeight="1">
      <ns0:c r="A577" s="29"/>
      <ns0:c r="B577" s="30"/>
      <ns0:c r="C577" s="28"/>
      <ns0:c r="D577" s="29"/>
      <ns0:c r="E577" s="31"/>
      <ns0:c r="F577" s="32"/>
      <ns0:c r="G577" s="29"/>
      <ns0:c r="H577" s="29"/>
      <ns0:c r="I577" s="29"/>
      <ns0:c r="J577" s="29"/>
      <ns0:c r="K577" s="29"/>
    </ns0:row>
    <ns0:row r="578" ht="28" customHeight="1">
      <ns0:c r="A578" s="29"/>
      <ns0:c r="B578" s="30"/>
      <ns0:c r="C578" s="28"/>
      <ns0:c r="D578" s="29"/>
      <ns0:c r="E578" s="31"/>
      <ns0:c r="F578" s="32"/>
      <ns0:c r="G578" s="29"/>
      <ns0:c r="H578" s="29"/>
      <ns0:c r="I578" s="29"/>
      <ns0:c r="J578" s="29"/>
      <ns0:c r="K578" s="29"/>
    </ns0:row>
    <ns0:row r="579" ht="28" customHeight="1">
      <ns0:c r="A579" s="29"/>
      <ns0:c r="B579" s="30"/>
      <ns0:c r="C579" s="28"/>
      <ns0:c r="D579" s="29"/>
      <ns0:c r="E579" s="31"/>
      <ns0:c r="F579" s="32"/>
      <ns0:c r="G579" s="29"/>
      <ns0:c r="H579" s="29"/>
      <ns0:c r="I579" s="29"/>
      <ns0:c r="J579" s="29"/>
      <ns0:c r="K579" s="29"/>
    </ns0:row>
    <ns0:row r="580" ht="28" customHeight="1">
      <ns0:c r="A580" s="29"/>
      <ns0:c r="B580" s="30"/>
      <ns0:c r="C580" s="28"/>
      <ns0:c r="D580" s="29"/>
      <ns0:c r="E580" s="31"/>
      <ns0:c r="F580" s="32"/>
      <ns0:c r="G580" s="29"/>
      <ns0:c r="H580" s="29"/>
      <ns0:c r="I580" s="29"/>
      <ns0:c r="J580" s="29"/>
      <ns0:c r="K580" s="29"/>
    </ns0:row>
    <ns0:row r="581" ht="28" customHeight="1">
      <ns0:c r="A581" s="29"/>
      <ns0:c r="B581" s="30"/>
      <ns0:c r="C581" s="28"/>
      <ns0:c r="D581" s="29"/>
      <ns0:c r="E581" s="31"/>
      <ns0:c r="F581" s="32"/>
      <ns0:c r="G581" s="29"/>
      <ns0:c r="H581" s="29"/>
      <ns0:c r="I581" s="29"/>
      <ns0:c r="J581" s="29"/>
      <ns0:c r="K581" s="29"/>
    </ns0:row>
    <ns0:row r="582" ht="28" customHeight="1">
      <ns0:c r="A582" s="29"/>
      <ns0:c r="B582" s="30"/>
      <ns0:c r="C582" s="28"/>
      <ns0:c r="D582" s="29"/>
      <ns0:c r="E582" s="31"/>
      <ns0:c r="F582" s="32"/>
      <ns0:c r="G582" s="29"/>
      <ns0:c r="H582" s="29"/>
      <ns0:c r="I582" s="29"/>
      <ns0:c r="J582" s="29"/>
      <ns0:c r="K582" s="29"/>
    </ns0:row>
    <ns0:row r="583" ht="28" customHeight="1">
      <ns0:c r="A583" s="29"/>
      <ns0:c r="B583" s="30"/>
      <ns0:c r="C583" s="28"/>
      <ns0:c r="D583" s="29"/>
      <ns0:c r="E583" s="31"/>
      <ns0:c r="F583" s="32"/>
      <ns0:c r="G583" s="29"/>
      <ns0:c r="H583" s="29"/>
      <ns0:c r="I583" s="29"/>
      <ns0:c r="J583" s="29"/>
      <ns0:c r="K583" s="29"/>
    </ns0:row>
    <ns0:row r="584" ht="28" customHeight="1">
      <ns0:c r="A584" s="29"/>
      <ns0:c r="B584" s="30"/>
      <ns0:c r="C584" s="28"/>
      <ns0:c r="D584" s="29"/>
      <ns0:c r="E584" s="31"/>
      <ns0:c r="F584" s="32"/>
      <ns0:c r="G584" s="29"/>
      <ns0:c r="H584" s="29"/>
      <ns0:c r="I584" s="29"/>
      <ns0:c r="J584" s="29"/>
      <ns0:c r="K584" s="29"/>
    </ns0:row>
    <ns0:row r="585" ht="28" customHeight="1">
      <ns0:c r="A585" s="29"/>
      <ns0:c r="B585" s="30"/>
      <ns0:c r="C585" s="28"/>
      <ns0:c r="D585" s="29"/>
      <ns0:c r="E585" s="31"/>
      <ns0:c r="F585" s="32"/>
      <ns0:c r="G585" s="29"/>
      <ns0:c r="H585" s="29"/>
      <ns0:c r="I585" s="29"/>
      <ns0:c r="J585" s="29"/>
      <ns0:c r="K585" s="29"/>
    </ns0:row>
    <ns0:row r="586" ht="28" customHeight="1">
      <ns0:c r="A586" s="29"/>
      <ns0:c r="B586" s="30"/>
      <ns0:c r="C586" s="28"/>
      <ns0:c r="D586" s="29"/>
      <ns0:c r="E586" s="31"/>
      <ns0:c r="F586" s="32"/>
      <ns0:c r="G586" s="29"/>
      <ns0:c r="H586" s="29"/>
      <ns0:c r="I586" s="29"/>
      <ns0:c r="J586" s="29"/>
      <ns0:c r="K586" s="29"/>
    </ns0:row>
    <ns0:row r="587" ht="28" customHeight="1">
      <ns0:c r="A587" s="29"/>
      <ns0:c r="B587" s="30"/>
      <ns0:c r="C587" s="28"/>
      <ns0:c r="D587" s="29"/>
      <ns0:c r="E587" s="31"/>
      <ns0:c r="F587" s="32"/>
      <ns0:c r="G587" s="29"/>
      <ns0:c r="H587" s="29"/>
      <ns0:c r="I587" s="29"/>
      <ns0:c r="J587" s="29"/>
      <ns0:c r="K587" s="29"/>
    </ns0:row>
    <ns0:row r="588" ht="28" customHeight="1">
      <ns0:c r="A588" s="29"/>
      <ns0:c r="B588" s="30"/>
      <ns0:c r="C588" s="28"/>
      <ns0:c r="D588" s="29"/>
      <ns0:c r="E588" s="31"/>
      <ns0:c r="F588" s="32"/>
      <ns0:c r="G588" s="29"/>
      <ns0:c r="H588" s="29"/>
      <ns0:c r="I588" s="29"/>
      <ns0:c r="J588" s="29"/>
      <ns0:c r="K588" s="29"/>
    </ns0:row>
    <ns0:row r="589" ht="28" customHeight="1">
      <ns0:c r="A589" s="29"/>
      <ns0:c r="B589" s="30"/>
      <ns0:c r="C589" s="28"/>
      <ns0:c r="D589" s="29"/>
      <ns0:c r="E589" s="31"/>
      <ns0:c r="F589" s="32"/>
      <ns0:c r="G589" s="29"/>
      <ns0:c r="H589" s="29"/>
      <ns0:c r="I589" s="29"/>
      <ns0:c r="J589" s="29"/>
      <ns0:c r="K589" s="29"/>
    </ns0:row>
    <ns0:row r="590" ht="28" customHeight="1">
      <ns0:c r="A590" s="29"/>
      <ns0:c r="B590" s="30"/>
      <ns0:c r="C590" s="28"/>
      <ns0:c r="D590" s="29"/>
      <ns0:c r="E590" s="31"/>
      <ns0:c r="F590" s="32"/>
      <ns0:c r="G590" s="29"/>
      <ns0:c r="H590" s="29"/>
      <ns0:c r="I590" s="29"/>
      <ns0:c r="J590" s="29"/>
      <ns0:c r="K590" s="29"/>
    </ns0:row>
    <ns0:row r="591" ht="28" customHeight="1">
      <ns0:c r="A591" s="29"/>
      <ns0:c r="B591" s="30"/>
      <ns0:c r="C591" s="28"/>
      <ns0:c r="D591" s="29"/>
      <ns0:c r="E591" s="31"/>
      <ns0:c r="F591" s="32"/>
      <ns0:c r="G591" s="29"/>
      <ns0:c r="H591" s="29"/>
      <ns0:c r="I591" s="29"/>
      <ns0:c r="J591" s="29"/>
      <ns0:c r="K591" s="29"/>
    </ns0:row>
    <ns0:row r="592" ht="28" customHeight="1">
      <ns0:c r="A592" s="29"/>
      <ns0:c r="B592" s="30"/>
      <ns0:c r="C592" s="28"/>
      <ns0:c r="D592" s="29"/>
      <ns0:c r="E592" s="31"/>
      <ns0:c r="F592" s="32"/>
      <ns0:c r="G592" s="29"/>
      <ns0:c r="H592" s="29"/>
      <ns0:c r="I592" s="29"/>
      <ns0:c r="J592" s="29"/>
      <ns0:c r="K592" s="29"/>
    </ns0:row>
    <ns0:row r="593" ht="28" customHeight="1">
      <ns0:c r="A593" s="29"/>
      <ns0:c r="B593" s="30"/>
      <ns0:c r="C593" s="28"/>
      <ns0:c r="D593" s="29"/>
      <ns0:c r="E593" s="31"/>
      <ns0:c r="F593" s="32"/>
      <ns0:c r="G593" s="29"/>
      <ns0:c r="H593" s="29"/>
      <ns0:c r="I593" s="29"/>
      <ns0:c r="J593" s="29"/>
      <ns0:c r="K593" s="29"/>
    </ns0:row>
    <ns0:row r="594" ht="28" customHeight="1">
      <ns0:c r="A594" s="29"/>
      <ns0:c r="B594" s="30"/>
      <ns0:c r="C594" s="28"/>
      <ns0:c r="D594" s="29"/>
      <ns0:c r="E594" s="31"/>
      <ns0:c r="F594" s="32"/>
      <ns0:c r="G594" s="29"/>
      <ns0:c r="H594" s="29"/>
      <ns0:c r="I594" s="29"/>
      <ns0:c r="J594" s="29"/>
      <ns0:c r="K594" s="29"/>
    </ns0:row>
    <ns0:row r="595" ht="28" customHeight="1">
      <ns0:c r="A595" s="29"/>
      <ns0:c r="B595" s="30"/>
      <ns0:c r="C595" s="28"/>
      <ns0:c r="D595" s="29"/>
      <ns0:c r="E595" s="31"/>
      <ns0:c r="F595" s="32"/>
      <ns0:c r="G595" s="29"/>
      <ns0:c r="H595" s="29"/>
      <ns0:c r="I595" s="29"/>
      <ns0:c r="J595" s="29"/>
      <ns0:c r="K595" s="29"/>
    </ns0:row>
    <ns0:row r="596" ht="28" customHeight="1">
      <ns0:c r="A596" s="29"/>
      <ns0:c r="B596" s="30"/>
      <ns0:c r="C596" s="28"/>
      <ns0:c r="D596" s="29"/>
      <ns0:c r="E596" s="31"/>
      <ns0:c r="F596" s="32"/>
      <ns0:c r="G596" s="29"/>
      <ns0:c r="H596" s="29"/>
      <ns0:c r="I596" s="29"/>
      <ns0:c r="J596" s="29"/>
      <ns0:c r="K596" s="29"/>
    </ns0:row>
    <ns0:row r="597" ht="28" customHeight="1">
      <ns0:c r="A597" s="29"/>
      <ns0:c r="B597" s="30"/>
      <ns0:c r="C597" s="28"/>
      <ns0:c r="D597" s="29"/>
      <ns0:c r="E597" s="31"/>
      <ns0:c r="F597" s="32"/>
      <ns0:c r="G597" s="29"/>
      <ns0:c r="H597" s="29"/>
      <ns0:c r="I597" s="29"/>
      <ns0:c r="J597" s="29"/>
      <ns0:c r="K597" s="29"/>
    </ns0:row>
    <ns0:row r="598" ht="28" customHeight="1">
      <ns0:c r="A598" s="29"/>
      <ns0:c r="B598" s="30"/>
      <ns0:c r="C598" s="28"/>
      <ns0:c r="D598" s="29"/>
      <ns0:c r="E598" s="31"/>
      <ns0:c r="F598" s="32"/>
      <ns0:c r="G598" s="29"/>
      <ns0:c r="H598" s="29"/>
      <ns0:c r="I598" s="29"/>
      <ns0:c r="J598" s="29"/>
      <ns0:c r="K598" s="29"/>
    </ns0:row>
    <ns0:row r="599" ht="28" customHeight="1">
      <ns0:c r="A599" s="29"/>
      <ns0:c r="B599" s="30"/>
      <ns0:c r="C599" s="28"/>
      <ns0:c r="D599" s="29"/>
      <ns0:c r="E599" s="31"/>
      <ns0:c r="F599" s="32"/>
      <ns0:c r="G599" s="29"/>
      <ns0:c r="H599" s="29"/>
      <ns0:c r="I599" s="29"/>
      <ns0:c r="J599" s="29"/>
      <ns0:c r="K599" s="29"/>
    </ns0:row>
    <ns0:row r="600" ht="28" customHeight="1">
      <ns0:c r="A600" s="29"/>
      <ns0:c r="B600" s="30"/>
      <ns0:c r="C600" s="28"/>
      <ns0:c r="D600" s="29"/>
      <ns0:c r="E600" s="31"/>
      <ns0:c r="F600" s="32"/>
      <ns0:c r="G600" s="29"/>
      <ns0:c r="H600" s="29"/>
      <ns0:c r="I600" s="29"/>
      <ns0:c r="J600" s="29"/>
      <ns0:c r="K600" s="29"/>
    </ns0:row>
    <ns0:row r="601" ht="28" customHeight="1">
      <ns0:c r="A601" s="29"/>
      <ns0:c r="B601" s="30"/>
      <ns0:c r="C601" s="28"/>
      <ns0:c r="D601" s="29"/>
      <ns0:c r="E601" s="31"/>
      <ns0:c r="F601" s="32"/>
      <ns0:c r="G601" s="29"/>
      <ns0:c r="H601" s="29"/>
      <ns0:c r="I601" s="29"/>
      <ns0:c r="J601" s="29"/>
      <ns0:c r="K601" s="29"/>
    </ns0:row>
    <ns0:row r="602" ht="28" customHeight="1">
      <ns0:c r="A602" s="29"/>
      <ns0:c r="B602" s="30"/>
      <ns0:c r="C602" s="28"/>
      <ns0:c r="D602" s="29"/>
      <ns0:c r="E602" s="31"/>
      <ns0:c r="F602" s="32"/>
      <ns0:c r="G602" s="29"/>
      <ns0:c r="H602" s="29"/>
      <ns0:c r="I602" s="29"/>
      <ns0:c r="J602" s="29"/>
      <ns0:c r="K602" s="29"/>
    </ns0:row>
    <ns0:row r="603" ht="28" customHeight="1">
      <ns0:c r="A603" s="29"/>
      <ns0:c r="B603" s="30"/>
      <ns0:c r="C603" s="28"/>
      <ns0:c r="D603" s="29"/>
      <ns0:c r="E603" s="31"/>
      <ns0:c r="F603" s="32"/>
      <ns0:c r="G603" s="29"/>
      <ns0:c r="H603" s="29"/>
      <ns0:c r="I603" s="29"/>
      <ns0:c r="J603" s="29"/>
      <ns0:c r="K603" s="29"/>
    </ns0:row>
    <ns0:row r="604" ht="28" customHeight="1">
      <ns0:c r="A604" s="29"/>
      <ns0:c r="B604" s="30"/>
      <ns0:c r="C604" s="28"/>
      <ns0:c r="D604" s="29"/>
      <ns0:c r="E604" s="31"/>
      <ns0:c r="F604" s="32"/>
      <ns0:c r="G604" s="29"/>
      <ns0:c r="H604" s="29"/>
      <ns0:c r="I604" s="29"/>
      <ns0:c r="J604" s="29"/>
      <ns0:c r="K604" s="29"/>
    </ns0:row>
    <ns0:row r="605" ht="28" customHeight="1">
      <ns0:c r="A605" s="29"/>
      <ns0:c r="B605" s="30"/>
      <ns0:c r="C605" s="28"/>
      <ns0:c r="D605" s="29"/>
      <ns0:c r="E605" s="31"/>
      <ns0:c r="F605" s="32"/>
      <ns0:c r="G605" s="29"/>
      <ns0:c r="H605" s="29"/>
      <ns0:c r="I605" s="29"/>
      <ns0:c r="J605" s="29"/>
      <ns0:c r="K605" s="29"/>
    </ns0:row>
    <ns0:row r="606" ht="28" customHeight="1">
      <ns0:c r="A606" s="29"/>
      <ns0:c r="B606" s="30"/>
      <ns0:c r="C606" s="28"/>
      <ns0:c r="D606" s="29"/>
      <ns0:c r="E606" s="31"/>
      <ns0:c r="F606" s="32"/>
      <ns0:c r="G606" s="29"/>
      <ns0:c r="H606" s="29"/>
      <ns0:c r="I606" s="29"/>
      <ns0:c r="J606" s="29"/>
      <ns0:c r="K606" s="29"/>
    </ns0:row>
    <ns0:row r="607" ht="28" customHeight="1">
      <ns0:c r="A607" s="29"/>
      <ns0:c r="B607" s="30"/>
      <ns0:c r="C607" s="28"/>
      <ns0:c r="D607" s="29"/>
      <ns0:c r="E607" s="31"/>
      <ns0:c r="F607" s="32"/>
      <ns0:c r="G607" s="29"/>
      <ns0:c r="H607" s="29"/>
      <ns0:c r="I607" s="29"/>
      <ns0:c r="J607" s="29"/>
      <ns0:c r="K607" s="29"/>
    </ns0:row>
    <ns0:row r="608" ht="28" customHeight="1">
      <ns0:c r="A608" s="29"/>
      <ns0:c r="B608" s="30"/>
      <ns0:c r="C608" s="28"/>
      <ns0:c r="D608" s="29"/>
      <ns0:c r="E608" s="31"/>
      <ns0:c r="F608" s="32"/>
      <ns0:c r="G608" s="29"/>
      <ns0:c r="H608" s="29"/>
      <ns0:c r="I608" s="29"/>
      <ns0:c r="J608" s="29"/>
      <ns0:c r="K608" s="29"/>
    </ns0:row>
    <ns0:row r="609" ht="28" customHeight="1">
      <ns0:c r="A609" s="29"/>
      <ns0:c r="B609" s="30"/>
      <ns0:c r="C609" s="28"/>
      <ns0:c r="D609" s="29"/>
      <ns0:c r="E609" s="31"/>
      <ns0:c r="F609" s="32"/>
      <ns0:c r="G609" s="29"/>
      <ns0:c r="H609" s="29"/>
      <ns0:c r="I609" s="29"/>
      <ns0:c r="J609" s="29"/>
      <ns0:c r="K609" s="29"/>
    </ns0:row>
    <ns0:row r="610" ht="28" customHeight="1">
      <ns0:c r="A610" s="29"/>
      <ns0:c r="B610" s="30"/>
      <ns0:c r="C610" s="28"/>
      <ns0:c r="D610" s="29"/>
      <ns0:c r="E610" s="31"/>
      <ns0:c r="F610" s="32"/>
      <ns0:c r="G610" s="29"/>
      <ns0:c r="H610" s="29"/>
      <ns0:c r="I610" s="29"/>
      <ns0:c r="J610" s="29"/>
      <ns0:c r="K610" s="29"/>
    </ns0:row>
    <ns0:row r="611" ht="28" customHeight="1">
      <ns0:c r="A611" s="29"/>
      <ns0:c r="B611" s="30"/>
      <ns0:c r="C611" s="28"/>
      <ns0:c r="D611" s="29"/>
      <ns0:c r="E611" s="31"/>
      <ns0:c r="F611" s="32"/>
      <ns0:c r="G611" s="29"/>
      <ns0:c r="H611" s="29"/>
      <ns0:c r="I611" s="29"/>
      <ns0:c r="J611" s="29"/>
      <ns0:c r="K611" s="29"/>
    </ns0:row>
    <ns0:row r="612" ht="28" customHeight="1">
      <ns0:c r="A612" s="29"/>
      <ns0:c r="B612" s="30"/>
      <ns0:c r="C612" s="28"/>
      <ns0:c r="D612" s="29"/>
      <ns0:c r="E612" s="31"/>
      <ns0:c r="F612" s="32"/>
      <ns0:c r="G612" s="29"/>
      <ns0:c r="H612" s="29"/>
      <ns0:c r="I612" s="29"/>
      <ns0:c r="J612" s="29"/>
      <ns0:c r="K612" s="29"/>
    </ns0:row>
    <ns0:row r="613" ht="28" customHeight="1">
      <ns0:c r="A613" s="29"/>
      <ns0:c r="B613" s="30"/>
      <ns0:c r="C613" s="28"/>
      <ns0:c r="D613" s="29"/>
      <ns0:c r="E613" s="31"/>
      <ns0:c r="F613" s="32"/>
      <ns0:c r="G613" s="29"/>
      <ns0:c r="H613" s="29"/>
      <ns0:c r="I613" s="29"/>
      <ns0:c r="J613" s="29"/>
      <ns0:c r="K613" s="29"/>
    </ns0:row>
    <ns0:row r="614" ht="28" customHeight="1">
      <ns0:c r="A614" s="29"/>
      <ns0:c r="B614" s="30"/>
      <ns0:c r="C614" s="28"/>
      <ns0:c r="D614" s="29"/>
      <ns0:c r="E614" s="31"/>
      <ns0:c r="F614" s="32"/>
      <ns0:c r="G614" s="29"/>
      <ns0:c r="H614" s="29"/>
      <ns0:c r="I614" s="29"/>
      <ns0:c r="J614" s="29"/>
      <ns0:c r="K614" s="29"/>
    </ns0:row>
    <ns0:row r="615" ht="28" customHeight="1">
      <ns0:c r="A615" s="29"/>
      <ns0:c r="B615" s="30"/>
      <ns0:c r="C615" s="28"/>
      <ns0:c r="D615" s="29"/>
      <ns0:c r="E615" s="31"/>
      <ns0:c r="F615" s="32"/>
      <ns0:c r="G615" s="29"/>
      <ns0:c r="H615" s="29"/>
      <ns0:c r="I615" s="29"/>
      <ns0:c r="J615" s="29"/>
      <ns0:c r="K615" s="29"/>
    </ns0:row>
    <ns0:row r="616" ht="28" customHeight="1">
      <ns0:c r="A616" s="29"/>
      <ns0:c r="B616" s="30"/>
      <ns0:c r="C616" s="28"/>
      <ns0:c r="D616" s="29"/>
      <ns0:c r="E616" s="31"/>
      <ns0:c r="F616" s="32"/>
      <ns0:c r="G616" s="29"/>
      <ns0:c r="H616" s="29"/>
      <ns0:c r="I616" s="29"/>
      <ns0:c r="J616" s="29"/>
      <ns0:c r="K616" s="29"/>
    </ns0:row>
    <ns0:row r="617" ht="28" customHeight="1">
      <ns0:c r="A617" s="29"/>
      <ns0:c r="B617" s="30"/>
      <ns0:c r="C617" s="28"/>
      <ns0:c r="D617" s="29"/>
      <ns0:c r="E617" s="31"/>
      <ns0:c r="F617" s="32"/>
      <ns0:c r="G617" s="29"/>
      <ns0:c r="H617" s="29"/>
      <ns0:c r="I617" s="29"/>
      <ns0:c r="J617" s="29"/>
      <ns0:c r="K617" s="29"/>
    </ns0:row>
    <ns0:row r="618" ht="28" customHeight="1">
      <ns0:c r="A618" s="29"/>
      <ns0:c r="B618" s="30"/>
      <ns0:c r="C618" s="28"/>
      <ns0:c r="D618" s="29"/>
      <ns0:c r="E618" s="31"/>
      <ns0:c r="F618" s="32"/>
      <ns0:c r="G618" s="29"/>
      <ns0:c r="H618" s="29"/>
      <ns0:c r="I618" s="29"/>
      <ns0:c r="J618" s="29"/>
      <ns0:c r="K618" s="29"/>
    </ns0:row>
    <ns0:row r="619" ht="28" customHeight="1">
      <ns0:c r="A619" s="29"/>
      <ns0:c r="B619" s="30"/>
      <ns0:c r="C619" s="28"/>
      <ns0:c r="D619" s="29"/>
      <ns0:c r="E619" s="31"/>
      <ns0:c r="F619" s="32"/>
      <ns0:c r="G619" s="29"/>
      <ns0:c r="H619" s="29"/>
      <ns0:c r="I619" s="29"/>
      <ns0:c r="J619" s="29"/>
      <ns0:c r="K619" s="29"/>
    </ns0:row>
    <ns0:row r="620" ht="28" customHeight="1">
      <ns0:c r="A620" s="29"/>
      <ns0:c r="B620" s="30"/>
      <ns0:c r="C620" s="28"/>
      <ns0:c r="D620" s="29"/>
      <ns0:c r="E620" s="31"/>
      <ns0:c r="F620" s="32"/>
      <ns0:c r="G620" s="29"/>
      <ns0:c r="H620" s="29"/>
      <ns0:c r="I620" s="29"/>
      <ns0:c r="J620" s="29"/>
      <ns0:c r="K620" s="29"/>
    </ns0:row>
    <ns0:row r="621" ht="28" customHeight="1">
      <ns0:c r="A621" s="29"/>
      <ns0:c r="B621" s="30"/>
      <ns0:c r="C621" s="28"/>
      <ns0:c r="D621" s="29"/>
      <ns0:c r="E621" s="31"/>
      <ns0:c r="F621" s="32"/>
      <ns0:c r="G621" s="29"/>
      <ns0:c r="H621" s="29"/>
      <ns0:c r="I621" s="29"/>
      <ns0:c r="J621" s="29"/>
      <ns0:c r="K621" s="29"/>
    </ns0:row>
    <ns0:row r="622" ht="28" customHeight="1">
      <ns0:c r="A622" s="29"/>
      <ns0:c r="B622" s="30"/>
      <ns0:c r="C622" s="28"/>
      <ns0:c r="D622" s="29"/>
      <ns0:c r="E622" s="31"/>
      <ns0:c r="F622" s="32"/>
      <ns0:c r="G622" s="29"/>
      <ns0:c r="H622" s="29"/>
      <ns0:c r="I622" s="29"/>
      <ns0:c r="J622" s="29"/>
      <ns0:c r="K622" s="29"/>
    </ns0:row>
    <ns0:row r="623" ht="28" customHeight="1">
      <ns0:c r="A623" s="29"/>
      <ns0:c r="B623" s="30"/>
      <ns0:c r="C623" s="28"/>
      <ns0:c r="D623" s="29"/>
      <ns0:c r="E623" s="31"/>
      <ns0:c r="F623" s="32"/>
      <ns0:c r="G623" s="29"/>
      <ns0:c r="H623" s="29"/>
      <ns0:c r="I623" s="29"/>
      <ns0:c r="J623" s="29"/>
      <ns0:c r="K623" s="29"/>
    </ns0:row>
    <ns0:row r="624" ht="28" customHeight="1">
      <ns0:c r="A624" s="29"/>
      <ns0:c r="B624" s="30"/>
      <ns0:c r="C624" s="28"/>
      <ns0:c r="D624" s="29"/>
      <ns0:c r="E624" s="31"/>
      <ns0:c r="F624" s="32"/>
      <ns0:c r="G624" s="29"/>
      <ns0:c r="H624" s="29"/>
      <ns0:c r="I624" s="29"/>
      <ns0:c r="J624" s="29"/>
      <ns0:c r="K624" s="29"/>
    </ns0:row>
    <ns0:row r="625" ht="28" customHeight="1">
      <ns0:c r="A625" s="29"/>
      <ns0:c r="B625" s="30"/>
      <ns0:c r="C625" s="28"/>
      <ns0:c r="D625" s="29"/>
      <ns0:c r="E625" s="31"/>
      <ns0:c r="F625" s="32"/>
      <ns0:c r="G625" s="29"/>
      <ns0:c r="H625" s="29"/>
      <ns0:c r="I625" s="29"/>
      <ns0:c r="J625" s="29"/>
      <ns0:c r="K625" s="29"/>
    </ns0:row>
    <ns0:row r="626" ht="28" customHeight="1">
      <ns0:c r="A626" s="29"/>
      <ns0:c r="B626" s="30"/>
      <ns0:c r="C626" s="28"/>
      <ns0:c r="D626" s="29"/>
      <ns0:c r="E626" s="31"/>
      <ns0:c r="F626" s="32"/>
      <ns0:c r="G626" s="29"/>
      <ns0:c r="H626" s="29"/>
      <ns0:c r="I626" s="29"/>
      <ns0:c r="J626" s="29"/>
      <ns0:c r="K626" s="29"/>
    </ns0:row>
    <ns0:row r="627" ht="28" customHeight="1">
      <ns0:c r="A627" s="29"/>
      <ns0:c r="B627" s="30"/>
      <ns0:c r="C627" s="28"/>
      <ns0:c r="D627" s="29"/>
      <ns0:c r="E627" s="31"/>
      <ns0:c r="F627" s="32"/>
      <ns0:c r="G627" s="29"/>
      <ns0:c r="H627" s="29"/>
      <ns0:c r="I627" s="29"/>
      <ns0:c r="J627" s="29"/>
      <ns0:c r="K627" s="29"/>
    </ns0:row>
    <ns0:row r="628" ht="28" customHeight="1">
      <ns0:c r="A628" s="29"/>
      <ns0:c r="B628" s="30"/>
      <ns0:c r="C628" s="28"/>
      <ns0:c r="D628" s="29"/>
      <ns0:c r="E628" s="31"/>
      <ns0:c r="F628" s="32"/>
      <ns0:c r="G628" s="29"/>
      <ns0:c r="H628" s="29"/>
      <ns0:c r="I628" s="29"/>
      <ns0:c r="J628" s="29"/>
      <ns0:c r="K628" s="29"/>
    </ns0:row>
    <ns0:row r="629" ht="28" customHeight="1">
      <ns0:c r="A629" s="29"/>
      <ns0:c r="B629" s="30"/>
      <ns0:c r="C629" s="28"/>
      <ns0:c r="D629" s="29"/>
      <ns0:c r="E629" s="31"/>
      <ns0:c r="F629" s="32"/>
      <ns0:c r="G629" s="29"/>
      <ns0:c r="H629" s="29"/>
      <ns0:c r="I629" s="29"/>
      <ns0:c r="J629" s="29"/>
      <ns0:c r="K629" s="29"/>
    </ns0:row>
    <ns0:row r="630" ht="28" customHeight="1">
      <ns0:c r="A630" s="29"/>
      <ns0:c r="B630" s="30"/>
      <ns0:c r="C630" s="28"/>
      <ns0:c r="D630" s="29"/>
      <ns0:c r="E630" s="31"/>
      <ns0:c r="F630" s="32"/>
      <ns0:c r="G630" s="29"/>
      <ns0:c r="H630" s="29"/>
      <ns0:c r="I630" s="29"/>
      <ns0:c r="J630" s="29"/>
      <ns0:c r="K630" s="29"/>
    </ns0:row>
    <ns0:row r="631" ht="28" customHeight="1">
      <ns0:c r="A631" s="29"/>
      <ns0:c r="B631" s="30"/>
      <ns0:c r="C631" s="28"/>
      <ns0:c r="D631" s="29"/>
      <ns0:c r="E631" s="31"/>
      <ns0:c r="F631" s="32"/>
      <ns0:c r="G631" s="29"/>
      <ns0:c r="H631" s="29"/>
      <ns0:c r="I631" s="29"/>
      <ns0:c r="J631" s="29"/>
      <ns0:c r="K631" s="29"/>
    </ns0:row>
    <ns0:row r="632" ht="28" customHeight="1">
      <ns0:c r="A632" s="29"/>
      <ns0:c r="B632" s="30"/>
      <ns0:c r="C632" s="28"/>
      <ns0:c r="D632" s="29"/>
      <ns0:c r="E632" s="31"/>
      <ns0:c r="F632" s="32"/>
      <ns0:c r="G632" s="29"/>
      <ns0:c r="H632" s="29"/>
      <ns0:c r="I632" s="29"/>
      <ns0:c r="J632" s="29"/>
      <ns0:c r="K632" s="29"/>
    </ns0:row>
    <ns0:row r="633" ht="28" customHeight="1">
      <ns0:c r="A633" s="29"/>
      <ns0:c r="B633" s="30"/>
      <ns0:c r="C633" s="28"/>
      <ns0:c r="D633" s="29"/>
      <ns0:c r="E633" s="31"/>
      <ns0:c r="F633" s="32"/>
      <ns0:c r="G633" s="29"/>
      <ns0:c r="H633" s="29"/>
      <ns0:c r="I633" s="29"/>
      <ns0:c r="J633" s="29"/>
      <ns0:c r="K633" s="29"/>
    </ns0:row>
    <ns0:row r="634" ht="28" customHeight="1">
      <ns0:c r="A634" s="29"/>
      <ns0:c r="B634" s="30"/>
      <ns0:c r="C634" s="28"/>
      <ns0:c r="D634" s="29"/>
      <ns0:c r="E634" s="31"/>
      <ns0:c r="F634" s="32"/>
      <ns0:c r="G634" s="29"/>
      <ns0:c r="H634" s="29"/>
      <ns0:c r="I634" s="29"/>
      <ns0:c r="J634" s="29"/>
      <ns0:c r="K634" s="29"/>
    </ns0:row>
    <ns0:row r="635" ht="28" customHeight="1">
      <ns0:c r="A635" s="29"/>
      <ns0:c r="B635" s="30"/>
      <ns0:c r="C635" s="28"/>
      <ns0:c r="D635" s="29"/>
      <ns0:c r="E635" s="31"/>
      <ns0:c r="F635" s="32"/>
      <ns0:c r="G635" s="29"/>
      <ns0:c r="H635" s="29"/>
      <ns0:c r="I635" s="29"/>
      <ns0:c r="J635" s="29"/>
      <ns0:c r="K635" s="29"/>
    </ns0:row>
    <ns0:row r="636" ht="28" customHeight="1">
      <ns0:c r="A636" s="29"/>
      <ns0:c r="B636" s="30"/>
      <ns0:c r="C636" s="28"/>
      <ns0:c r="D636" s="29"/>
      <ns0:c r="E636" s="31"/>
      <ns0:c r="F636" s="32"/>
      <ns0:c r="G636" s="29"/>
      <ns0:c r="H636" s="29"/>
      <ns0:c r="I636" s="29"/>
      <ns0:c r="J636" s="29"/>
      <ns0:c r="K636" s="29"/>
    </ns0:row>
    <ns0:row r="637" ht="28" customHeight="1">
      <ns0:c r="A637" s="29"/>
      <ns0:c r="B637" s="30"/>
      <ns0:c r="C637" s="28"/>
      <ns0:c r="D637" s="29"/>
      <ns0:c r="E637" s="31"/>
      <ns0:c r="F637" s="32"/>
      <ns0:c r="G637" s="29"/>
      <ns0:c r="H637" s="29"/>
      <ns0:c r="I637" s="29"/>
      <ns0:c r="J637" s="29"/>
      <ns0:c r="K637" s="29"/>
    </ns0:row>
    <ns0:row r="638" ht="28" customHeight="1">
      <ns0:c r="A638" s="29"/>
      <ns0:c r="B638" s="30"/>
      <ns0:c r="C638" s="28"/>
      <ns0:c r="D638" s="29"/>
      <ns0:c r="E638" s="31"/>
      <ns0:c r="F638" s="32"/>
      <ns0:c r="G638" s="29"/>
      <ns0:c r="H638" s="29"/>
      <ns0:c r="I638" s="29"/>
      <ns0:c r="J638" s="29"/>
      <ns0:c r="K638" s="29"/>
    </ns0:row>
    <ns0:row r="639" ht="28" customHeight="1">
      <ns0:c r="A639" s="29"/>
      <ns0:c r="B639" s="30"/>
      <ns0:c r="C639" s="28"/>
      <ns0:c r="D639" s="29"/>
      <ns0:c r="E639" s="31"/>
      <ns0:c r="F639" s="32"/>
      <ns0:c r="G639" s="29"/>
      <ns0:c r="H639" s="29"/>
      <ns0:c r="I639" s="29"/>
      <ns0:c r="J639" s="29"/>
      <ns0:c r="K639" s="29"/>
    </ns0:row>
    <ns0:row r="640" ht="28" customHeight="1">
      <ns0:c r="A640" s="29"/>
      <ns0:c r="B640" s="30"/>
      <ns0:c r="C640" s="28"/>
      <ns0:c r="D640" s="29"/>
      <ns0:c r="E640" s="31"/>
      <ns0:c r="F640" s="32"/>
      <ns0:c r="G640" s="29"/>
      <ns0:c r="H640" s="29"/>
      <ns0:c r="I640" s="29"/>
      <ns0:c r="J640" s="29"/>
      <ns0:c r="K640" s="29"/>
    </ns0:row>
    <ns0:row r="641" ht="28" customHeight="1">
      <ns0:c r="A641" s="29"/>
      <ns0:c r="B641" s="30"/>
      <ns0:c r="C641" s="28"/>
      <ns0:c r="D641" s="29"/>
      <ns0:c r="E641" s="31"/>
      <ns0:c r="F641" s="32"/>
      <ns0:c r="G641" s="29"/>
      <ns0:c r="H641" s="29"/>
      <ns0:c r="I641" s="29"/>
      <ns0:c r="J641" s="29"/>
      <ns0:c r="K641" s="29"/>
    </ns0:row>
    <ns0:row r="642" ht="28" customHeight="1">
      <ns0:c r="A642" s="29"/>
      <ns0:c r="B642" s="30"/>
      <ns0:c r="C642" s="28"/>
      <ns0:c r="D642" s="29"/>
      <ns0:c r="E642" s="31"/>
      <ns0:c r="F642" s="32"/>
      <ns0:c r="G642" s="29"/>
      <ns0:c r="H642" s="29"/>
      <ns0:c r="I642" s="29"/>
      <ns0:c r="J642" s="29"/>
      <ns0:c r="K642" s="29"/>
    </ns0:row>
    <ns0:row r="643" ht="28" customHeight="1">
      <ns0:c r="A643" s="29"/>
      <ns0:c r="B643" s="30"/>
      <ns0:c r="C643" s="28"/>
      <ns0:c r="D643" s="29"/>
      <ns0:c r="E643" s="31"/>
      <ns0:c r="F643" s="32"/>
      <ns0:c r="G643" s="29"/>
      <ns0:c r="H643" s="29"/>
      <ns0:c r="I643" s="29"/>
      <ns0:c r="J643" s="29"/>
      <ns0:c r="K643" s="29"/>
    </ns0:row>
    <ns0:row r="644" ht="28" customHeight="1">
      <ns0:c r="A644" s="29"/>
      <ns0:c r="B644" s="30"/>
      <ns0:c r="C644" s="28"/>
      <ns0:c r="D644" s="29"/>
      <ns0:c r="E644" s="31"/>
      <ns0:c r="F644" s="32"/>
      <ns0:c r="G644" s="29"/>
      <ns0:c r="H644" s="29"/>
      <ns0:c r="I644" s="29"/>
      <ns0:c r="J644" s="29"/>
      <ns0:c r="K644" s="29"/>
    </ns0:row>
    <ns0:row r="645" ht="28" customHeight="1">
      <ns0:c r="A645" s="29"/>
      <ns0:c r="B645" s="30"/>
      <ns0:c r="C645" s="28"/>
      <ns0:c r="D645" s="29"/>
      <ns0:c r="E645" s="31"/>
      <ns0:c r="F645" s="32"/>
      <ns0:c r="G645" s="29"/>
      <ns0:c r="H645" s="29"/>
      <ns0:c r="I645" s="29"/>
      <ns0:c r="J645" s="29"/>
      <ns0:c r="K645" s="29"/>
    </ns0:row>
    <ns0:row r="646" ht="28" customHeight="1">
      <ns0:c r="A646" s="29"/>
      <ns0:c r="B646" s="30"/>
      <ns0:c r="C646" s="28"/>
      <ns0:c r="D646" s="29"/>
      <ns0:c r="E646" s="31"/>
      <ns0:c r="F646" s="32"/>
      <ns0:c r="G646" s="29"/>
      <ns0:c r="H646" s="29"/>
      <ns0:c r="I646" s="29"/>
      <ns0:c r="J646" s="29"/>
      <ns0:c r="K646" s="29"/>
    </ns0:row>
    <ns0:row r="647" ht="28" customHeight="1">
      <ns0:c r="A647" s="29"/>
      <ns0:c r="B647" s="30"/>
      <ns0:c r="C647" s="28"/>
      <ns0:c r="D647" s="29"/>
      <ns0:c r="E647" s="31"/>
      <ns0:c r="F647" s="32"/>
      <ns0:c r="G647" s="29"/>
      <ns0:c r="H647" s="29"/>
      <ns0:c r="I647" s="29"/>
      <ns0:c r="J647" s="29"/>
      <ns0:c r="K647" s="29"/>
    </ns0:row>
    <ns0:row r="648" ht="28" customHeight="1">
      <ns0:c r="A648" s="29"/>
      <ns0:c r="B648" s="30"/>
      <ns0:c r="C648" s="28"/>
      <ns0:c r="D648" s="29"/>
      <ns0:c r="E648" s="31"/>
      <ns0:c r="F648" s="32"/>
      <ns0:c r="G648" s="29"/>
      <ns0:c r="H648" s="29"/>
      <ns0:c r="I648" s="29"/>
      <ns0:c r="J648" s="29"/>
      <ns0:c r="K648" s="29"/>
    </ns0:row>
    <ns0:row r="649" ht="28" customHeight="1">
      <ns0:c r="A649" s="29"/>
      <ns0:c r="B649" s="30"/>
      <ns0:c r="C649" s="28"/>
      <ns0:c r="D649" s="29"/>
      <ns0:c r="E649" s="31"/>
      <ns0:c r="F649" s="32"/>
      <ns0:c r="G649" s="29"/>
      <ns0:c r="H649" s="29"/>
      <ns0:c r="I649" s="29"/>
      <ns0:c r="J649" s="29"/>
      <ns0:c r="K649" s="29"/>
    </ns0:row>
    <ns0:row r="650" ht="28" customHeight="1">
      <ns0:c r="A650" s="29"/>
      <ns0:c r="B650" s="30"/>
      <ns0:c r="C650" s="28"/>
      <ns0:c r="D650" s="29"/>
      <ns0:c r="E650" s="31"/>
      <ns0:c r="F650" s="32"/>
      <ns0:c r="G650" s="29"/>
      <ns0:c r="H650" s="29"/>
      <ns0:c r="I650" s="29"/>
      <ns0:c r="J650" s="29"/>
      <ns0:c r="K650" s="29"/>
    </ns0:row>
    <ns0:row r="651" ht="28" customHeight="1">
      <ns0:c r="A651" s="29"/>
      <ns0:c r="B651" s="30"/>
      <ns0:c r="C651" s="28"/>
      <ns0:c r="D651" s="29"/>
      <ns0:c r="E651" s="31"/>
      <ns0:c r="F651" s="32"/>
      <ns0:c r="G651" s="29"/>
      <ns0:c r="H651" s="29"/>
      <ns0:c r="I651" s="29"/>
      <ns0:c r="J651" s="29"/>
      <ns0:c r="K651" s="29"/>
    </ns0:row>
    <ns0:row r="652" ht="28" customHeight="1">
      <ns0:c r="A652" s="29"/>
      <ns0:c r="B652" s="30"/>
      <ns0:c r="C652" s="28"/>
      <ns0:c r="D652" s="29"/>
      <ns0:c r="E652" s="31"/>
      <ns0:c r="F652" s="32"/>
      <ns0:c r="G652" s="29"/>
      <ns0:c r="H652" s="29"/>
      <ns0:c r="I652" s="29"/>
      <ns0:c r="J652" s="29"/>
      <ns0:c r="K652" s="29"/>
    </ns0:row>
    <ns0:row r="653" ht="28" customHeight="1">
      <ns0:c r="A653" s="29"/>
      <ns0:c r="B653" s="30"/>
      <ns0:c r="C653" s="28"/>
      <ns0:c r="D653" s="29"/>
      <ns0:c r="E653" s="31"/>
      <ns0:c r="F653" s="32"/>
      <ns0:c r="G653" s="29"/>
      <ns0:c r="H653" s="29"/>
      <ns0:c r="I653" s="29"/>
      <ns0:c r="J653" s="29"/>
      <ns0:c r="K653" s="29"/>
    </ns0:row>
    <ns0:row r="654" ht="28" customHeight="1">
      <ns0:c r="A654" s="29"/>
      <ns0:c r="B654" s="30"/>
      <ns0:c r="C654" s="28"/>
      <ns0:c r="D654" s="29"/>
      <ns0:c r="E654" s="31"/>
      <ns0:c r="F654" s="32"/>
      <ns0:c r="G654" s="29"/>
      <ns0:c r="H654" s="29"/>
      <ns0:c r="I654" s="29"/>
      <ns0:c r="J654" s="29"/>
      <ns0:c r="K654" s="29"/>
    </ns0:row>
    <ns0:row r="655" ht="28" customHeight="1">
      <ns0:c r="A655" s="29"/>
      <ns0:c r="B655" s="30"/>
      <ns0:c r="C655" s="28"/>
      <ns0:c r="D655" s="29"/>
      <ns0:c r="E655" s="31"/>
      <ns0:c r="F655" s="32"/>
      <ns0:c r="G655" s="29"/>
      <ns0:c r="H655" s="29"/>
      <ns0:c r="I655" s="29"/>
      <ns0:c r="J655" s="29"/>
      <ns0:c r="K655" s="29"/>
    </ns0:row>
    <ns0:row r="656" ht="28" customHeight="1">
      <ns0:c r="A656" s="29"/>
      <ns0:c r="B656" s="30"/>
      <ns0:c r="C656" s="28"/>
      <ns0:c r="D656" s="29"/>
      <ns0:c r="E656" s="31"/>
      <ns0:c r="F656" s="32"/>
      <ns0:c r="G656" s="29"/>
      <ns0:c r="H656" s="29"/>
      <ns0:c r="I656" s="29"/>
      <ns0:c r="J656" s="29"/>
      <ns0:c r="K656" s="29"/>
    </ns0:row>
    <ns0:row r="657" ht="28" customHeight="1">
      <ns0:c r="A657" s="29"/>
      <ns0:c r="B657" s="30"/>
      <ns0:c r="C657" s="28"/>
      <ns0:c r="D657" s="29"/>
      <ns0:c r="E657" s="31"/>
      <ns0:c r="F657" s="32"/>
      <ns0:c r="G657" s="29"/>
      <ns0:c r="H657" s="29"/>
      <ns0:c r="I657" s="29"/>
      <ns0:c r="J657" s="29"/>
      <ns0:c r="K657" s="29"/>
    </ns0:row>
    <ns0:row r="658" ht="28" customHeight="1">
      <ns0:c r="A658" s="29"/>
      <ns0:c r="B658" s="30"/>
      <ns0:c r="C658" s="28"/>
      <ns0:c r="D658" s="29"/>
      <ns0:c r="E658" s="31"/>
      <ns0:c r="F658" s="32"/>
      <ns0:c r="G658" s="29"/>
      <ns0:c r="H658" s="29"/>
      <ns0:c r="I658" s="29"/>
      <ns0:c r="J658" s="29"/>
      <ns0:c r="K658" s="29"/>
    </ns0:row>
    <ns0:row r="659" ht="28" customHeight="1">
      <ns0:c r="A659" s="29"/>
      <ns0:c r="B659" s="30"/>
      <ns0:c r="C659" s="28"/>
      <ns0:c r="D659" s="29"/>
      <ns0:c r="E659" s="31"/>
      <ns0:c r="F659" s="32"/>
      <ns0:c r="G659" s="29"/>
      <ns0:c r="H659" s="29"/>
      <ns0:c r="I659" s="29"/>
      <ns0:c r="J659" s="29"/>
      <ns0:c r="K659" s="29"/>
    </ns0:row>
    <ns0:row r="660" ht="28" customHeight="1">
      <ns0:c r="A660" s="29"/>
      <ns0:c r="B660" s="30"/>
      <ns0:c r="C660" s="28"/>
      <ns0:c r="D660" s="29"/>
      <ns0:c r="E660" s="31"/>
      <ns0:c r="F660" s="32"/>
      <ns0:c r="G660" s="29"/>
      <ns0:c r="H660" s="29"/>
      <ns0:c r="I660" s="29"/>
      <ns0:c r="J660" s="29"/>
      <ns0:c r="K660" s="29"/>
    </ns0:row>
    <ns0:row r="661" ht="28" customHeight="1">
      <ns0:c r="A661" s="29"/>
      <ns0:c r="B661" s="30"/>
      <ns0:c r="C661" s="28"/>
      <ns0:c r="D661" s="29"/>
      <ns0:c r="E661" s="31"/>
      <ns0:c r="F661" s="32"/>
      <ns0:c r="G661" s="29"/>
      <ns0:c r="H661" s="29"/>
      <ns0:c r="I661" s="29"/>
      <ns0:c r="J661" s="29"/>
      <ns0:c r="K661" s="29"/>
    </ns0:row>
    <ns0:row r="662" ht="28" customHeight="1">
      <ns0:c r="A662" s="29"/>
      <ns0:c r="B662" s="30"/>
      <ns0:c r="C662" s="28"/>
      <ns0:c r="D662" s="29"/>
      <ns0:c r="E662" s="31"/>
      <ns0:c r="F662" s="32"/>
      <ns0:c r="G662" s="29"/>
      <ns0:c r="H662" s="29"/>
      <ns0:c r="I662" s="29"/>
      <ns0:c r="J662" s="29"/>
      <ns0:c r="K662" s="29"/>
    </ns0:row>
    <ns0:row r="663" ht="28" customHeight="1">
      <ns0:c r="A663" s="29"/>
      <ns0:c r="B663" s="30"/>
      <ns0:c r="C663" s="28"/>
      <ns0:c r="D663" s="29"/>
      <ns0:c r="E663" s="31"/>
      <ns0:c r="F663" s="32"/>
      <ns0:c r="G663" s="29"/>
      <ns0:c r="H663" s="29"/>
      <ns0:c r="I663" s="29"/>
      <ns0:c r="J663" s="29"/>
      <ns0:c r="K663" s="29"/>
    </ns0:row>
    <ns0:row r="664" ht="28" customHeight="1">
      <ns0:c r="A664" s="29"/>
      <ns0:c r="B664" s="30"/>
      <ns0:c r="C664" s="28"/>
      <ns0:c r="D664" s="29"/>
      <ns0:c r="E664" s="31"/>
      <ns0:c r="F664" s="32"/>
      <ns0:c r="G664" s="29"/>
      <ns0:c r="H664" s="29"/>
      <ns0:c r="I664" s="29"/>
      <ns0:c r="J664" s="29"/>
      <ns0:c r="K664" s="29"/>
    </ns0:row>
    <ns0:row r="665" ht="28" customHeight="1">
      <ns0:c r="A665" s="29"/>
      <ns0:c r="B665" s="30"/>
      <ns0:c r="C665" s="28"/>
      <ns0:c r="D665" s="29"/>
      <ns0:c r="E665" s="31"/>
      <ns0:c r="F665" s="32"/>
      <ns0:c r="G665" s="29"/>
      <ns0:c r="H665" s="29"/>
      <ns0:c r="I665" s="29"/>
      <ns0:c r="J665" s="29"/>
      <ns0:c r="K665" s="29"/>
    </ns0:row>
    <ns0:row r="666" ht="28" customHeight="1">
      <ns0:c r="A666" s="29"/>
      <ns0:c r="B666" s="30"/>
      <ns0:c r="C666" s="28"/>
      <ns0:c r="D666" s="29"/>
      <ns0:c r="E666" s="31"/>
      <ns0:c r="F666" s="32"/>
      <ns0:c r="G666" s="29"/>
      <ns0:c r="H666" s="29"/>
      <ns0:c r="I666" s="29"/>
      <ns0:c r="J666" s="29"/>
      <ns0:c r="K666" s="29"/>
    </ns0:row>
    <ns0:row r="667" ht="28" customHeight="1">
      <ns0:c r="A667" s="29"/>
      <ns0:c r="B667" s="30"/>
      <ns0:c r="C667" s="28"/>
      <ns0:c r="D667" s="29"/>
      <ns0:c r="E667" s="31"/>
      <ns0:c r="F667" s="32"/>
      <ns0:c r="G667" s="29"/>
      <ns0:c r="H667" s="29"/>
      <ns0:c r="I667" s="29"/>
      <ns0:c r="J667" s="29"/>
      <ns0:c r="K667" s="29"/>
    </ns0:row>
    <ns0:row r="668" ht="28" customHeight="1">
      <ns0:c r="A668" s="29"/>
      <ns0:c r="B668" s="30"/>
      <ns0:c r="C668" s="28"/>
      <ns0:c r="D668" s="29"/>
      <ns0:c r="E668" s="31"/>
      <ns0:c r="F668" s="32"/>
      <ns0:c r="G668" s="29"/>
      <ns0:c r="H668" s="29"/>
      <ns0:c r="I668" s="29"/>
      <ns0:c r="J668" s="29"/>
      <ns0:c r="K668" s="29"/>
    </ns0:row>
    <ns0:row r="669" ht="28" customHeight="1">
      <ns0:c r="A669" s="29"/>
      <ns0:c r="B669" s="30"/>
      <ns0:c r="C669" s="28"/>
      <ns0:c r="D669" s="29"/>
      <ns0:c r="E669" s="31"/>
      <ns0:c r="F669" s="32"/>
      <ns0:c r="G669" s="29"/>
      <ns0:c r="H669" s="29"/>
      <ns0:c r="I669" s="29"/>
      <ns0:c r="J669" s="29"/>
      <ns0:c r="K669" s="29"/>
    </ns0:row>
    <ns0:row r="670" ht="28" customHeight="1">
      <ns0:c r="A670" s="29"/>
      <ns0:c r="B670" s="30"/>
      <ns0:c r="C670" s="28"/>
      <ns0:c r="D670" s="29"/>
      <ns0:c r="E670" s="31"/>
      <ns0:c r="F670" s="32"/>
      <ns0:c r="G670" s="29"/>
      <ns0:c r="H670" s="29"/>
      <ns0:c r="I670" s="29"/>
      <ns0:c r="J670" s="29"/>
      <ns0:c r="K670" s="29"/>
    </ns0:row>
    <ns0:row r="671" ht="28" customHeight="1">
      <ns0:c r="A671" s="29"/>
      <ns0:c r="B671" s="30"/>
      <ns0:c r="C671" s="28"/>
      <ns0:c r="D671" s="29"/>
      <ns0:c r="E671" s="31"/>
      <ns0:c r="F671" s="32"/>
      <ns0:c r="G671" s="29"/>
      <ns0:c r="H671" s="29"/>
      <ns0:c r="I671" s="29"/>
      <ns0:c r="J671" s="29"/>
      <ns0:c r="K671" s="29"/>
    </ns0:row>
    <ns0:row r="672" ht="28" customHeight="1">
      <ns0:c r="A672" s="29"/>
      <ns0:c r="B672" s="30"/>
      <ns0:c r="C672" s="28"/>
      <ns0:c r="D672" s="29"/>
      <ns0:c r="E672" s="31"/>
      <ns0:c r="F672" s="32"/>
      <ns0:c r="G672" s="29"/>
      <ns0:c r="H672" s="29"/>
      <ns0:c r="I672" s="29"/>
      <ns0:c r="J672" s="29"/>
      <ns0:c r="K672" s="29"/>
    </ns0:row>
    <ns0:row r="673" ht="28" customHeight="1">
      <ns0:c r="A673" s="29"/>
      <ns0:c r="B673" s="30"/>
      <ns0:c r="C673" s="28"/>
      <ns0:c r="D673" s="29"/>
      <ns0:c r="E673" s="31"/>
      <ns0:c r="F673" s="32"/>
      <ns0:c r="G673" s="29"/>
      <ns0:c r="H673" s="29"/>
      <ns0:c r="I673" s="29"/>
      <ns0:c r="J673" s="29"/>
      <ns0:c r="K673" s="29"/>
    </ns0:row>
    <ns0:row r="674" ht="28" customHeight="1">
      <ns0:c r="A674" s="29"/>
      <ns0:c r="B674" s="30"/>
      <ns0:c r="C674" s="28"/>
      <ns0:c r="D674" s="29"/>
      <ns0:c r="E674" s="31"/>
      <ns0:c r="F674" s="32"/>
      <ns0:c r="G674" s="29"/>
      <ns0:c r="H674" s="29"/>
      <ns0:c r="I674" s="29"/>
      <ns0:c r="J674" s="29"/>
      <ns0:c r="K674" s="29"/>
    </ns0:row>
    <ns0:row r="675" ht="28" customHeight="1">
      <ns0:c r="A675" s="29"/>
      <ns0:c r="B675" s="30"/>
      <ns0:c r="C675" s="28"/>
      <ns0:c r="D675" s="29"/>
      <ns0:c r="E675" s="31"/>
      <ns0:c r="F675" s="32"/>
      <ns0:c r="G675" s="29"/>
      <ns0:c r="H675" s="29"/>
      <ns0:c r="I675" s="29"/>
      <ns0:c r="J675" s="29"/>
      <ns0:c r="K675" s="29"/>
    </ns0:row>
    <ns0:row r="676" ht="28" customHeight="1">
      <ns0:c r="A676" s="29"/>
      <ns0:c r="B676" s="30"/>
      <ns0:c r="C676" s="28"/>
      <ns0:c r="D676" s="29"/>
      <ns0:c r="E676" s="31"/>
      <ns0:c r="F676" s="32"/>
      <ns0:c r="G676" s="29"/>
      <ns0:c r="H676" s="29"/>
      <ns0:c r="I676" s="29"/>
      <ns0:c r="J676" s="29"/>
      <ns0:c r="K676" s="29"/>
    </ns0:row>
    <ns0:row r="677" ht="28" customHeight="1">
      <ns0:c r="A677" s="29"/>
      <ns0:c r="B677" s="30"/>
      <ns0:c r="C677" s="28"/>
      <ns0:c r="D677" s="29"/>
      <ns0:c r="E677" s="31"/>
      <ns0:c r="F677" s="32"/>
      <ns0:c r="G677" s="29"/>
      <ns0:c r="H677" s="29"/>
      <ns0:c r="I677" s="29"/>
      <ns0:c r="J677" s="29"/>
      <ns0:c r="K677" s="29"/>
    </ns0:row>
    <ns0:row r="678" ht="28" customHeight="1">
      <ns0:c r="A678" s="29"/>
      <ns0:c r="B678" s="30"/>
      <ns0:c r="C678" s="28"/>
      <ns0:c r="D678" s="29"/>
      <ns0:c r="E678" s="31"/>
      <ns0:c r="F678" s="32"/>
      <ns0:c r="G678" s="29"/>
      <ns0:c r="H678" s="29"/>
      <ns0:c r="I678" s="29"/>
      <ns0:c r="J678" s="29"/>
      <ns0:c r="K678" s="29"/>
    </ns0:row>
    <ns0:row r="679" ht="28" customHeight="1">
      <ns0:c r="A679" s="29"/>
      <ns0:c r="B679" s="30"/>
      <ns0:c r="C679" s="28"/>
      <ns0:c r="D679" s="29"/>
      <ns0:c r="E679" s="31"/>
      <ns0:c r="F679" s="32"/>
      <ns0:c r="G679" s="29"/>
      <ns0:c r="H679" s="29"/>
      <ns0:c r="I679" s="29"/>
      <ns0:c r="J679" s="29"/>
      <ns0:c r="K679" s="29"/>
    </ns0:row>
    <ns0:row r="680" ht="28" customHeight="1">
      <ns0:c r="A680" s="29"/>
      <ns0:c r="B680" s="30"/>
      <ns0:c r="C680" s="28"/>
      <ns0:c r="D680" s="29"/>
      <ns0:c r="E680" s="31"/>
      <ns0:c r="F680" s="32"/>
      <ns0:c r="G680" s="29"/>
      <ns0:c r="H680" s="29"/>
      <ns0:c r="I680" s="29"/>
      <ns0:c r="J680" s="29"/>
      <ns0:c r="K680" s="29"/>
    </ns0:row>
    <ns0:row r="681" ht="28" customHeight="1">
      <ns0:c r="A681" s="29"/>
      <ns0:c r="B681" s="30"/>
      <ns0:c r="C681" s="28"/>
      <ns0:c r="D681" s="29"/>
      <ns0:c r="E681" s="31"/>
      <ns0:c r="F681" s="32"/>
      <ns0:c r="G681" s="29"/>
      <ns0:c r="H681" s="29"/>
      <ns0:c r="I681" s="29"/>
      <ns0:c r="J681" s="29"/>
      <ns0:c r="K681" s="29"/>
    </ns0:row>
    <ns0:row r="682" ht="28" customHeight="1">
      <ns0:c r="A682" s="29"/>
      <ns0:c r="B682" s="30"/>
      <ns0:c r="C682" s="28"/>
      <ns0:c r="D682" s="29"/>
      <ns0:c r="E682" s="31"/>
      <ns0:c r="F682" s="32"/>
      <ns0:c r="G682" s="29"/>
      <ns0:c r="H682" s="29"/>
      <ns0:c r="I682" s="29"/>
      <ns0:c r="J682" s="29"/>
      <ns0:c r="K682" s="29"/>
    </ns0:row>
    <ns0:row r="683" ht="28" customHeight="1">
      <ns0:c r="A683" s="29"/>
      <ns0:c r="B683" s="30"/>
      <ns0:c r="C683" s="28"/>
      <ns0:c r="D683" s="29"/>
      <ns0:c r="E683" s="31"/>
      <ns0:c r="F683" s="32"/>
      <ns0:c r="G683" s="29"/>
      <ns0:c r="H683" s="29"/>
      <ns0:c r="I683" s="29"/>
      <ns0:c r="J683" s="29"/>
      <ns0:c r="K683" s="29"/>
    </ns0:row>
    <ns0:row r="684" ht="28" customHeight="1">
      <ns0:c r="A684" s="29"/>
      <ns0:c r="B684" s="30"/>
      <ns0:c r="C684" s="28"/>
      <ns0:c r="D684" s="29"/>
      <ns0:c r="E684" s="31"/>
      <ns0:c r="F684" s="32"/>
      <ns0:c r="G684" s="29"/>
      <ns0:c r="H684" s="29"/>
      <ns0:c r="I684" s="29"/>
      <ns0:c r="J684" s="29"/>
      <ns0:c r="K684" s="29"/>
    </ns0:row>
    <ns0:row r="685" ht="28" customHeight="1">
      <ns0:c r="A685" s="29"/>
      <ns0:c r="B685" s="30"/>
      <ns0:c r="C685" s="28"/>
      <ns0:c r="D685" s="29"/>
      <ns0:c r="E685" s="31"/>
      <ns0:c r="F685" s="32"/>
      <ns0:c r="G685" s="29"/>
      <ns0:c r="H685" s="29"/>
      <ns0:c r="I685" s="29"/>
      <ns0:c r="J685" s="29"/>
      <ns0:c r="K685" s="29"/>
    </ns0:row>
    <ns0:row r="686" ht="28" customHeight="1">
      <ns0:c r="A686" s="29"/>
      <ns0:c r="B686" s="30"/>
      <ns0:c r="C686" s="28"/>
      <ns0:c r="D686" s="29"/>
      <ns0:c r="E686" s="31"/>
      <ns0:c r="F686" s="32"/>
      <ns0:c r="G686" s="29"/>
      <ns0:c r="H686" s="29"/>
      <ns0:c r="I686" s="29"/>
      <ns0:c r="J686" s="29"/>
      <ns0:c r="K686" s="29"/>
    </ns0:row>
    <ns0:row r="687" ht="28" customHeight="1">
      <ns0:c r="A687" s="29"/>
      <ns0:c r="B687" s="30"/>
      <ns0:c r="C687" s="28"/>
      <ns0:c r="D687" s="29"/>
      <ns0:c r="E687" s="31"/>
      <ns0:c r="F687" s="32"/>
      <ns0:c r="G687" s="29"/>
      <ns0:c r="H687" s="29"/>
      <ns0:c r="I687" s="29"/>
      <ns0:c r="J687" s="29"/>
      <ns0:c r="K687" s="29"/>
    </ns0:row>
    <ns0:row r="688" ht="28" customHeight="1">
      <ns0:c r="A688" s="29"/>
      <ns0:c r="B688" s="30"/>
      <ns0:c r="C688" s="28"/>
      <ns0:c r="D688" s="29"/>
      <ns0:c r="E688" s="31"/>
      <ns0:c r="F688" s="32"/>
      <ns0:c r="G688" s="29"/>
      <ns0:c r="H688" s="29"/>
      <ns0:c r="I688" s="29"/>
      <ns0:c r="J688" s="29"/>
      <ns0:c r="K688" s="29"/>
    </ns0:row>
    <ns0:row r="689" ht="28" customHeight="1">
      <ns0:c r="A689" s="29"/>
      <ns0:c r="B689" s="30"/>
      <ns0:c r="C689" s="28"/>
      <ns0:c r="D689" s="29"/>
      <ns0:c r="E689" s="31"/>
      <ns0:c r="F689" s="32"/>
      <ns0:c r="G689" s="29"/>
      <ns0:c r="H689" s="29"/>
      <ns0:c r="I689" s="29"/>
      <ns0:c r="J689" s="29"/>
      <ns0:c r="K689" s="29"/>
    </ns0:row>
    <ns0:row r="690" ht="28" customHeight="1">
      <ns0:c r="A690" s="29"/>
      <ns0:c r="B690" s="30"/>
      <ns0:c r="C690" s="28"/>
      <ns0:c r="D690" s="29"/>
      <ns0:c r="E690" s="31"/>
      <ns0:c r="F690" s="32"/>
      <ns0:c r="G690" s="29"/>
      <ns0:c r="H690" s="29"/>
      <ns0:c r="I690" s="29"/>
      <ns0:c r="J690" s="29"/>
      <ns0:c r="K690" s="29"/>
    </ns0:row>
    <ns0:row r="691" ht="28" customHeight="1">
      <ns0:c r="A691" s="29"/>
      <ns0:c r="B691" s="30"/>
      <ns0:c r="C691" s="28"/>
      <ns0:c r="D691" s="29"/>
      <ns0:c r="E691" s="31"/>
      <ns0:c r="F691" s="32"/>
      <ns0:c r="G691" s="29"/>
      <ns0:c r="H691" s="29"/>
      <ns0:c r="I691" s="29"/>
      <ns0:c r="J691" s="29"/>
      <ns0:c r="K691" s="29"/>
    </ns0:row>
    <ns0:row r="692" ht="28" customHeight="1">
      <ns0:c r="A692" s="29"/>
      <ns0:c r="B692" s="30"/>
      <ns0:c r="C692" s="28"/>
      <ns0:c r="D692" s="29"/>
      <ns0:c r="E692" s="31"/>
      <ns0:c r="F692" s="32"/>
      <ns0:c r="G692" s="29"/>
      <ns0:c r="H692" s="29"/>
      <ns0:c r="I692" s="29"/>
      <ns0:c r="J692" s="29"/>
      <ns0:c r="K692" s="29"/>
    </ns0:row>
    <ns0:row r="693" ht="28" customHeight="1">
      <ns0:c r="A693" s="29"/>
      <ns0:c r="B693" s="30"/>
      <ns0:c r="C693" s="28"/>
      <ns0:c r="D693" s="29"/>
      <ns0:c r="E693" s="31"/>
      <ns0:c r="F693" s="32"/>
      <ns0:c r="G693" s="29"/>
      <ns0:c r="H693" s="29"/>
      <ns0:c r="I693" s="29"/>
      <ns0:c r="J693" s="29"/>
      <ns0:c r="K693" s="29"/>
    </ns0:row>
    <ns0:row r="694" ht="28" customHeight="1">
      <ns0:c r="A694" s="29"/>
      <ns0:c r="B694" s="30"/>
      <ns0:c r="C694" s="28"/>
      <ns0:c r="D694" s="29"/>
      <ns0:c r="E694" s="31"/>
      <ns0:c r="F694" s="32"/>
      <ns0:c r="G694" s="29"/>
      <ns0:c r="H694" s="29"/>
      <ns0:c r="I694" s="29"/>
      <ns0:c r="J694" s="29"/>
      <ns0:c r="K694" s="29"/>
    </ns0:row>
    <ns0:row r="695" ht="28" customHeight="1">
      <ns0:c r="A695" s="29"/>
      <ns0:c r="B695" s="30"/>
      <ns0:c r="C695" s="28"/>
      <ns0:c r="D695" s="29"/>
      <ns0:c r="E695" s="31"/>
      <ns0:c r="F695" s="32"/>
      <ns0:c r="G695" s="29"/>
      <ns0:c r="H695" s="29"/>
      <ns0:c r="I695" s="29"/>
      <ns0:c r="J695" s="29"/>
      <ns0:c r="K695" s="29"/>
    </ns0:row>
    <ns0:row r="696" ht="28" customHeight="1">
      <ns0:c r="A696" s="29"/>
      <ns0:c r="B696" s="30"/>
      <ns0:c r="C696" s="28"/>
      <ns0:c r="D696" s="29"/>
      <ns0:c r="E696" s="31"/>
      <ns0:c r="F696" s="32"/>
      <ns0:c r="G696" s="29"/>
      <ns0:c r="H696" s="29"/>
      <ns0:c r="I696" s="29"/>
      <ns0:c r="J696" s="29"/>
      <ns0:c r="K696" s="29"/>
    </ns0:row>
    <ns0:row r="697" ht="28" customHeight="1">
      <ns0:c r="A697" s="29"/>
      <ns0:c r="B697" s="30"/>
      <ns0:c r="C697" s="28"/>
      <ns0:c r="D697" s="29"/>
      <ns0:c r="E697" s="31"/>
      <ns0:c r="F697" s="32"/>
      <ns0:c r="G697" s="29"/>
      <ns0:c r="H697" s="29"/>
      <ns0:c r="I697" s="29"/>
      <ns0:c r="J697" s="29"/>
      <ns0:c r="K697" s="29"/>
    </ns0:row>
    <ns0:row r="698" ht="28" customHeight="1">
      <ns0:c r="A698" s="29"/>
      <ns0:c r="B698" s="30"/>
      <ns0:c r="C698" s="28"/>
      <ns0:c r="D698" s="29"/>
      <ns0:c r="E698" s="31"/>
      <ns0:c r="F698" s="32"/>
      <ns0:c r="G698" s="29"/>
      <ns0:c r="H698" s="29"/>
      <ns0:c r="I698" s="29"/>
      <ns0:c r="J698" s="29"/>
      <ns0:c r="K698" s="29"/>
    </ns0:row>
    <ns0:row r="699" ht="28" customHeight="1">
      <ns0:c r="A699" s="29"/>
      <ns0:c r="B699" s="30"/>
      <ns0:c r="C699" s="28"/>
      <ns0:c r="D699" s="29"/>
      <ns0:c r="E699" s="31"/>
      <ns0:c r="F699" s="32"/>
      <ns0:c r="G699" s="29"/>
      <ns0:c r="H699" s="29"/>
      <ns0:c r="I699" s="29"/>
      <ns0:c r="J699" s="29"/>
      <ns0:c r="K699" s="29"/>
    </ns0:row>
    <ns0:row r="700" ht="28" customHeight="1">
      <ns0:c r="A700" s="29"/>
      <ns0:c r="B700" s="30"/>
      <ns0:c r="C700" s="28"/>
      <ns0:c r="D700" s="29"/>
      <ns0:c r="E700" s="31"/>
      <ns0:c r="F700" s="32"/>
      <ns0:c r="G700" s="29"/>
      <ns0:c r="H700" s="29"/>
      <ns0:c r="I700" s="29"/>
      <ns0:c r="J700" s="29"/>
      <ns0:c r="K700" s="29"/>
    </ns0:row>
    <ns0:row r="701" ht="28" customHeight="1">
      <ns0:c r="A701" s="29"/>
      <ns0:c r="B701" s="30"/>
      <ns0:c r="C701" s="28"/>
      <ns0:c r="D701" s="29"/>
      <ns0:c r="E701" s="31"/>
      <ns0:c r="F701" s="32"/>
      <ns0:c r="G701" s="29"/>
      <ns0:c r="H701" s="29"/>
      <ns0:c r="I701" s="29"/>
      <ns0:c r="J701" s="29"/>
      <ns0:c r="K701" s="29"/>
    </ns0:row>
    <ns0:row r="702" ht="28" customHeight="1">
      <ns0:c r="A702" s="29"/>
      <ns0:c r="B702" s="30"/>
      <ns0:c r="C702" s="28"/>
      <ns0:c r="D702" s="29"/>
      <ns0:c r="E702" s="31"/>
      <ns0:c r="F702" s="32"/>
      <ns0:c r="G702" s="29"/>
      <ns0:c r="H702" s="29"/>
      <ns0:c r="I702" s="29"/>
      <ns0:c r="J702" s="29"/>
      <ns0:c r="K702" s="29"/>
    </ns0:row>
    <ns0:row r="703" ht="28" customHeight="1">
      <ns0:c r="A703" s="29"/>
      <ns0:c r="B703" s="30"/>
      <ns0:c r="C703" s="28"/>
      <ns0:c r="D703" s="29"/>
      <ns0:c r="E703" s="31"/>
      <ns0:c r="F703" s="32"/>
      <ns0:c r="G703" s="29"/>
      <ns0:c r="H703" s="29"/>
      <ns0:c r="I703" s="29"/>
      <ns0:c r="J703" s="29"/>
      <ns0:c r="K703" s="29"/>
    </ns0:row>
    <ns0:row r="704" ht="28" customHeight="1">
      <ns0:c r="A704" s="29"/>
      <ns0:c r="B704" s="30"/>
      <ns0:c r="C704" s="28"/>
      <ns0:c r="D704" s="29"/>
      <ns0:c r="E704" s="31"/>
      <ns0:c r="F704" s="32"/>
      <ns0:c r="G704" s="29"/>
      <ns0:c r="H704" s="29"/>
      <ns0:c r="I704" s="29"/>
      <ns0:c r="J704" s="29"/>
      <ns0:c r="K704" s="29"/>
    </ns0:row>
    <ns0:row r="705" ht="28" customHeight="1">
      <ns0:c r="A705" s="29"/>
      <ns0:c r="B705" s="30"/>
      <ns0:c r="C705" s="28"/>
      <ns0:c r="D705" s="29"/>
      <ns0:c r="E705" s="31"/>
      <ns0:c r="F705" s="32"/>
      <ns0:c r="G705" s="29"/>
      <ns0:c r="H705" s="29"/>
      <ns0:c r="I705" s="29"/>
      <ns0:c r="J705" s="29"/>
      <ns0:c r="K705" s="29"/>
    </ns0:row>
    <ns0:row r="706" ht="28" customHeight="1">
      <ns0:c r="A706" s="29"/>
      <ns0:c r="B706" s="30"/>
      <ns0:c r="C706" s="28"/>
      <ns0:c r="D706" s="29"/>
      <ns0:c r="E706" s="31"/>
      <ns0:c r="F706" s="32"/>
      <ns0:c r="G706" s="29"/>
      <ns0:c r="H706" s="29"/>
      <ns0:c r="I706" s="29"/>
      <ns0:c r="J706" s="29"/>
      <ns0:c r="K706" s="29"/>
    </ns0:row>
    <ns0:row r="707" ht="28" customHeight="1">
      <ns0:c r="A707" s="29"/>
      <ns0:c r="B707" s="30"/>
      <ns0:c r="C707" s="28"/>
      <ns0:c r="D707" s="29"/>
      <ns0:c r="E707" s="31"/>
      <ns0:c r="F707" s="32"/>
      <ns0:c r="G707" s="29"/>
      <ns0:c r="H707" s="29"/>
      <ns0:c r="I707" s="29"/>
      <ns0:c r="J707" s="29"/>
      <ns0:c r="K707" s="29"/>
    </ns0:row>
    <ns0:row r="708" ht="28" customHeight="1">
      <ns0:c r="A708" s="29"/>
      <ns0:c r="B708" s="30"/>
      <ns0:c r="C708" s="28"/>
      <ns0:c r="D708" s="29"/>
      <ns0:c r="E708" s="31"/>
      <ns0:c r="F708" s="32"/>
      <ns0:c r="G708" s="29"/>
      <ns0:c r="H708" s="29"/>
      <ns0:c r="I708" s="29"/>
      <ns0:c r="J708" s="29"/>
      <ns0:c r="K708" s="29"/>
    </ns0:row>
    <ns0:row r="709" ht="28" customHeight="1">
      <ns0:c r="A709" s="29"/>
      <ns0:c r="B709" s="30"/>
      <ns0:c r="C709" s="28"/>
      <ns0:c r="D709" s="29"/>
      <ns0:c r="E709" s="31"/>
      <ns0:c r="F709" s="32"/>
      <ns0:c r="G709" s="29"/>
      <ns0:c r="H709" s="29"/>
      <ns0:c r="I709" s="29"/>
      <ns0:c r="J709" s="29"/>
      <ns0:c r="K709" s="29"/>
    </ns0:row>
    <ns0:row r="710" ht="28" customHeight="1">
      <ns0:c r="A710" s="29"/>
      <ns0:c r="B710" s="30"/>
      <ns0:c r="C710" s="28"/>
      <ns0:c r="D710" s="29"/>
      <ns0:c r="E710" s="31"/>
      <ns0:c r="F710" s="32"/>
      <ns0:c r="G710" s="29"/>
      <ns0:c r="H710" s="29"/>
      <ns0:c r="I710" s="29"/>
      <ns0:c r="J710" s="29"/>
      <ns0:c r="K710" s="29"/>
    </ns0:row>
    <ns0:row r="711" ht="28" customHeight="1">
      <ns0:c r="A711" s="29"/>
      <ns0:c r="B711" s="30"/>
      <ns0:c r="C711" s="28"/>
      <ns0:c r="D711" s="29"/>
      <ns0:c r="E711" s="31"/>
      <ns0:c r="F711" s="32"/>
      <ns0:c r="G711" s="29"/>
      <ns0:c r="H711" s="29"/>
      <ns0:c r="I711" s="29"/>
      <ns0:c r="J711" s="29"/>
      <ns0:c r="K711" s="29"/>
    </ns0:row>
    <ns0:row r="712" ht="28" customHeight="1">
      <ns0:c r="A712" s="29"/>
      <ns0:c r="B712" s="30"/>
      <ns0:c r="C712" s="28"/>
      <ns0:c r="D712" s="29"/>
      <ns0:c r="E712" s="31"/>
      <ns0:c r="F712" s="32"/>
      <ns0:c r="G712" s="29"/>
      <ns0:c r="H712" s="29"/>
      <ns0:c r="I712" s="29"/>
      <ns0:c r="J712" s="29"/>
      <ns0:c r="K712" s="29"/>
    </ns0:row>
    <ns0:row r="713" ht="28" customHeight="1">
      <ns0:c r="A713" s="29"/>
      <ns0:c r="B713" s="30"/>
      <ns0:c r="C713" s="28"/>
      <ns0:c r="D713" s="29"/>
      <ns0:c r="E713" s="31"/>
      <ns0:c r="F713" s="32"/>
      <ns0:c r="G713" s="29"/>
      <ns0:c r="H713" s="29"/>
      <ns0:c r="I713" s="29"/>
      <ns0:c r="J713" s="29"/>
      <ns0:c r="K713" s="29"/>
    </ns0:row>
    <ns0:row r="714" ht="28" customHeight="1">
      <ns0:c r="A714" s="29"/>
      <ns0:c r="B714" s="30"/>
      <ns0:c r="C714" s="28"/>
      <ns0:c r="D714" s="29"/>
      <ns0:c r="E714" s="31"/>
      <ns0:c r="F714" s="32"/>
      <ns0:c r="G714" s="29"/>
      <ns0:c r="H714" s="29"/>
      <ns0:c r="I714" s="29"/>
      <ns0:c r="J714" s="29"/>
      <ns0:c r="K714" s="29"/>
    </ns0:row>
    <ns0:row r="715" ht="28" customHeight="1">
      <ns0:c r="A715" s="29"/>
      <ns0:c r="B715" s="30"/>
      <ns0:c r="C715" s="28"/>
      <ns0:c r="D715" s="29"/>
      <ns0:c r="E715" s="31"/>
      <ns0:c r="F715" s="32"/>
      <ns0:c r="G715" s="29"/>
      <ns0:c r="H715" s="29"/>
      <ns0:c r="I715" s="29"/>
      <ns0:c r="J715" s="29"/>
      <ns0:c r="K715" s="29"/>
    </ns0:row>
    <ns0:row r="716" ht="28" customHeight="1">
      <ns0:c r="A716" s="29"/>
      <ns0:c r="B716" s="30"/>
      <ns0:c r="C716" s="28"/>
      <ns0:c r="D716" s="29"/>
      <ns0:c r="E716" s="31"/>
      <ns0:c r="F716" s="32"/>
      <ns0:c r="G716" s="29"/>
      <ns0:c r="H716" s="29"/>
      <ns0:c r="I716" s="29"/>
      <ns0:c r="J716" s="29"/>
      <ns0:c r="K716" s="29"/>
    </ns0:row>
    <ns0:row r="717" ht="28" customHeight="1">
      <ns0:c r="A717" s="29"/>
      <ns0:c r="B717" s="30"/>
      <ns0:c r="C717" s="28"/>
      <ns0:c r="D717" s="29"/>
      <ns0:c r="E717" s="31"/>
      <ns0:c r="F717" s="32"/>
      <ns0:c r="G717" s="29"/>
      <ns0:c r="H717" s="29"/>
      <ns0:c r="I717" s="29"/>
      <ns0:c r="J717" s="29"/>
      <ns0:c r="K717" s="29"/>
    </ns0:row>
    <ns0:row r="718" ht="28" customHeight="1">
      <ns0:c r="A718" s="29"/>
      <ns0:c r="B718" s="30"/>
      <ns0:c r="C718" s="28"/>
      <ns0:c r="D718" s="29"/>
      <ns0:c r="E718" s="31"/>
      <ns0:c r="F718" s="32"/>
      <ns0:c r="G718" s="29"/>
      <ns0:c r="H718" s="29"/>
      <ns0:c r="I718" s="29"/>
      <ns0:c r="J718" s="29"/>
      <ns0:c r="K718" s="29"/>
    </ns0:row>
    <ns0:row r="719" ht="28" customHeight="1">
      <ns0:c r="A719" s="29"/>
      <ns0:c r="B719" s="30"/>
      <ns0:c r="C719" s="28"/>
      <ns0:c r="D719" s="29"/>
      <ns0:c r="E719" s="31"/>
      <ns0:c r="F719" s="32"/>
      <ns0:c r="G719" s="29"/>
      <ns0:c r="H719" s="29"/>
      <ns0:c r="I719" s="29"/>
      <ns0:c r="J719" s="29"/>
      <ns0:c r="K719" s="29"/>
    </ns0:row>
    <ns0:row r="720" ht="28" customHeight="1">
      <ns0:c r="A720" s="29"/>
      <ns0:c r="B720" s="30"/>
      <ns0:c r="C720" s="28"/>
      <ns0:c r="D720" s="29"/>
      <ns0:c r="E720" s="31"/>
      <ns0:c r="F720" s="32"/>
      <ns0:c r="G720" s="29"/>
      <ns0:c r="H720" s="29"/>
      <ns0:c r="I720" s="29"/>
      <ns0:c r="J720" s="29"/>
      <ns0:c r="K720" s="29"/>
    </ns0:row>
    <ns0:row r="721" ht="28" customHeight="1">
      <ns0:c r="A721" s="29"/>
      <ns0:c r="B721" s="30"/>
      <ns0:c r="C721" s="28"/>
      <ns0:c r="D721" s="29"/>
      <ns0:c r="E721" s="31"/>
      <ns0:c r="F721" s="32"/>
      <ns0:c r="G721" s="29"/>
      <ns0:c r="H721" s="29"/>
      <ns0:c r="I721" s="29"/>
      <ns0:c r="J721" s="29"/>
      <ns0:c r="K721" s="29"/>
    </ns0:row>
    <ns0:row r="722" ht="28" customHeight="1">
      <ns0:c r="A722" s="29"/>
      <ns0:c r="B722" s="30"/>
      <ns0:c r="C722" s="28"/>
      <ns0:c r="D722" s="29"/>
      <ns0:c r="E722" s="31"/>
      <ns0:c r="F722" s="32"/>
      <ns0:c r="G722" s="29"/>
      <ns0:c r="H722" s="29"/>
      <ns0:c r="I722" s="29"/>
      <ns0:c r="J722" s="29"/>
      <ns0:c r="K722" s="29"/>
    </ns0:row>
    <ns0:row r="723" ht="28" customHeight="1">
      <ns0:c r="A723" s="29"/>
      <ns0:c r="B723" s="30"/>
      <ns0:c r="C723" s="28"/>
      <ns0:c r="D723" s="29"/>
      <ns0:c r="E723" s="31"/>
      <ns0:c r="F723" s="32"/>
      <ns0:c r="G723" s="29"/>
      <ns0:c r="H723" s="29"/>
      <ns0:c r="I723" s="29"/>
      <ns0:c r="J723" s="29"/>
      <ns0:c r="K723" s="29"/>
    </ns0:row>
    <ns0:row r="724" ht="28" customHeight="1">
      <ns0:c r="A724" s="29"/>
      <ns0:c r="B724" s="30"/>
      <ns0:c r="C724" s="28"/>
      <ns0:c r="D724" s="29"/>
      <ns0:c r="E724" s="31"/>
      <ns0:c r="F724" s="32"/>
      <ns0:c r="G724" s="29"/>
      <ns0:c r="H724" s="29"/>
      <ns0:c r="I724" s="29"/>
      <ns0:c r="J724" s="29"/>
      <ns0:c r="K724" s="29"/>
    </ns0:row>
    <ns0:row r="725" ht="28" customHeight="1">
      <ns0:c r="A725" s="29"/>
      <ns0:c r="B725" s="30"/>
      <ns0:c r="C725" s="28"/>
      <ns0:c r="D725" s="29"/>
      <ns0:c r="E725" s="31"/>
      <ns0:c r="F725" s="32"/>
      <ns0:c r="G725" s="29"/>
      <ns0:c r="H725" s="29"/>
      <ns0:c r="I725" s="29"/>
      <ns0:c r="J725" s="29"/>
      <ns0:c r="K725" s="29"/>
    </ns0:row>
    <ns0:row r="726" ht="28" customHeight="1">
      <ns0:c r="A726" s="29"/>
      <ns0:c r="B726" s="30"/>
      <ns0:c r="C726" s="28"/>
      <ns0:c r="D726" s="29"/>
      <ns0:c r="E726" s="31"/>
      <ns0:c r="F726" s="32"/>
      <ns0:c r="G726" s="29"/>
      <ns0:c r="H726" s="29"/>
      <ns0:c r="I726" s="29"/>
      <ns0:c r="J726" s="29"/>
      <ns0:c r="K726" s="29"/>
    </ns0:row>
    <ns0:row r="727" ht="28" customHeight="1">
      <ns0:c r="A727" s="29"/>
      <ns0:c r="B727" s="30"/>
      <ns0:c r="C727" s="28"/>
      <ns0:c r="D727" s="29"/>
      <ns0:c r="E727" s="31"/>
      <ns0:c r="F727" s="32"/>
      <ns0:c r="G727" s="29"/>
      <ns0:c r="H727" s="29"/>
      <ns0:c r="I727" s="29"/>
      <ns0:c r="J727" s="29"/>
      <ns0:c r="K727" s="29"/>
    </ns0:row>
    <ns0:row r="728" ht="28" customHeight="1">
      <ns0:c r="A728" s="29"/>
      <ns0:c r="B728" s="30"/>
      <ns0:c r="C728" s="28"/>
      <ns0:c r="D728" s="29"/>
      <ns0:c r="E728" s="31"/>
      <ns0:c r="F728" s="32"/>
      <ns0:c r="G728" s="29"/>
      <ns0:c r="H728" s="29"/>
      <ns0:c r="I728" s="29"/>
      <ns0:c r="J728" s="29"/>
      <ns0:c r="K728" s="29"/>
    </ns0:row>
    <ns0:row r="729" ht="28" customHeight="1">
      <ns0:c r="A729" s="29"/>
      <ns0:c r="B729" s="30"/>
      <ns0:c r="C729" s="28"/>
      <ns0:c r="D729" s="29"/>
      <ns0:c r="E729" s="31"/>
      <ns0:c r="F729" s="32"/>
      <ns0:c r="G729" s="29"/>
      <ns0:c r="H729" s="29"/>
      <ns0:c r="I729" s="29"/>
      <ns0:c r="J729" s="29"/>
      <ns0:c r="K729" s="29"/>
    </ns0:row>
    <ns0:row r="730" ht="28" customHeight="1">
      <ns0:c r="A730" s="29"/>
      <ns0:c r="B730" s="30"/>
      <ns0:c r="C730" s="28"/>
      <ns0:c r="D730" s="29"/>
      <ns0:c r="E730" s="31"/>
      <ns0:c r="F730" s="32"/>
      <ns0:c r="G730" s="29"/>
      <ns0:c r="H730" s="29"/>
      <ns0:c r="I730" s="29"/>
      <ns0:c r="J730" s="29"/>
      <ns0:c r="K730" s="29"/>
    </ns0:row>
    <ns0:row r="731" ht="28" customHeight="1">
      <ns0:c r="A731" s="29"/>
      <ns0:c r="B731" s="30"/>
      <ns0:c r="C731" s="28"/>
      <ns0:c r="D731" s="29"/>
      <ns0:c r="E731" s="31"/>
      <ns0:c r="F731" s="32"/>
      <ns0:c r="G731" s="29"/>
      <ns0:c r="H731" s="29"/>
      <ns0:c r="I731" s="29"/>
      <ns0:c r="J731" s="29"/>
      <ns0:c r="K731" s="29"/>
    </ns0:row>
    <ns0:row r="732" ht="28" customHeight="1">
      <ns0:c r="A732" s="29"/>
      <ns0:c r="B732" s="30"/>
      <ns0:c r="C732" s="28"/>
      <ns0:c r="D732" s="29"/>
      <ns0:c r="E732" s="31"/>
      <ns0:c r="F732" s="32"/>
      <ns0:c r="G732" s="29"/>
      <ns0:c r="H732" s="29"/>
      <ns0:c r="I732" s="29"/>
      <ns0:c r="J732" s="29"/>
      <ns0:c r="K732" s="29"/>
    </ns0:row>
    <ns0:row r="733" ht="28" customHeight="1">
      <ns0:c r="A733" s="29"/>
      <ns0:c r="B733" s="30"/>
      <ns0:c r="C733" s="28"/>
      <ns0:c r="D733" s="29"/>
      <ns0:c r="E733" s="31"/>
      <ns0:c r="F733" s="32"/>
      <ns0:c r="G733" s="29"/>
      <ns0:c r="H733" s="29"/>
      <ns0:c r="I733" s="29"/>
      <ns0:c r="J733" s="29"/>
      <ns0:c r="K733" s="29"/>
    </ns0:row>
    <ns0:row r="734" ht="28" customHeight="1">
      <ns0:c r="A734" s="29"/>
      <ns0:c r="B734" s="30"/>
      <ns0:c r="C734" s="28"/>
      <ns0:c r="D734" s="29"/>
      <ns0:c r="E734" s="31"/>
      <ns0:c r="F734" s="32"/>
      <ns0:c r="G734" s="29"/>
      <ns0:c r="H734" s="29"/>
      <ns0:c r="I734" s="29"/>
      <ns0:c r="J734" s="29"/>
      <ns0:c r="K734" s="29"/>
    </ns0:row>
    <ns0:row r="735" ht="28" customHeight="1">
      <ns0:c r="A735" s="29"/>
      <ns0:c r="B735" s="30"/>
      <ns0:c r="C735" s="28"/>
      <ns0:c r="D735" s="29"/>
      <ns0:c r="E735" s="31"/>
      <ns0:c r="F735" s="32"/>
      <ns0:c r="G735" s="29"/>
      <ns0:c r="H735" s="29"/>
      <ns0:c r="I735" s="29"/>
      <ns0:c r="J735" s="29"/>
      <ns0:c r="K735" s="29"/>
    </ns0:row>
    <ns0:row r="736" ht="28" customHeight="1">
      <ns0:c r="A736" s="29"/>
      <ns0:c r="B736" s="30"/>
      <ns0:c r="C736" s="28"/>
      <ns0:c r="D736" s="29"/>
      <ns0:c r="E736" s="31"/>
      <ns0:c r="F736" s="32"/>
      <ns0:c r="G736" s="29"/>
      <ns0:c r="H736" s="29"/>
      <ns0:c r="I736" s="29"/>
      <ns0:c r="J736" s="29"/>
      <ns0:c r="K736" s="29"/>
    </ns0:row>
    <ns0:row r="737" ht="28" customHeight="1">
      <ns0:c r="A737" s="29"/>
      <ns0:c r="B737" s="30"/>
      <ns0:c r="C737" s="28"/>
      <ns0:c r="D737" s="29"/>
      <ns0:c r="E737" s="31"/>
      <ns0:c r="F737" s="32"/>
      <ns0:c r="G737" s="29"/>
      <ns0:c r="H737" s="29"/>
      <ns0:c r="I737" s="29"/>
      <ns0:c r="J737" s="29"/>
      <ns0:c r="K737" s="29"/>
    </ns0:row>
    <ns0:row r="738" ht="28" customHeight="1">
      <ns0:c r="A738" s="29"/>
      <ns0:c r="B738" s="30"/>
      <ns0:c r="C738" s="28"/>
      <ns0:c r="D738" s="29"/>
      <ns0:c r="E738" s="31"/>
      <ns0:c r="F738" s="32"/>
      <ns0:c r="G738" s="29"/>
      <ns0:c r="H738" s="29"/>
      <ns0:c r="I738" s="29"/>
      <ns0:c r="J738" s="29"/>
      <ns0:c r="K738" s="29"/>
    </ns0:row>
    <ns0:row r="739" ht="28" customHeight="1">
      <ns0:c r="A739" s="29"/>
      <ns0:c r="B739" s="30"/>
      <ns0:c r="C739" s="28"/>
      <ns0:c r="D739" s="29"/>
      <ns0:c r="E739" s="31"/>
      <ns0:c r="F739" s="32"/>
      <ns0:c r="G739" s="29"/>
      <ns0:c r="H739" s="29"/>
      <ns0:c r="I739" s="29"/>
      <ns0:c r="J739" s="29"/>
      <ns0:c r="K739" s="29"/>
    </ns0:row>
    <ns0:row r="740" ht="28" customHeight="1">
      <ns0:c r="A740" s="29"/>
      <ns0:c r="B740" s="30"/>
      <ns0:c r="C740" s="28"/>
      <ns0:c r="D740" s="29"/>
      <ns0:c r="E740" s="31"/>
      <ns0:c r="F740" s="32"/>
      <ns0:c r="G740" s="29"/>
      <ns0:c r="H740" s="29"/>
      <ns0:c r="I740" s="29"/>
      <ns0:c r="J740" s="29"/>
      <ns0:c r="K740" s="29"/>
    </ns0:row>
    <ns0:row r="741" ht="28" customHeight="1">
      <ns0:c r="A741" s="29"/>
      <ns0:c r="B741" s="30"/>
      <ns0:c r="C741" s="28"/>
      <ns0:c r="D741" s="29"/>
      <ns0:c r="E741" s="31"/>
      <ns0:c r="F741" s="32"/>
      <ns0:c r="G741" s="29"/>
      <ns0:c r="H741" s="29"/>
      <ns0:c r="I741" s="29"/>
      <ns0:c r="J741" s="29"/>
      <ns0:c r="K741" s="29"/>
    </ns0:row>
    <ns0:row r="742" ht="28" customHeight="1">
      <ns0:c r="A742" s="29"/>
      <ns0:c r="B742" s="30"/>
      <ns0:c r="C742" s="28"/>
      <ns0:c r="D742" s="29"/>
      <ns0:c r="E742" s="31"/>
      <ns0:c r="F742" s="32"/>
      <ns0:c r="G742" s="29"/>
      <ns0:c r="H742" s="29"/>
      <ns0:c r="I742" s="29"/>
      <ns0:c r="J742" s="29"/>
      <ns0:c r="K742" s="29"/>
    </ns0:row>
    <ns0:row r="743" ht="28" customHeight="1">
      <ns0:c r="A743" s="29"/>
      <ns0:c r="B743" s="30"/>
      <ns0:c r="C743" s="28"/>
      <ns0:c r="D743" s="29"/>
      <ns0:c r="E743" s="31"/>
      <ns0:c r="F743" s="32"/>
      <ns0:c r="G743" s="29"/>
      <ns0:c r="H743" s="29"/>
      <ns0:c r="I743" s="29"/>
      <ns0:c r="J743" s="29"/>
      <ns0:c r="K743" s="29"/>
    </ns0:row>
    <ns0:row r="744" ht="28" customHeight="1">
      <ns0:c r="A744" s="29"/>
      <ns0:c r="B744" s="30"/>
      <ns0:c r="C744" s="28"/>
      <ns0:c r="D744" s="29"/>
      <ns0:c r="E744" s="31"/>
      <ns0:c r="F744" s="32"/>
      <ns0:c r="G744" s="29"/>
      <ns0:c r="H744" s="29"/>
      <ns0:c r="I744" s="29"/>
      <ns0:c r="J744" s="29"/>
      <ns0:c r="K744" s="29"/>
    </ns0:row>
    <ns0:row r="745" ht="28" customHeight="1">
      <ns0:c r="A745" s="29"/>
      <ns0:c r="B745" s="30"/>
      <ns0:c r="C745" s="28"/>
      <ns0:c r="D745" s="29"/>
      <ns0:c r="E745" s="31"/>
      <ns0:c r="F745" s="32"/>
      <ns0:c r="G745" s="29"/>
      <ns0:c r="H745" s="29"/>
      <ns0:c r="I745" s="29"/>
      <ns0:c r="J745" s="29"/>
      <ns0:c r="K745" s="29"/>
    </ns0:row>
    <ns0:row r="746" ht="28" customHeight="1">
      <ns0:c r="A746" s="29"/>
      <ns0:c r="B746" s="30"/>
      <ns0:c r="C746" s="28"/>
      <ns0:c r="D746" s="29"/>
      <ns0:c r="E746" s="31"/>
      <ns0:c r="F746" s="32"/>
      <ns0:c r="G746" s="29"/>
      <ns0:c r="H746" s="29"/>
      <ns0:c r="I746" s="29"/>
      <ns0:c r="J746" s="29"/>
      <ns0:c r="K746" s="29"/>
    </ns0:row>
    <ns0:row r="747" ht="28" customHeight="1">
      <ns0:c r="A747" s="29"/>
      <ns0:c r="B747" s="30"/>
      <ns0:c r="C747" s="28"/>
      <ns0:c r="D747" s="29"/>
      <ns0:c r="E747" s="31"/>
      <ns0:c r="F747" s="32"/>
      <ns0:c r="G747" s="29"/>
      <ns0:c r="H747" s="29"/>
      <ns0:c r="I747" s="29"/>
      <ns0:c r="J747" s="29"/>
      <ns0:c r="K747" s="29"/>
    </ns0:row>
    <ns0:row r="748" ht="28" customHeight="1">
      <ns0:c r="A748" s="29"/>
      <ns0:c r="B748" s="30"/>
      <ns0:c r="C748" s="28"/>
      <ns0:c r="D748" s="29"/>
      <ns0:c r="E748" s="31"/>
      <ns0:c r="F748" s="32"/>
      <ns0:c r="G748" s="29"/>
      <ns0:c r="H748" s="29"/>
      <ns0:c r="I748" s="29"/>
      <ns0:c r="J748" s="29"/>
      <ns0:c r="K748" s="29"/>
    </ns0:row>
    <ns0:row r="749" ht="28" customHeight="1">
      <ns0:c r="A749" s="29"/>
      <ns0:c r="B749" s="30"/>
      <ns0:c r="C749" s="28"/>
      <ns0:c r="D749" s="29"/>
      <ns0:c r="E749" s="31"/>
      <ns0:c r="F749" s="32"/>
      <ns0:c r="G749" s="29"/>
      <ns0:c r="H749" s="29"/>
      <ns0:c r="I749" s="29"/>
      <ns0:c r="J749" s="29"/>
      <ns0:c r="K749" s="29"/>
    </ns0:row>
    <ns0:row r="750" ht="28" customHeight="1">
      <ns0:c r="A750" s="29"/>
      <ns0:c r="B750" s="30"/>
      <ns0:c r="C750" s="28"/>
      <ns0:c r="D750" s="29"/>
      <ns0:c r="E750" s="31"/>
      <ns0:c r="F750" s="32"/>
      <ns0:c r="G750" s="29"/>
      <ns0:c r="H750" s="29"/>
      <ns0:c r="I750" s="29"/>
      <ns0:c r="J750" s="29"/>
      <ns0:c r="K750" s="29"/>
    </ns0:row>
    <ns0:row r="751" ht="28" customHeight="1">
      <ns0:c r="A751" s="29"/>
      <ns0:c r="B751" s="30"/>
      <ns0:c r="C751" s="28"/>
      <ns0:c r="D751" s="29"/>
      <ns0:c r="E751" s="31"/>
      <ns0:c r="F751" s="32"/>
      <ns0:c r="G751" s="29"/>
      <ns0:c r="H751" s="29"/>
      <ns0:c r="I751" s="29"/>
      <ns0:c r="J751" s="29"/>
      <ns0:c r="K751" s="29"/>
    </ns0:row>
    <ns0:row r="752" ht="28" customHeight="1">
      <ns0:c r="A752" s="29"/>
      <ns0:c r="B752" s="30"/>
      <ns0:c r="C752" s="28"/>
      <ns0:c r="D752" s="29"/>
      <ns0:c r="E752" s="31"/>
      <ns0:c r="F752" s="32"/>
      <ns0:c r="G752" s="29"/>
      <ns0:c r="H752" s="29"/>
      <ns0:c r="I752" s="29"/>
      <ns0:c r="J752" s="29"/>
      <ns0:c r="K752" s="29"/>
    </ns0:row>
    <ns0:row r="753" ht="28" customHeight="1">
      <ns0:c r="A753" s="29"/>
      <ns0:c r="B753" s="30"/>
      <ns0:c r="C753" s="28"/>
      <ns0:c r="D753" s="29"/>
      <ns0:c r="E753" s="31"/>
      <ns0:c r="F753" s="32"/>
      <ns0:c r="G753" s="29"/>
      <ns0:c r="H753" s="29"/>
      <ns0:c r="I753" s="29"/>
      <ns0:c r="J753" s="29"/>
      <ns0:c r="K753" s="29"/>
    </ns0:row>
    <ns0:row r="754" ht="28" customHeight="1">
      <ns0:c r="A754" s="29"/>
      <ns0:c r="B754" s="30"/>
      <ns0:c r="C754" s="28"/>
      <ns0:c r="D754" s="29"/>
      <ns0:c r="E754" s="31"/>
      <ns0:c r="F754" s="32"/>
      <ns0:c r="G754" s="29"/>
      <ns0:c r="H754" s="29"/>
      <ns0:c r="I754" s="29"/>
      <ns0:c r="J754" s="29"/>
      <ns0:c r="K754" s="29"/>
    </ns0:row>
    <ns0:row r="755" ht="28" customHeight="1">
      <ns0:c r="A755" s="29"/>
      <ns0:c r="B755" s="30"/>
      <ns0:c r="C755" s="28"/>
      <ns0:c r="D755" s="29"/>
      <ns0:c r="E755" s="31"/>
      <ns0:c r="F755" s="32"/>
      <ns0:c r="G755" s="29"/>
      <ns0:c r="H755" s="29"/>
      <ns0:c r="I755" s="29"/>
      <ns0:c r="J755" s="29"/>
      <ns0:c r="K755" s="29"/>
    </ns0:row>
    <ns0:row r="756" ht="28" customHeight="1">
      <ns0:c r="A756" s="29"/>
      <ns0:c r="B756" s="30"/>
      <ns0:c r="C756" s="28"/>
      <ns0:c r="D756" s="29"/>
      <ns0:c r="E756" s="31"/>
      <ns0:c r="F756" s="32"/>
      <ns0:c r="G756" s="29"/>
      <ns0:c r="H756" s="29"/>
      <ns0:c r="I756" s="29"/>
      <ns0:c r="J756" s="29"/>
      <ns0:c r="K756" s="29"/>
    </ns0:row>
    <ns0:row r="757" ht="28" customHeight="1">
      <ns0:c r="A757" s="29"/>
      <ns0:c r="B757" s="30"/>
      <ns0:c r="C757" s="28"/>
      <ns0:c r="D757" s="29"/>
      <ns0:c r="E757" s="31"/>
      <ns0:c r="F757" s="32"/>
      <ns0:c r="G757" s="29"/>
      <ns0:c r="H757" s="29"/>
      <ns0:c r="I757" s="29"/>
      <ns0:c r="J757" s="29"/>
      <ns0:c r="K757" s="29"/>
    </ns0:row>
    <ns0:row r="758" ht="28" customHeight="1">
      <ns0:c r="A758" s="29"/>
      <ns0:c r="B758" s="30"/>
      <ns0:c r="C758" s="28"/>
      <ns0:c r="D758" s="29"/>
      <ns0:c r="E758" s="31"/>
      <ns0:c r="F758" s="32"/>
      <ns0:c r="G758" s="29"/>
      <ns0:c r="H758" s="29"/>
      <ns0:c r="I758" s="29"/>
      <ns0:c r="J758" s="29"/>
      <ns0:c r="K758" s="29"/>
    </ns0:row>
    <ns0:row r="759" ht="28" customHeight="1">
      <ns0:c r="A759" s="29"/>
      <ns0:c r="B759" s="30"/>
      <ns0:c r="C759" s="28"/>
      <ns0:c r="D759" s="29"/>
      <ns0:c r="E759" s="31"/>
      <ns0:c r="F759" s="32"/>
      <ns0:c r="G759" s="29"/>
      <ns0:c r="H759" s="29"/>
      <ns0:c r="I759" s="29"/>
      <ns0:c r="J759" s="29"/>
      <ns0:c r="K759" s="29"/>
    </ns0:row>
    <ns0:row r="760" ht="28" customHeight="1">
      <ns0:c r="A760" s="29"/>
      <ns0:c r="B760" s="30"/>
      <ns0:c r="C760" s="28"/>
      <ns0:c r="D760" s="29"/>
      <ns0:c r="E760" s="31"/>
      <ns0:c r="F760" s="32"/>
      <ns0:c r="G760" s="29"/>
      <ns0:c r="H760" s="29"/>
      <ns0:c r="I760" s="29"/>
      <ns0:c r="J760" s="29"/>
      <ns0:c r="K760" s="29"/>
    </ns0:row>
    <ns0:row r="761" ht="28" customHeight="1">
      <ns0:c r="A761" s="29"/>
      <ns0:c r="B761" s="30"/>
      <ns0:c r="C761" s="28"/>
      <ns0:c r="D761" s="29"/>
      <ns0:c r="E761" s="31"/>
      <ns0:c r="F761" s="32"/>
      <ns0:c r="G761" s="29"/>
      <ns0:c r="H761" s="29"/>
      <ns0:c r="I761" s="29"/>
      <ns0:c r="J761" s="29"/>
      <ns0:c r="K761" s="29"/>
    </ns0:row>
    <ns0:row r="762" ht="28" customHeight="1">
      <ns0:c r="A762" s="29"/>
      <ns0:c r="B762" s="30"/>
      <ns0:c r="C762" s="28"/>
      <ns0:c r="D762" s="29"/>
      <ns0:c r="E762" s="31"/>
      <ns0:c r="F762" s="32"/>
      <ns0:c r="G762" s="29"/>
      <ns0:c r="H762" s="29"/>
      <ns0:c r="I762" s="29"/>
      <ns0:c r="J762" s="29"/>
      <ns0:c r="K762" s="29"/>
    </ns0:row>
    <ns0:row r="763" ht="28" customHeight="1">
      <ns0:c r="A763" s="29"/>
      <ns0:c r="B763" s="30"/>
      <ns0:c r="C763" s="28"/>
      <ns0:c r="D763" s="29"/>
      <ns0:c r="E763" s="31"/>
      <ns0:c r="F763" s="32"/>
      <ns0:c r="G763" s="29"/>
      <ns0:c r="H763" s="29"/>
      <ns0:c r="I763" s="29"/>
      <ns0:c r="J763" s="29"/>
      <ns0:c r="K763" s="29"/>
    </ns0:row>
    <ns0:row r="764" ht="28" customHeight="1">
      <ns0:c r="A764" s="29"/>
      <ns0:c r="B764" s="30"/>
      <ns0:c r="C764" s="28"/>
      <ns0:c r="D764" s="29"/>
      <ns0:c r="E764" s="31"/>
      <ns0:c r="F764" s="32"/>
      <ns0:c r="G764" s="29"/>
      <ns0:c r="H764" s="29"/>
      <ns0:c r="I764" s="29"/>
      <ns0:c r="J764" s="29"/>
      <ns0:c r="K764" s="29"/>
    </ns0:row>
    <ns0:row r="765" ht="28" customHeight="1">
      <ns0:c r="A765" s="29"/>
      <ns0:c r="B765" s="30"/>
      <ns0:c r="C765" s="28"/>
      <ns0:c r="D765" s="29"/>
      <ns0:c r="E765" s="31"/>
      <ns0:c r="F765" s="32"/>
      <ns0:c r="G765" s="29"/>
      <ns0:c r="H765" s="29"/>
      <ns0:c r="I765" s="29"/>
      <ns0:c r="J765" s="29"/>
      <ns0:c r="K765" s="29"/>
    </ns0:row>
    <ns0:row r="766" ht="28" customHeight="1">
      <ns0:c r="A766" s="29"/>
      <ns0:c r="B766" s="30"/>
      <ns0:c r="C766" s="28"/>
      <ns0:c r="D766" s="29"/>
      <ns0:c r="E766" s="31"/>
      <ns0:c r="F766" s="32"/>
      <ns0:c r="G766" s="29"/>
      <ns0:c r="H766" s="29"/>
      <ns0:c r="I766" s="29"/>
      <ns0:c r="J766" s="29"/>
      <ns0:c r="K766" s="29"/>
    </ns0:row>
    <ns0:row r="767" ht="28" customHeight="1">
      <ns0:c r="A767" s="29"/>
      <ns0:c r="B767" s="30"/>
      <ns0:c r="C767" s="28"/>
      <ns0:c r="D767" s="29"/>
      <ns0:c r="E767" s="31"/>
      <ns0:c r="F767" s="32"/>
      <ns0:c r="G767" s="29"/>
      <ns0:c r="H767" s="29"/>
      <ns0:c r="I767" s="29"/>
      <ns0:c r="J767" s="29"/>
      <ns0:c r="K767" s="29"/>
    </ns0:row>
    <ns0:row r="768" ht="28" customHeight="1">
      <ns0:c r="A768" s="29"/>
      <ns0:c r="B768" s="30"/>
      <ns0:c r="C768" s="28"/>
      <ns0:c r="D768" s="29"/>
      <ns0:c r="E768" s="31"/>
      <ns0:c r="F768" s="32"/>
      <ns0:c r="G768" s="29"/>
      <ns0:c r="H768" s="29"/>
      <ns0:c r="I768" s="29"/>
      <ns0:c r="J768" s="29"/>
      <ns0:c r="K768" s="29"/>
    </ns0:row>
    <ns0:row r="769" ht="28" customHeight="1">
      <ns0:c r="A769" s="29"/>
      <ns0:c r="B769" s="30"/>
      <ns0:c r="C769" s="28"/>
      <ns0:c r="D769" s="29"/>
      <ns0:c r="E769" s="31"/>
      <ns0:c r="F769" s="32"/>
      <ns0:c r="G769" s="29"/>
      <ns0:c r="H769" s="29"/>
      <ns0:c r="I769" s="29"/>
      <ns0:c r="J769" s="29"/>
      <ns0:c r="K769" s="29"/>
    </ns0:row>
    <ns0:row r="770" ht="28" customHeight="1">
      <ns0:c r="A770" s="29"/>
      <ns0:c r="B770" s="30"/>
      <ns0:c r="C770" s="28"/>
      <ns0:c r="D770" s="29"/>
      <ns0:c r="E770" s="31"/>
      <ns0:c r="F770" s="32"/>
      <ns0:c r="G770" s="29"/>
      <ns0:c r="H770" s="29"/>
      <ns0:c r="I770" s="29"/>
      <ns0:c r="J770" s="29"/>
      <ns0:c r="K770" s="29"/>
    </ns0:row>
    <ns0:row r="771" ht="28" customHeight="1">
      <ns0:c r="A771" s="29"/>
      <ns0:c r="B771" s="30"/>
      <ns0:c r="C771" s="28"/>
      <ns0:c r="D771" s="29"/>
      <ns0:c r="E771" s="31"/>
      <ns0:c r="F771" s="32"/>
      <ns0:c r="G771" s="29"/>
      <ns0:c r="H771" s="29"/>
      <ns0:c r="I771" s="29"/>
      <ns0:c r="J771" s="29"/>
      <ns0:c r="K771" s="29"/>
    </ns0:row>
    <ns0:row r="772" ht="28" customHeight="1">
      <ns0:c r="A772" s="29"/>
      <ns0:c r="B772" s="30"/>
      <ns0:c r="C772" s="28"/>
      <ns0:c r="D772" s="29"/>
      <ns0:c r="E772" s="31"/>
      <ns0:c r="F772" s="32"/>
      <ns0:c r="G772" s="29"/>
      <ns0:c r="H772" s="29"/>
      <ns0:c r="I772" s="29"/>
      <ns0:c r="J772" s="29"/>
      <ns0:c r="K772" s="29"/>
    </ns0:row>
    <ns0:row r="773" ht="28" customHeight="1">
      <ns0:c r="A773" s="29"/>
      <ns0:c r="B773" s="30"/>
      <ns0:c r="C773" s="28"/>
      <ns0:c r="D773" s="29"/>
      <ns0:c r="E773" s="31"/>
      <ns0:c r="F773" s="32"/>
      <ns0:c r="G773" s="29"/>
      <ns0:c r="H773" s="29"/>
      <ns0:c r="I773" s="29"/>
      <ns0:c r="J773" s="29"/>
      <ns0:c r="K773" s="29"/>
    </ns0:row>
    <ns0:row r="774" ht="28" customHeight="1">
      <ns0:c r="A774" s="29"/>
      <ns0:c r="B774" s="30"/>
      <ns0:c r="C774" s="28"/>
      <ns0:c r="D774" s="29"/>
      <ns0:c r="E774" s="31"/>
      <ns0:c r="F774" s="32"/>
      <ns0:c r="G774" s="29"/>
      <ns0:c r="H774" s="29"/>
      <ns0:c r="I774" s="29"/>
      <ns0:c r="J774" s="29"/>
      <ns0:c r="K774" s="29"/>
    </ns0:row>
    <ns0:row r="775" ht="28" customHeight="1">
      <ns0:c r="A775" s="29"/>
      <ns0:c r="B775" s="30"/>
      <ns0:c r="C775" s="28"/>
      <ns0:c r="D775" s="29"/>
      <ns0:c r="E775" s="31"/>
      <ns0:c r="F775" s="32"/>
      <ns0:c r="G775" s="29"/>
      <ns0:c r="H775" s="29"/>
      <ns0:c r="I775" s="29"/>
      <ns0:c r="J775" s="29"/>
      <ns0:c r="K775" s="29"/>
    </ns0:row>
    <ns0:row r="776" ht="28" customHeight="1">
      <ns0:c r="A776" s="29"/>
      <ns0:c r="B776" s="30"/>
      <ns0:c r="C776" s="28"/>
      <ns0:c r="D776" s="29"/>
      <ns0:c r="E776" s="31"/>
      <ns0:c r="F776" s="32"/>
      <ns0:c r="G776" s="29"/>
      <ns0:c r="H776" s="29"/>
      <ns0:c r="I776" s="29"/>
      <ns0:c r="J776" s="29"/>
      <ns0:c r="K776" s="29"/>
    </ns0:row>
    <ns0:row r="777" ht="28" customHeight="1">
      <ns0:c r="A777" s="29"/>
      <ns0:c r="B777" s="30"/>
      <ns0:c r="C777" s="28"/>
      <ns0:c r="D777" s="29"/>
      <ns0:c r="E777" s="31"/>
      <ns0:c r="F777" s="32"/>
      <ns0:c r="G777" s="29"/>
      <ns0:c r="H777" s="29"/>
      <ns0:c r="I777" s="29"/>
      <ns0:c r="J777" s="29"/>
      <ns0:c r="K777" s="29"/>
    </ns0:row>
    <ns0:row r="778" ht="28" customHeight="1">
      <ns0:c r="A778" s="29"/>
      <ns0:c r="B778" s="30"/>
      <ns0:c r="C778" s="28"/>
      <ns0:c r="D778" s="29"/>
      <ns0:c r="E778" s="31"/>
      <ns0:c r="F778" s="32"/>
      <ns0:c r="G778" s="29"/>
      <ns0:c r="H778" s="29"/>
      <ns0:c r="I778" s="29"/>
      <ns0:c r="J778" s="29"/>
      <ns0:c r="K778" s="29"/>
    </ns0:row>
    <ns0:row r="779" ht="28" customHeight="1">
      <ns0:c r="A779" s="29"/>
      <ns0:c r="B779" s="30"/>
      <ns0:c r="C779" s="28"/>
      <ns0:c r="D779" s="29"/>
      <ns0:c r="E779" s="31"/>
      <ns0:c r="F779" s="32"/>
      <ns0:c r="G779" s="29"/>
      <ns0:c r="H779" s="29"/>
      <ns0:c r="I779" s="29"/>
      <ns0:c r="J779" s="29"/>
      <ns0:c r="K779" s="29"/>
    </ns0:row>
    <ns0:row r="780" ht="28" customHeight="1">
      <ns0:c r="A780" s="29"/>
      <ns0:c r="B780" s="30"/>
      <ns0:c r="C780" s="28"/>
      <ns0:c r="D780" s="29"/>
      <ns0:c r="E780" s="31"/>
      <ns0:c r="F780" s="32"/>
      <ns0:c r="G780" s="29"/>
      <ns0:c r="H780" s="29"/>
      <ns0:c r="I780" s="29"/>
      <ns0:c r="J780" s="29"/>
      <ns0:c r="K780" s="29"/>
    </ns0:row>
    <ns0:row r="781" ht="28" customHeight="1">
      <ns0:c r="A781" s="29"/>
      <ns0:c r="B781" s="30"/>
      <ns0:c r="C781" s="28"/>
      <ns0:c r="D781" s="29"/>
      <ns0:c r="E781" s="31"/>
      <ns0:c r="F781" s="32"/>
      <ns0:c r="G781" s="29"/>
      <ns0:c r="H781" s="29"/>
      <ns0:c r="I781" s="29"/>
      <ns0:c r="J781" s="29"/>
      <ns0:c r="K781" s="29"/>
    </ns0:row>
    <ns0:row r="782" ht="28" customHeight="1">
      <ns0:c r="A782" s="29"/>
      <ns0:c r="B782" s="30"/>
      <ns0:c r="C782" s="28"/>
      <ns0:c r="D782" s="29"/>
      <ns0:c r="E782" s="31"/>
      <ns0:c r="F782" s="32"/>
      <ns0:c r="G782" s="29"/>
      <ns0:c r="H782" s="29"/>
      <ns0:c r="I782" s="29"/>
      <ns0:c r="J782" s="29"/>
      <ns0:c r="K782" s="29"/>
    </ns0:row>
    <ns0:row r="783" ht="28" customHeight="1">
      <ns0:c r="A783" s="29"/>
      <ns0:c r="B783" s="30"/>
      <ns0:c r="C783" s="28"/>
      <ns0:c r="D783" s="29"/>
      <ns0:c r="E783" s="31"/>
      <ns0:c r="F783" s="32"/>
      <ns0:c r="G783" s="29"/>
      <ns0:c r="H783" s="29"/>
      <ns0:c r="I783" s="29"/>
      <ns0:c r="J783" s="29"/>
      <ns0:c r="K783" s="29"/>
    </ns0:row>
    <ns0:row r="784" ht="28" customHeight="1">
      <ns0:c r="A784" s="29"/>
      <ns0:c r="B784" s="30"/>
      <ns0:c r="C784" s="28"/>
      <ns0:c r="D784" s="29"/>
      <ns0:c r="E784" s="31"/>
      <ns0:c r="F784" s="32"/>
      <ns0:c r="G784" s="29"/>
      <ns0:c r="H784" s="29"/>
      <ns0:c r="I784" s="29"/>
      <ns0:c r="J784" s="29"/>
      <ns0:c r="K784" s="29"/>
    </ns0:row>
    <ns0:row r="785" ht="28" customHeight="1">
      <ns0:c r="A785" s="29"/>
      <ns0:c r="B785" s="30"/>
      <ns0:c r="C785" s="28"/>
      <ns0:c r="D785" s="29"/>
      <ns0:c r="E785" s="31"/>
      <ns0:c r="F785" s="32"/>
      <ns0:c r="G785" s="29"/>
      <ns0:c r="H785" s="29"/>
      <ns0:c r="I785" s="29"/>
      <ns0:c r="J785" s="29"/>
      <ns0:c r="K785" s="29"/>
    </ns0:row>
    <ns0:row r="786" ht="28" customHeight="1">
      <ns0:c r="A786" s="29"/>
      <ns0:c r="B786" s="30"/>
      <ns0:c r="C786" s="28"/>
      <ns0:c r="D786" s="29"/>
      <ns0:c r="E786" s="31"/>
      <ns0:c r="F786" s="32"/>
      <ns0:c r="G786" s="29"/>
      <ns0:c r="H786" s="29"/>
      <ns0:c r="I786" s="29"/>
      <ns0:c r="J786" s="29"/>
      <ns0:c r="K786" s="29"/>
    </ns0:row>
    <ns0:row r="787" ht="28" customHeight="1">
      <ns0:c r="A787" s="29"/>
      <ns0:c r="B787" s="30"/>
      <ns0:c r="C787" s="28"/>
      <ns0:c r="D787" s="29"/>
      <ns0:c r="E787" s="31"/>
      <ns0:c r="F787" s="32"/>
      <ns0:c r="G787" s="29"/>
      <ns0:c r="H787" s="29"/>
      <ns0:c r="I787" s="29"/>
      <ns0:c r="J787" s="29"/>
      <ns0:c r="K787" s="29"/>
    </ns0:row>
    <ns0:row r="788" ht="28" customHeight="1">
      <ns0:c r="A788" s="29"/>
      <ns0:c r="B788" s="30"/>
      <ns0:c r="C788" s="28"/>
      <ns0:c r="D788" s="29"/>
      <ns0:c r="E788" s="31"/>
      <ns0:c r="F788" s="32"/>
      <ns0:c r="G788" s="29"/>
      <ns0:c r="H788" s="29"/>
      <ns0:c r="I788" s="29"/>
      <ns0:c r="J788" s="29"/>
      <ns0:c r="K788" s="29"/>
    </ns0:row>
    <ns0:row r="789" ht="28" customHeight="1">
      <ns0:c r="A789" s="29"/>
      <ns0:c r="B789" s="30"/>
      <ns0:c r="C789" s="28"/>
      <ns0:c r="D789" s="29"/>
      <ns0:c r="E789" s="31"/>
      <ns0:c r="F789" s="32"/>
      <ns0:c r="G789" s="29"/>
      <ns0:c r="H789" s="29"/>
      <ns0:c r="I789" s="29"/>
      <ns0:c r="J789" s="29"/>
      <ns0:c r="K789" s="29"/>
    </ns0:row>
    <ns0:row r="790" ht="28" customHeight="1">
      <ns0:c r="A790" s="29"/>
      <ns0:c r="B790" s="30"/>
      <ns0:c r="C790" s="28"/>
      <ns0:c r="D790" s="29"/>
      <ns0:c r="E790" s="31"/>
      <ns0:c r="F790" s="32"/>
      <ns0:c r="G790" s="29"/>
      <ns0:c r="H790" s="29"/>
      <ns0:c r="I790" s="29"/>
      <ns0:c r="J790" s="29"/>
      <ns0:c r="K790" s="29"/>
    </ns0:row>
    <ns0:row r="791" ht="28" customHeight="1">
      <ns0:c r="A791" s="29"/>
      <ns0:c r="B791" s="30"/>
      <ns0:c r="C791" s="28"/>
      <ns0:c r="D791" s="29"/>
      <ns0:c r="E791" s="31"/>
      <ns0:c r="F791" s="32"/>
      <ns0:c r="G791" s="29"/>
      <ns0:c r="H791" s="29"/>
      <ns0:c r="I791" s="29"/>
      <ns0:c r="J791" s="29"/>
      <ns0:c r="K791" s="29"/>
    </ns0:row>
    <ns0:row r="792" ht="28" customHeight="1">
      <ns0:c r="A792" s="29"/>
      <ns0:c r="B792" s="30"/>
      <ns0:c r="C792" s="28"/>
      <ns0:c r="D792" s="29"/>
      <ns0:c r="E792" s="31"/>
      <ns0:c r="F792" s="32"/>
      <ns0:c r="G792" s="29"/>
      <ns0:c r="H792" s="29"/>
      <ns0:c r="I792" s="29"/>
      <ns0:c r="J792" s="29"/>
      <ns0:c r="K792" s="29"/>
    </ns0:row>
    <ns0:row r="793" ht="28" customHeight="1">
      <ns0:c r="A793" s="29"/>
      <ns0:c r="B793" s="30"/>
      <ns0:c r="C793" s="28"/>
      <ns0:c r="D793" s="29"/>
      <ns0:c r="E793" s="31"/>
      <ns0:c r="F793" s="32"/>
      <ns0:c r="G793" s="29"/>
      <ns0:c r="H793" s="29"/>
      <ns0:c r="I793" s="29"/>
      <ns0:c r="J793" s="29"/>
      <ns0:c r="K793" s="29"/>
    </ns0:row>
    <ns0:row r="794" ht="28" customHeight="1">
      <ns0:c r="A794" s="29"/>
      <ns0:c r="B794" s="30"/>
      <ns0:c r="C794" s="28"/>
      <ns0:c r="D794" s="29"/>
      <ns0:c r="E794" s="31"/>
      <ns0:c r="F794" s="32"/>
      <ns0:c r="G794" s="29"/>
      <ns0:c r="H794" s="29"/>
      <ns0:c r="I794" s="29"/>
      <ns0:c r="J794" s="29"/>
      <ns0:c r="K794" s="29"/>
    </ns0:row>
    <ns0:row r="795" ht="28" customHeight="1">
      <ns0:c r="A795" s="29"/>
      <ns0:c r="B795" s="30"/>
      <ns0:c r="C795" s="28"/>
      <ns0:c r="D795" s="29"/>
      <ns0:c r="E795" s="31"/>
      <ns0:c r="F795" s="32"/>
      <ns0:c r="G795" s="29"/>
      <ns0:c r="H795" s="29"/>
      <ns0:c r="I795" s="29"/>
      <ns0:c r="J795" s="29"/>
      <ns0:c r="K795" s="29"/>
    </ns0:row>
    <ns0:row r="796" ht="28" customHeight="1">
      <ns0:c r="A796" s="29"/>
      <ns0:c r="B796" s="30"/>
      <ns0:c r="C796" s="28"/>
      <ns0:c r="D796" s="29"/>
      <ns0:c r="E796" s="31"/>
      <ns0:c r="F796" s="32"/>
      <ns0:c r="G796" s="29"/>
      <ns0:c r="H796" s="29"/>
      <ns0:c r="I796" s="29"/>
      <ns0:c r="J796" s="29"/>
      <ns0:c r="K796" s="29"/>
    </ns0:row>
    <ns0:row r="797" ht="28" customHeight="1">
      <ns0:c r="A797" s="29"/>
      <ns0:c r="B797" s="30"/>
      <ns0:c r="C797" s="28"/>
      <ns0:c r="D797" s="29"/>
      <ns0:c r="E797" s="31"/>
      <ns0:c r="F797" s="32"/>
      <ns0:c r="G797" s="29"/>
      <ns0:c r="H797" s="29"/>
      <ns0:c r="I797" s="29"/>
      <ns0:c r="J797" s="29"/>
      <ns0:c r="K797" s="29"/>
    </ns0:row>
    <ns0:row r="798" ht="28" customHeight="1">
      <ns0:c r="A798" s="29"/>
      <ns0:c r="B798" s="30"/>
      <ns0:c r="C798" s="28"/>
      <ns0:c r="D798" s="29"/>
      <ns0:c r="E798" s="31"/>
      <ns0:c r="F798" s="32"/>
      <ns0:c r="G798" s="29"/>
      <ns0:c r="H798" s="29"/>
      <ns0:c r="I798" s="29"/>
      <ns0:c r="J798" s="29"/>
      <ns0:c r="K798" s="29"/>
    </ns0:row>
    <ns0:row r="799" ht="28" customHeight="1">
      <ns0:c r="A799" s="29"/>
      <ns0:c r="B799" s="30"/>
      <ns0:c r="C799" s="28"/>
      <ns0:c r="D799" s="29"/>
      <ns0:c r="E799" s="31"/>
      <ns0:c r="F799" s="32"/>
      <ns0:c r="G799" s="29"/>
      <ns0:c r="H799" s="29"/>
      <ns0:c r="I799" s="29"/>
      <ns0:c r="J799" s="29"/>
      <ns0:c r="K799" s="29"/>
    </ns0:row>
    <ns0:row r="800" ht="28" customHeight="1">
      <ns0:c r="A800" s="29"/>
      <ns0:c r="B800" s="30"/>
      <ns0:c r="C800" s="28"/>
      <ns0:c r="D800" s="29"/>
      <ns0:c r="E800" s="31"/>
      <ns0:c r="F800" s="32"/>
      <ns0:c r="G800" s="29"/>
      <ns0:c r="H800" s="29"/>
      <ns0:c r="I800" s="29"/>
      <ns0:c r="J800" s="29"/>
      <ns0:c r="K800" s="29"/>
    </ns0:row>
    <ns0:row r="801" ht="28" customHeight="1">
      <ns0:c r="A801" s="29"/>
      <ns0:c r="B801" s="30"/>
      <ns0:c r="C801" s="28"/>
      <ns0:c r="D801" s="29"/>
      <ns0:c r="E801" s="31"/>
      <ns0:c r="F801" s="32"/>
      <ns0:c r="G801" s="29"/>
      <ns0:c r="H801" s="29"/>
      <ns0:c r="I801" s="29"/>
      <ns0:c r="J801" s="29"/>
      <ns0:c r="K801" s="29"/>
    </ns0:row>
    <ns0:row r="802" ht="28" customHeight="1">
      <ns0:c r="A802" s="29"/>
      <ns0:c r="B802" s="30"/>
      <ns0:c r="C802" s="28"/>
      <ns0:c r="D802" s="29"/>
      <ns0:c r="E802" s="31"/>
      <ns0:c r="F802" s="32"/>
      <ns0:c r="G802" s="29"/>
      <ns0:c r="H802" s="29"/>
      <ns0:c r="I802" s="29"/>
      <ns0:c r="J802" s="29"/>
      <ns0:c r="K802" s="29"/>
    </ns0:row>
    <ns0:row r="803" ht="28" customHeight="1">
      <ns0:c r="A803" s="29"/>
      <ns0:c r="B803" s="30"/>
      <ns0:c r="C803" s="28"/>
      <ns0:c r="D803" s="29"/>
      <ns0:c r="E803" s="31"/>
      <ns0:c r="F803" s="32"/>
      <ns0:c r="G803" s="29"/>
      <ns0:c r="H803" s="29"/>
      <ns0:c r="I803" s="29"/>
      <ns0:c r="J803" s="29"/>
      <ns0:c r="K803" s="29"/>
    </ns0:row>
    <ns0:row r="804" ht="28" customHeight="1">
      <ns0:c r="A804" s="29"/>
      <ns0:c r="B804" s="30"/>
      <ns0:c r="C804" s="28"/>
      <ns0:c r="D804" s="29"/>
      <ns0:c r="E804" s="31"/>
      <ns0:c r="F804" s="32"/>
      <ns0:c r="G804" s="29"/>
      <ns0:c r="H804" s="29"/>
      <ns0:c r="I804" s="29"/>
      <ns0:c r="J804" s="29"/>
      <ns0:c r="K804" s="29"/>
    </ns0:row>
    <ns0:row r="805" ht="28" customHeight="1">
      <ns0:c r="A805" s="29"/>
      <ns0:c r="B805" s="30"/>
      <ns0:c r="C805" s="28"/>
      <ns0:c r="D805" s="29"/>
      <ns0:c r="E805" s="31"/>
      <ns0:c r="F805" s="32"/>
      <ns0:c r="G805" s="29"/>
      <ns0:c r="H805" s="29"/>
      <ns0:c r="I805" s="29"/>
      <ns0:c r="J805" s="29"/>
      <ns0:c r="K805" s="29"/>
    </ns0:row>
    <ns0:row r="806" ht="28" customHeight="1">
      <ns0:c r="A806" s="29"/>
      <ns0:c r="B806" s="30"/>
      <ns0:c r="C806" s="28"/>
      <ns0:c r="D806" s="29"/>
      <ns0:c r="E806" s="31"/>
      <ns0:c r="F806" s="32"/>
      <ns0:c r="G806" s="29"/>
      <ns0:c r="H806" s="29"/>
      <ns0:c r="I806" s="29"/>
      <ns0:c r="J806" s="29"/>
      <ns0:c r="K806" s="29"/>
    </ns0:row>
    <ns0:row r="807" ht="28" customHeight="1">
      <ns0:c r="A807" s="29"/>
      <ns0:c r="B807" s="30"/>
      <ns0:c r="C807" s="28"/>
      <ns0:c r="D807" s="29"/>
      <ns0:c r="E807" s="31"/>
      <ns0:c r="F807" s="32"/>
      <ns0:c r="G807" s="29"/>
      <ns0:c r="H807" s="29"/>
      <ns0:c r="I807" s="29"/>
      <ns0:c r="J807" s="29"/>
      <ns0:c r="K807" s="29"/>
    </ns0:row>
    <ns0:row r="808" ht="28" customHeight="1">
      <ns0:c r="A808" s="29"/>
      <ns0:c r="B808" s="30"/>
      <ns0:c r="C808" s="28"/>
      <ns0:c r="D808" s="29"/>
      <ns0:c r="E808" s="31"/>
      <ns0:c r="F808" s="32"/>
      <ns0:c r="G808" s="29"/>
      <ns0:c r="H808" s="29"/>
      <ns0:c r="I808" s="29"/>
      <ns0:c r="J808" s="29"/>
      <ns0:c r="K808" s="29"/>
    </ns0:row>
    <ns0:row r="809" ht="28" customHeight="1">
      <ns0:c r="A809" s="29"/>
      <ns0:c r="B809" s="30"/>
      <ns0:c r="C809" s="28"/>
      <ns0:c r="D809" s="29"/>
      <ns0:c r="E809" s="31"/>
      <ns0:c r="F809" s="32"/>
      <ns0:c r="G809" s="29"/>
      <ns0:c r="H809" s="29"/>
      <ns0:c r="I809" s="29"/>
      <ns0:c r="J809" s="29"/>
      <ns0:c r="K809" s="29"/>
    </ns0:row>
    <ns0:row r="810" ht="28" customHeight="1">
      <ns0:c r="A810" s="29"/>
      <ns0:c r="B810" s="30"/>
      <ns0:c r="C810" s="28"/>
      <ns0:c r="D810" s="29"/>
      <ns0:c r="E810" s="31"/>
      <ns0:c r="F810" s="32"/>
      <ns0:c r="G810" s="29"/>
      <ns0:c r="H810" s="29"/>
      <ns0:c r="I810" s="29"/>
      <ns0:c r="J810" s="29"/>
      <ns0:c r="K810" s="29"/>
    </ns0:row>
    <ns0:row r="811" ht="28" customHeight="1">
      <ns0:c r="A811" s="29"/>
      <ns0:c r="B811" s="30"/>
      <ns0:c r="C811" s="28"/>
      <ns0:c r="D811" s="29"/>
      <ns0:c r="E811" s="31"/>
      <ns0:c r="F811" s="32"/>
      <ns0:c r="G811" s="29"/>
      <ns0:c r="H811" s="29"/>
      <ns0:c r="I811" s="29"/>
      <ns0:c r="J811" s="29"/>
      <ns0:c r="K811" s="29"/>
    </ns0:row>
    <ns0:row r="812" ht="28" customHeight="1">
      <ns0:c r="A812" s="29"/>
      <ns0:c r="B812" s="30"/>
      <ns0:c r="C812" s="28"/>
      <ns0:c r="D812" s="29"/>
      <ns0:c r="E812" s="31"/>
      <ns0:c r="F812" s="32"/>
      <ns0:c r="G812" s="29"/>
      <ns0:c r="H812" s="29"/>
      <ns0:c r="I812" s="29"/>
      <ns0:c r="J812" s="29"/>
      <ns0:c r="K812" s="29"/>
    </ns0:row>
    <ns0:row r="813" ht="28" customHeight="1">
      <ns0:c r="A813" s="29"/>
      <ns0:c r="B813" s="30"/>
      <ns0:c r="C813" s="28"/>
      <ns0:c r="D813" s="29"/>
      <ns0:c r="E813" s="31"/>
      <ns0:c r="F813" s="32"/>
      <ns0:c r="G813" s="29"/>
      <ns0:c r="H813" s="29"/>
      <ns0:c r="I813" s="29"/>
      <ns0:c r="J813" s="29"/>
      <ns0:c r="K813" s="29"/>
    </ns0:row>
    <ns0:row r="814" ht="28" customHeight="1">
      <ns0:c r="A814" s="29"/>
      <ns0:c r="B814" s="30"/>
      <ns0:c r="C814" s="28"/>
      <ns0:c r="D814" s="29"/>
      <ns0:c r="E814" s="31"/>
      <ns0:c r="F814" s="32"/>
      <ns0:c r="G814" s="29"/>
      <ns0:c r="H814" s="29"/>
      <ns0:c r="I814" s="29"/>
      <ns0:c r="J814" s="29"/>
      <ns0:c r="K814" s="29"/>
    </ns0:row>
    <ns0:row r="815" ht="28" customHeight="1">
      <ns0:c r="A815" s="29"/>
      <ns0:c r="B815" s="30"/>
      <ns0:c r="C815" s="28"/>
      <ns0:c r="D815" s="29"/>
      <ns0:c r="E815" s="31"/>
      <ns0:c r="F815" s="32"/>
      <ns0:c r="G815" s="29"/>
      <ns0:c r="H815" s="29"/>
      <ns0:c r="I815" s="29"/>
      <ns0:c r="J815" s="29"/>
      <ns0:c r="K815" s="29"/>
    </ns0:row>
    <ns0:row r="816" ht="28" customHeight="1">
      <ns0:c r="A816" s="29"/>
      <ns0:c r="B816" s="30"/>
      <ns0:c r="C816" s="28"/>
      <ns0:c r="D816" s="29"/>
      <ns0:c r="E816" s="31"/>
      <ns0:c r="F816" s="32"/>
      <ns0:c r="G816" s="29"/>
      <ns0:c r="H816" s="29"/>
      <ns0:c r="I816" s="29"/>
      <ns0:c r="J816" s="29"/>
      <ns0:c r="K816" s="29"/>
    </ns0:row>
    <ns0:row r="817" ht="28" customHeight="1">
      <ns0:c r="A817" s="29"/>
      <ns0:c r="B817" s="30"/>
      <ns0:c r="C817" s="28"/>
      <ns0:c r="D817" s="29"/>
      <ns0:c r="E817" s="31"/>
      <ns0:c r="F817" s="32"/>
      <ns0:c r="G817" s="29"/>
      <ns0:c r="H817" s="29"/>
      <ns0:c r="I817" s="29"/>
      <ns0:c r="J817" s="29"/>
      <ns0:c r="K817" s="29"/>
    </ns0:row>
    <ns0:row r="818" ht="28" customHeight="1">
      <ns0:c r="A818" s="29"/>
      <ns0:c r="B818" s="30"/>
      <ns0:c r="C818" s="28"/>
      <ns0:c r="D818" s="29"/>
      <ns0:c r="E818" s="31"/>
      <ns0:c r="F818" s="32"/>
      <ns0:c r="G818" s="29"/>
      <ns0:c r="H818" s="29"/>
      <ns0:c r="I818" s="29"/>
      <ns0:c r="J818" s="29"/>
      <ns0:c r="K818" s="29"/>
    </ns0:row>
    <ns0:row r="819" ht="28" customHeight="1">
      <ns0:c r="A819" s="29"/>
      <ns0:c r="B819" s="30"/>
      <ns0:c r="C819" s="28"/>
      <ns0:c r="D819" s="29"/>
      <ns0:c r="E819" s="31"/>
      <ns0:c r="F819" s="32"/>
      <ns0:c r="G819" s="29"/>
      <ns0:c r="H819" s="29"/>
      <ns0:c r="I819" s="29"/>
      <ns0:c r="J819" s="29"/>
      <ns0:c r="K819" s="29"/>
    </ns0:row>
    <ns0:row r="820" ht="28" customHeight="1">
      <ns0:c r="A820" s="29"/>
      <ns0:c r="B820" s="30"/>
      <ns0:c r="C820" s="28"/>
      <ns0:c r="D820" s="29"/>
      <ns0:c r="E820" s="31"/>
      <ns0:c r="F820" s="32"/>
      <ns0:c r="G820" s="29"/>
      <ns0:c r="H820" s="29"/>
      <ns0:c r="I820" s="29"/>
      <ns0:c r="J820" s="29"/>
      <ns0:c r="K820" s="29"/>
    </ns0:row>
    <ns0:row r="821" ht="28" customHeight="1">
      <ns0:c r="A821" s="29"/>
      <ns0:c r="B821" s="30"/>
      <ns0:c r="C821" s="28"/>
      <ns0:c r="D821" s="29"/>
      <ns0:c r="E821" s="31"/>
      <ns0:c r="F821" s="32"/>
      <ns0:c r="G821" s="29"/>
      <ns0:c r="H821" s="29"/>
      <ns0:c r="I821" s="29"/>
      <ns0:c r="J821" s="29"/>
      <ns0:c r="K821" s="29"/>
    </ns0:row>
    <ns0:row r="822" ht="28" customHeight="1">
      <ns0:c r="A822" s="29"/>
      <ns0:c r="B822" s="30"/>
      <ns0:c r="C822" s="28"/>
      <ns0:c r="D822" s="29"/>
      <ns0:c r="E822" s="31"/>
      <ns0:c r="F822" s="32"/>
      <ns0:c r="G822" s="29"/>
      <ns0:c r="H822" s="29"/>
      <ns0:c r="I822" s="29"/>
      <ns0:c r="J822" s="29"/>
      <ns0:c r="K822" s="29"/>
    </ns0:row>
    <ns0:row r="823" ht="28" customHeight="1">
      <ns0:c r="A823" s="29"/>
      <ns0:c r="B823" s="30"/>
      <ns0:c r="C823" s="28"/>
      <ns0:c r="D823" s="29"/>
      <ns0:c r="E823" s="31"/>
      <ns0:c r="F823" s="32"/>
      <ns0:c r="G823" s="29"/>
      <ns0:c r="H823" s="29"/>
      <ns0:c r="I823" s="29"/>
      <ns0:c r="J823" s="29"/>
      <ns0:c r="K823" s="29"/>
    </ns0:row>
    <ns0:row r="824" ht="28" customHeight="1">
      <ns0:c r="A824" s="29"/>
      <ns0:c r="B824" s="30"/>
      <ns0:c r="C824" s="28"/>
      <ns0:c r="D824" s="29"/>
      <ns0:c r="E824" s="31"/>
      <ns0:c r="F824" s="32"/>
      <ns0:c r="G824" s="29"/>
      <ns0:c r="H824" s="29"/>
      <ns0:c r="I824" s="29"/>
      <ns0:c r="J824" s="29"/>
      <ns0:c r="K824" s="29"/>
    </ns0:row>
    <ns0:row r="825" ht="28" customHeight="1">
      <ns0:c r="A825" s="29"/>
      <ns0:c r="B825" s="30"/>
      <ns0:c r="C825" s="28"/>
      <ns0:c r="D825" s="29"/>
      <ns0:c r="E825" s="31"/>
      <ns0:c r="F825" s="32"/>
      <ns0:c r="G825" s="29"/>
      <ns0:c r="H825" s="29"/>
      <ns0:c r="I825" s="29"/>
      <ns0:c r="J825" s="29"/>
      <ns0:c r="K825" s="29"/>
    </ns0:row>
    <ns0:row r="826" ht="28" customHeight="1">
      <ns0:c r="A826" s="29"/>
      <ns0:c r="B826" s="30"/>
      <ns0:c r="C826" s="28"/>
      <ns0:c r="D826" s="29"/>
      <ns0:c r="E826" s="31"/>
      <ns0:c r="F826" s="32"/>
      <ns0:c r="G826" s="29"/>
      <ns0:c r="H826" s="29"/>
      <ns0:c r="I826" s="29"/>
      <ns0:c r="J826" s="29"/>
      <ns0:c r="K826" s="29"/>
    </ns0:row>
    <ns0:row r="827" ht="28" customHeight="1">
      <ns0:c r="A827" s="29"/>
      <ns0:c r="B827" s="30"/>
      <ns0:c r="C827" s="28"/>
      <ns0:c r="D827" s="29"/>
      <ns0:c r="E827" s="31"/>
      <ns0:c r="F827" s="32"/>
      <ns0:c r="G827" s="29"/>
      <ns0:c r="H827" s="29"/>
      <ns0:c r="I827" s="29"/>
      <ns0:c r="J827" s="29"/>
      <ns0:c r="K827" s="29"/>
    </ns0:row>
    <ns0:row r="828" ht="28" customHeight="1">
      <ns0:c r="A828" s="29"/>
      <ns0:c r="B828" s="30"/>
      <ns0:c r="C828" s="28"/>
      <ns0:c r="D828" s="29"/>
      <ns0:c r="E828" s="31"/>
      <ns0:c r="F828" s="32"/>
      <ns0:c r="G828" s="29"/>
      <ns0:c r="H828" s="29"/>
      <ns0:c r="I828" s="29"/>
      <ns0:c r="J828" s="29"/>
      <ns0:c r="K828" s="29"/>
    </ns0:row>
    <ns0:row r="829" ht="28" customHeight="1">
      <ns0:c r="A829" s="29"/>
      <ns0:c r="B829" s="30"/>
      <ns0:c r="C829" s="28"/>
      <ns0:c r="D829" s="29"/>
      <ns0:c r="E829" s="31"/>
      <ns0:c r="F829" s="32"/>
      <ns0:c r="G829" s="29"/>
      <ns0:c r="H829" s="29"/>
      <ns0:c r="I829" s="29"/>
      <ns0:c r="J829" s="29"/>
      <ns0:c r="K829" s="29"/>
    </ns0:row>
    <ns0:row r="830" ht="28" customHeight="1">
      <ns0:c r="A830" s="29"/>
      <ns0:c r="B830" s="30"/>
      <ns0:c r="C830" s="28"/>
      <ns0:c r="D830" s="29"/>
      <ns0:c r="E830" s="31"/>
      <ns0:c r="F830" s="32"/>
      <ns0:c r="G830" s="29"/>
      <ns0:c r="H830" s="29"/>
      <ns0:c r="I830" s="29"/>
      <ns0:c r="J830" s="29"/>
      <ns0:c r="K830" s="29"/>
    </ns0:row>
    <ns0:row r="831" ht="28" customHeight="1">
      <ns0:c r="A831" s="29"/>
      <ns0:c r="B831" s="30"/>
      <ns0:c r="C831" s="28"/>
      <ns0:c r="D831" s="29"/>
      <ns0:c r="E831" s="31"/>
      <ns0:c r="F831" s="32"/>
      <ns0:c r="G831" s="29"/>
      <ns0:c r="H831" s="29"/>
      <ns0:c r="I831" s="29"/>
      <ns0:c r="J831" s="29"/>
      <ns0:c r="K831" s="29"/>
    </ns0:row>
    <ns0:row r="832" ht="28" customHeight="1">
      <ns0:c r="A832" s="29"/>
      <ns0:c r="B832" s="30"/>
      <ns0:c r="C832" s="28"/>
      <ns0:c r="D832" s="29"/>
      <ns0:c r="E832" s="31"/>
      <ns0:c r="F832" s="32"/>
      <ns0:c r="G832" s="29"/>
      <ns0:c r="H832" s="29"/>
      <ns0:c r="I832" s="29"/>
      <ns0:c r="J832" s="29"/>
      <ns0:c r="K832" s="29"/>
    </ns0:row>
    <ns0:row r="833" ht="28" customHeight="1">
      <ns0:c r="A833" s="29"/>
      <ns0:c r="B833" s="30"/>
      <ns0:c r="C833" s="28"/>
      <ns0:c r="D833" s="29"/>
      <ns0:c r="E833" s="31"/>
      <ns0:c r="F833" s="32"/>
      <ns0:c r="G833" s="29"/>
      <ns0:c r="H833" s="29"/>
      <ns0:c r="I833" s="29"/>
      <ns0:c r="J833" s="29"/>
      <ns0:c r="K833" s="29"/>
    </ns0:row>
    <ns0:row r="834" ht="28" customHeight="1">
      <ns0:c r="A834" s="29"/>
      <ns0:c r="B834" s="30"/>
      <ns0:c r="C834" s="28"/>
      <ns0:c r="D834" s="29"/>
      <ns0:c r="E834" s="31"/>
      <ns0:c r="F834" s="32"/>
      <ns0:c r="G834" s="29"/>
      <ns0:c r="H834" s="29"/>
      <ns0:c r="I834" s="29"/>
      <ns0:c r="J834" s="29"/>
      <ns0:c r="K834" s="29"/>
    </ns0:row>
    <ns0:row r="835" ht="28" customHeight="1">
      <ns0:c r="A835" s="29"/>
      <ns0:c r="B835" s="30"/>
      <ns0:c r="C835" s="28"/>
      <ns0:c r="D835" s="29"/>
      <ns0:c r="E835" s="31"/>
      <ns0:c r="F835" s="32"/>
      <ns0:c r="G835" s="29"/>
      <ns0:c r="H835" s="29"/>
      <ns0:c r="I835" s="29"/>
      <ns0:c r="J835" s="29"/>
      <ns0:c r="K835" s="29"/>
    </ns0:row>
    <ns0:row r="836" ht="28" customHeight="1">
      <ns0:c r="A836" s="29"/>
      <ns0:c r="B836" s="30"/>
      <ns0:c r="C836" s="28"/>
      <ns0:c r="D836" s="29"/>
      <ns0:c r="E836" s="31"/>
      <ns0:c r="F836" s="32"/>
      <ns0:c r="G836" s="29"/>
      <ns0:c r="H836" s="29"/>
      <ns0:c r="I836" s="29"/>
      <ns0:c r="J836" s="29"/>
      <ns0:c r="K836" s="29"/>
    </ns0:row>
    <ns0:row r="837" ht="28" customHeight="1">
      <ns0:c r="A837" s="29"/>
      <ns0:c r="B837" s="30"/>
      <ns0:c r="C837" s="28"/>
      <ns0:c r="D837" s="29"/>
      <ns0:c r="E837" s="31"/>
      <ns0:c r="F837" s="32"/>
      <ns0:c r="G837" s="29"/>
      <ns0:c r="H837" s="29"/>
      <ns0:c r="I837" s="29"/>
      <ns0:c r="J837" s="29"/>
      <ns0:c r="K837" s="29"/>
    </ns0:row>
    <ns0:row r="838" ht="28" customHeight="1">
      <ns0:c r="A838" s="29"/>
      <ns0:c r="B838" s="30"/>
      <ns0:c r="C838" s="28"/>
      <ns0:c r="D838" s="29"/>
      <ns0:c r="E838" s="31"/>
      <ns0:c r="F838" s="32"/>
      <ns0:c r="G838" s="29"/>
      <ns0:c r="H838" s="29"/>
      <ns0:c r="I838" s="29"/>
      <ns0:c r="J838" s="29"/>
      <ns0:c r="K838" s="29"/>
    </ns0:row>
    <ns0:row r="839" ht="28" customHeight="1">
      <ns0:c r="A839" s="29"/>
      <ns0:c r="B839" s="30"/>
      <ns0:c r="C839" s="28"/>
      <ns0:c r="D839" s="29"/>
      <ns0:c r="E839" s="31"/>
      <ns0:c r="F839" s="32"/>
      <ns0:c r="G839" s="29"/>
      <ns0:c r="H839" s="29"/>
      <ns0:c r="I839" s="29"/>
      <ns0:c r="J839" s="29"/>
      <ns0:c r="K839" s="29"/>
    </ns0:row>
    <ns0:row r="840" ht="28" customHeight="1">
      <ns0:c r="A840" s="29"/>
      <ns0:c r="B840" s="30"/>
      <ns0:c r="C840" s="28"/>
      <ns0:c r="D840" s="29"/>
      <ns0:c r="E840" s="31"/>
      <ns0:c r="F840" s="32"/>
      <ns0:c r="G840" s="29"/>
      <ns0:c r="H840" s="29"/>
      <ns0:c r="I840" s="29"/>
      <ns0:c r="J840" s="29"/>
      <ns0:c r="K840" s="29"/>
    </ns0:row>
    <ns0:row r="841" ht="28" customHeight="1">
      <ns0:c r="A841" s="29"/>
      <ns0:c r="B841" s="30"/>
      <ns0:c r="C841" s="28"/>
      <ns0:c r="D841" s="29"/>
      <ns0:c r="E841" s="31"/>
      <ns0:c r="F841" s="32"/>
      <ns0:c r="G841" s="29"/>
      <ns0:c r="H841" s="29"/>
      <ns0:c r="I841" s="29"/>
      <ns0:c r="J841" s="29"/>
      <ns0:c r="K841" s="29"/>
    </ns0:row>
    <ns0:row r="842" ht="28" customHeight="1">
      <ns0:c r="A842" s="29"/>
      <ns0:c r="B842" s="30"/>
      <ns0:c r="C842" s="28"/>
      <ns0:c r="D842" s="29"/>
      <ns0:c r="E842" s="31"/>
      <ns0:c r="F842" s="32"/>
      <ns0:c r="G842" s="29"/>
      <ns0:c r="H842" s="29"/>
      <ns0:c r="I842" s="29"/>
      <ns0:c r="J842" s="29"/>
      <ns0:c r="K842" s="29"/>
    </ns0:row>
    <ns0:row r="843" ht="28" customHeight="1">
      <ns0:c r="A843" s="29"/>
      <ns0:c r="B843" s="30"/>
      <ns0:c r="C843" s="28"/>
      <ns0:c r="D843" s="29"/>
      <ns0:c r="E843" s="31"/>
      <ns0:c r="F843" s="32"/>
      <ns0:c r="G843" s="29"/>
      <ns0:c r="H843" s="29"/>
      <ns0:c r="I843" s="29"/>
      <ns0:c r="J843" s="29"/>
      <ns0:c r="K843" s="29"/>
    </ns0:row>
    <ns0:row r="844" ht="28" customHeight="1">
      <ns0:c r="A844" s="29"/>
      <ns0:c r="B844" s="30"/>
      <ns0:c r="C844" s="28"/>
      <ns0:c r="D844" s="29"/>
      <ns0:c r="E844" s="31"/>
      <ns0:c r="F844" s="32"/>
      <ns0:c r="G844" s="29"/>
      <ns0:c r="H844" s="29"/>
      <ns0:c r="I844" s="29"/>
      <ns0:c r="J844" s="29"/>
      <ns0:c r="K844" s="29"/>
    </ns0:row>
    <ns0:row r="845" ht="28" customHeight="1">
      <ns0:c r="A845" s="29"/>
      <ns0:c r="B845" s="30"/>
      <ns0:c r="C845" s="28"/>
      <ns0:c r="D845" s="29"/>
      <ns0:c r="E845" s="31"/>
      <ns0:c r="F845" s="32"/>
      <ns0:c r="G845" s="29"/>
      <ns0:c r="H845" s="29"/>
      <ns0:c r="I845" s="29"/>
      <ns0:c r="J845" s="29"/>
      <ns0:c r="K845" s="29"/>
    </ns0:row>
    <ns0:row r="846" ht="28" customHeight="1">
      <ns0:c r="A846" s="29"/>
      <ns0:c r="B846" s="30"/>
      <ns0:c r="C846" s="28"/>
      <ns0:c r="D846" s="29"/>
      <ns0:c r="E846" s="31"/>
      <ns0:c r="F846" s="32"/>
      <ns0:c r="G846" s="29"/>
      <ns0:c r="H846" s="29"/>
      <ns0:c r="I846" s="29"/>
      <ns0:c r="J846" s="29"/>
      <ns0:c r="K846" s="29"/>
    </ns0:row>
    <ns0:row r="847" ht="28" customHeight="1">
      <ns0:c r="A847" s="29"/>
      <ns0:c r="B847" s="30"/>
      <ns0:c r="C847" s="28"/>
      <ns0:c r="D847" s="29"/>
      <ns0:c r="E847" s="31"/>
      <ns0:c r="F847" s="32"/>
      <ns0:c r="G847" s="29"/>
      <ns0:c r="H847" s="29"/>
      <ns0:c r="I847" s="29"/>
      <ns0:c r="J847" s="29"/>
      <ns0:c r="K847" s="29"/>
    </ns0:row>
    <ns0:row r="848" ht="28" customHeight="1">
      <ns0:c r="A848" s="29"/>
      <ns0:c r="B848" s="30"/>
      <ns0:c r="C848" s="28"/>
      <ns0:c r="D848" s="29"/>
      <ns0:c r="E848" s="31"/>
      <ns0:c r="F848" s="32"/>
      <ns0:c r="G848" s="29"/>
      <ns0:c r="H848" s="29"/>
      <ns0:c r="I848" s="29"/>
      <ns0:c r="J848" s="29"/>
      <ns0:c r="K848" s="29"/>
    </ns0:row>
    <ns0:row r="849" ht="28" customHeight="1">
      <ns0:c r="A849" s="29"/>
      <ns0:c r="B849" s="30"/>
      <ns0:c r="C849" s="28"/>
      <ns0:c r="D849" s="29"/>
      <ns0:c r="E849" s="31"/>
      <ns0:c r="F849" s="32"/>
      <ns0:c r="G849" s="29"/>
      <ns0:c r="H849" s="29"/>
      <ns0:c r="I849" s="29"/>
      <ns0:c r="J849" s="29"/>
      <ns0:c r="K849" s="29"/>
    </ns0:row>
    <ns0:row r="850" ht="28" customHeight="1">
      <ns0:c r="A850" s="29"/>
      <ns0:c r="B850" s="30"/>
      <ns0:c r="C850" s="28"/>
      <ns0:c r="D850" s="29"/>
      <ns0:c r="E850" s="31"/>
      <ns0:c r="F850" s="32"/>
      <ns0:c r="G850" s="29"/>
      <ns0:c r="H850" s="29"/>
      <ns0:c r="I850" s="29"/>
      <ns0:c r="J850" s="29"/>
      <ns0:c r="K850" s="29"/>
    </ns0:row>
    <ns0:row r="851" ht="28" customHeight="1">
      <ns0:c r="A851" s="29"/>
      <ns0:c r="B851" s="30"/>
      <ns0:c r="C851" s="28"/>
      <ns0:c r="D851" s="29"/>
      <ns0:c r="E851" s="31"/>
      <ns0:c r="F851" s="32"/>
      <ns0:c r="G851" s="29"/>
      <ns0:c r="H851" s="29"/>
      <ns0:c r="I851" s="29"/>
      <ns0:c r="J851" s="29"/>
      <ns0:c r="K851" s="29"/>
    </ns0:row>
    <ns0:row r="852" ht="28" customHeight="1">
      <ns0:c r="A852" s="29"/>
      <ns0:c r="B852" s="30"/>
      <ns0:c r="C852" s="28"/>
      <ns0:c r="D852" s="29"/>
      <ns0:c r="E852" s="31"/>
      <ns0:c r="F852" s="32"/>
      <ns0:c r="G852" s="29"/>
      <ns0:c r="H852" s="29"/>
      <ns0:c r="I852" s="29"/>
      <ns0:c r="J852" s="29"/>
      <ns0:c r="K852" s="29"/>
    </ns0:row>
    <ns0:row r="853" ht="28" customHeight="1">
      <ns0:c r="A853" s="29"/>
      <ns0:c r="B853" s="30"/>
      <ns0:c r="C853" s="28"/>
      <ns0:c r="D853" s="29"/>
      <ns0:c r="E853" s="31"/>
      <ns0:c r="F853" s="32"/>
      <ns0:c r="G853" s="29"/>
      <ns0:c r="H853" s="29"/>
      <ns0:c r="I853" s="29"/>
      <ns0:c r="J853" s="29"/>
      <ns0:c r="K853" s="29"/>
    </ns0:row>
    <ns0:row r="854" ht="28" customHeight="1">
      <ns0:c r="A854" s="29"/>
      <ns0:c r="B854" s="30"/>
      <ns0:c r="C854" s="28"/>
      <ns0:c r="D854" s="29"/>
      <ns0:c r="E854" s="31"/>
      <ns0:c r="F854" s="32"/>
      <ns0:c r="G854" s="29"/>
      <ns0:c r="H854" s="29"/>
      <ns0:c r="I854" s="29"/>
      <ns0:c r="J854" s="29"/>
      <ns0:c r="K854" s="29"/>
    </ns0:row>
    <ns0:row r="855" ht="28" customHeight="1">
      <ns0:c r="A855" s="29"/>
      <ns0:c r="B855" s="30"/>
      <ns0:c r="C855" s="28"/>
      <ns0:c r="D855" s="29"/>
      <ns0:c r="E855" s="31"/>
      <ns0:c r="F855" s="32"/>
      <ns0:c r="G855" s="29"/>
      <ns0:c r="H855" s="29"/>
      <ns0:c r="I855" s="29"/>
      <ns0:c r="J855" s="29"/>
      <ns0:c r="K855" s="29"/>
    </ns0:row>
    <ns0:row r="856" ht="28" customHeight="1">
      <ns0:c r="A856" s="29"/>
      <ns0:c r="B856" s="30"/>
      <ns0:c r="C856" s="28"/>
      <ns0:c r="D856" s="29"/>
      <ns0:c r="E856" s="31"/>
      <ns0:c r="F856" s="32"/>
      <ns0:c r="G856" s="29"/>
      <ns0:c r="H856" s="29"/>
      <ns0:c r="I856" s="29"/>
      <ns0:c r="J856" s="29"/>
      <ns0:c r="K856" s="29"/>
    </ns0:row>
    <ns0:row r="857" ht="28" customHeight="1">
      <ns0:c r="A857" s="29"/>
      <ns0:c r="B857" s="30"/>
      <ns0:c r="C857" s="28"/>
      <ns0:c r="D857" s="29"/>
      <ns0:c r="E857" s="31"/>
      <ns0:c r="F857" s="32"/>
      <ns0:c r="G857" s="29"/>
      <ns0:c r="H857" s="29"/>
      <ns0:c r="I857" s="29"/>
      <ns0:c r="J857" s="29"/>
      <ns0:c r="K857" s="29"/>
    </ns0:row>
    <ns0:row r="858" ht="28" customHeight="1">
      <ns0:c r="A858" s="29"/>
      <ns0:c r="B858" s="30"/>
      <ns0:c r="C858" s="28"/>
      <ns0:c r="D858" s="29"/>
      <ns0:c r="E858" s="31"/>
      <ns0:c r="F858" s="32"/>
      <ns0:c r="G858" s="29"/>
      <ns0:c r="H858" s="29"/>
      <ns0:c r="I858" s="29"/>
      <ns0:c r="J858" s="29"/>
      <ns0:c r="K858" s="29"/>
    </ns0:row>
    <ns0:row r="859" ht="28" customHeight="1">
      <ns0:c r="A859" s="29"/>
      <ns0:c r="B859" s="30"/>
      <ns0:c r="C859" s="28"/>
      <ns0:c r="D859" s="29"/>
      <ns0:c r="E859" s="31"/>
      <ns0:c r="F859" s="32"/>
      <ns0:c r="G859" s="29"/>
      <ns0:c r="H859" s="29"/>
      <ns0:c r="I859" s="29"/>
      <ns0:c r="J859" s="29"/>
      <ns0:c r="K859" s="29"/>
    </ns0:row>
    <ns0:row r="860" ht="28" customHeight="1">
      <ns0:c r="A860" s="29"/>
      <ns0:c r="B860" s="30"/>
      <ns0:c r="C860" s="28"/>
      <ns0:c r="D860" s="29"/>
      <ns0:c r="E860" s="31"/>
      <ns0:c r="F860" s="32"/>
      <ns0:c r="G860" s="29"/>
      <ns0:c r="H860" s="29"/>
      <ns0:c r="I860" s="29"/>
      <ns0:c r="J860" s="29"/>
      <ns0:c r="K860" s="29"/>
    </ns0:row>
    <ns0:row r="861" ht="28" customHeight="1">
      <ns0:c r="A861" s="29"/>
      <ns0:c r="B861" s="30"/>
      <ns0:c r="C861" s="28"/>
      <ns0:c r="D861" s="29"/>
      <ns0:c r="E861" s="31"/>
      <ns0:c r="F861" s="32"/>
      <ns0:c r="G861" s="29"/>
      <ns0:c r="H861" s="29"/>
      <ns0:c r="I861" s="29"/>
      <ns0:c r="J861" s="29"/>
      <ns0:c r="K861" s="29"/>
    </ns0:row>
    <ns0:row r="862" ht="28" customHeight="1">
      <ns0:c r="A862" s="29"/>
      <ns0:c r="B862" s="30"/>
      <ns0:c r="C862" s="28"/>
      <ns0:c r="D862" s="29"/>
      <ns0:c r="E862" s="31"/>
      <ns0:c r="F862" s="32"/>
      <ns0:c r="G862" s="29"/>
      <ns0:c r="H862" s="29"/>
      <ns0:c r="I862" s="29"/>
      <ns0:c r="J862" s="29"/>
      <ns0:c r="K862" s="29"/>
    </ns0:row>
    <ns0:row r="863" ht="28" customHeight="1">
      <ns0:c r="A863" s="29"/>
      <ns0:c r="B863" s="30"/>
      <ns0:c r="C863" s="28"/>
      <ns0:c r="D863" s="29"/>
      <ns0:c r="E863" s="31"/>
      <ns0:c r="F863" s="32"/>
      <ns0:c r="G863" s="29"/>
      <ns0:c r="H863" s="29"/>
      <ns0:c r="I863" s="29"/>
      <ns0:c r="J863" s="29"/>
      <ns0:c r="K863" s="29"/>
    </ns0:row>
    <ns0:row r="864" ht="28" customHeight="1">
      <ns0:c r="A864" s="29"/>
      <ns0:c r="B864" s="30"/>
      <ns0:c r="C864" s="28"/>
      <ns0:c r="D864" s="29"/>
      <ns0:c r="E864" s="31"/>
      <ns0:c r="F864" s="32"/>
      <ns0:c r="G864" s="29"/>
      <ns0:c r="H864" s="29"/>
      <ns0:c r="I864" s="29"/>
      <ns0:c r="J864" s="29"/>
      <ns0:c r="K864" s="29"/>
    </ns0:row>
    <ns0:row r="865" ht="28" customHeight="1">
      <ns0:c r="A865" s="29"/>
      <ns0:c r="B865" s="30"/>
      <ns0:c r="C865" s="28"/>
      <ns0:c r="D865" s="29"/>
      <ns0:c r="E865" s="31"/>
      <ns0:c r="F865" s="32"/>
      <ns0:c r="G865" s="29"/>
      <ns0:c r="H865" s="29"/>
      <ns0:c r="I865" s="29"/>
      <ns0:c r="J865" s="29"/>
      <ns0:c r="K865" s="29"/>
    </ns0:row>
    <ns0:row r="866" ht="28" customHeight="1">
      <ns0:c r="A866" s="29"/>
      <ns0:c r="B866" s="30"/>
      <ns0:c r="C866" s="28"/>
      <ns0:c r="D866" s="29"/>
      <ns0:c r="E866" s="31"/>
      <ns0:c r="F866" s="32"/>
      <ns0:c r="G866" s="29"/>
      <ns0:c r="H866" s="29"/>
      <ns0:c r="I866" s="29"/>
      <ns0:c r="J866" s="29"/>
      <ns0:c r="K866" s="29"/>
    </ns0:row>
    <ns0:row r="867" ht="28" customHeight="1">
      <ns0:c r="A867" s="29"/>
      <ns0:c r="B867" s="30"/>
      <ns0:c r="C867" s="28"/>
      <ns0:c r="D867" s="29"/>
      <ns0:c r="E867" s="31"/>
      <ns0:c r="F867" s="32"/>
      <ns0:c r="G867" s="29"/>
      <ns0:c r="H867" s="29"/>
      <ns0:c r="I867" s="29"/>
      <ns0:c r="J867" s="29"/>
      <ns0:c r="K867" s="29"/>
    </ns0:row>
    <ns0:row r="868" ht="28" customHeight="1">
      <ns0:c r="A868" s="29"/>
      <ns0:c r="B868" s="30"/>
      <ns0:c r="C868" s="28"/>
      <ns0:c r="D868" s="29"/>
      <ns0:c r="E868" s="31"/>
      <ns0:c r="F868" s="32"/>
      <ns0:c r="G868" s="29"/>
      <ns0:c r="H868" s="29"/>
      <ns0:c r="I868" s="29"/>
      <ns0:c r="J868" s="29"/>
      <ns0:c r="K868" s="29"/>
    </ns0:row>
    <ns0:row r="869" ht="28" customHeight="1">
      <ns0:c r="A869" s="29"/>
      <ns0:c r="B869" s="30"/>
      <ns0:c r="C869" s="28"/>
      <ns0:c r="D869" s="29"/>
      <ns0:c r="E869" s="31"/>
      <ns0:c r="F869" s="32"/>
      <ns0:c r="G869" s="29"/>
      <ns0:c r="H869" s="29"/>
      <ns0:c r="I869" s="29"/>
      <ns0:c r="J869" s="29"/>
      <ns0:c r="K869" s="29"/>
    </ns0:row>
    <ns0:row r="870" ht="28" customHeight="1">
      <ns0:c r="A870" s="29"/>
      <ns0:c r="B870" s="30"/>
      <ns0:c r="C870" s="28"/>
      <ns0:c r="D870" s="29"/>
      <ns0:c r="E870" s="31"/>
      <ns0:c r="F870" s="32"/>
      <ns0:c r="G870" s="29"/>
      <ns0:c r="H870" s="29"/>
      <ns0:c r="I870" s="29"/>
      <ns0:c r="J870" s="29"/>
      <ns0:c r="K870" s="29"/>
    </ns0:row>
    <ns0:row r="871" ht="28" customHeight="1">
      <ns0:c r="A871" s="29"/>
      <ns0:c r="B871" s="30"/>
      <ns0:c r="C871" s="28"/>
      <ns0:c r="D871" s="29"/>
      <ns0:c r="E871" s="31"/>
      <ns0:c r="F871" s="32"/>
      <ns0:c r="G871" s="29"/>
      <ns0:c r="H871" s="29"/>
      <ns0:c r="I871" s="29"/>
      <ns0:c r="J871" s="29"/>
      <ns0:c r="K871" s="29"/>
    </ns0:row>
    <ns0:row r="872" ht="28" customHeight="1">
      <ns0:c r="A872" s="29"/>
      <ns0:c r="B872" s="30"/>
      <ns0:c r="C872" s="28"/>
      <ns0:c r="D872" s="29"/>
      <ns0:c r="E872" s="31"/>
      <ns0:c r="F872" s="32"/>
      <ns0:c r="G872" s="29"/>
      <ns0:c r="H872" s="29"/>
      <ns0:c r="I872" s="29"/>
      <ns0:c r="J872" s="29"/>
      <ns0:c r="K872" s="29"/>
    </ns0:row>
    <ns0:row r="873" ht="28" customHeight="1">
      <ns0:c r="A873" s="29"/>
      <ns0:c r="B873" s="30"/>
      <ns0:c r="C873" s="28"/>
      <ns0:c r="D873" s="29"/>
      <ns0:c r="E873" s="31"/>
      <ns0:c r="F873" s="32"/>
      <ns0:c r="G873" s="29"/>
      <ns0:c r="H873" s="29"/>
      <ns0:c r="I873" s="29"/>
      <ns0:c r="J873" s="29"/>
      <ns0:c r="K873" s="29"/>
    </ns0:row>
    <ns0:row r="874" ht="28" customHeight="1">
      <ns0:c r="A874" s="29"/>
      <ns0:c r="B874" s="30"/>
      <ns0:c r="C874" s="28"/>
      <ns0:c r="D874" s="29"/>
      <ns0:c r="E874" s="31"/>
      <ns0:c r="F874" s="32"/>
      <ns0:c r="G874" s="29"/>
      <ns0:c r="H874" s="29"/>
      <ns0:c r="I874" s="29"/>
      <ns0:c r="J874" s="29"/>
      <ns0:c r="K874" s="29"/>
    </ns0:row>
    <ns0:row r="875" ht="28" customHeight="1">
      <ns0:c r="A875" s="29"/>
      <ns0:c r="B875" s="30"/>
      <ns0:c r="C875" s="28"/>
      <ns0:c r="D875" s="29"/>
      <ns0:c r="E875" s="31"/>
      <ns0:c r="F875" s="32"/>
      <ns0:c r="G875" s="29"/>
      <ns0:c r="H875" s="29"/>
      <ns0:c r="I875" s="29"/>
      <ns0:c r="J875" s="29"/>
      <ns0:c r="K875" s="29"/>
    </ns0:row>
    <ns0:row r="876" ht="28" customHeight="1">
      <ns0:c r="A876" s="29"/>
      <ns0:c r="B876" s="30"/>
      <ns0:c r="C876" s="28"/>
      <ns0:c r="D876" s="29"/>
      <ns0:c r="E876" s="31"/>
      <ns0:c r="F876" s="32"/>
      <ns0:c r="G876" s="29"/>
      <ns0:c r="H876" s="29"/>
      <ns0:c r="I876" s="29"/>
      <ns0:c r="J876" s="29"/>
      <ns0:c r="K876" s="29"/>
    </ns0:row>
    <ns0:row r="877" ht="28" customHeight="1">
      <ns0:c r="A877" s="29"/>
      <ns0:c r="B877" s="30"/>
      <ns0:c r="C877" s="28"/>
      <ns0:c r="D877" s="29"/>
      <ns0:c r="E877" s="31"/>
      <ns0:c r="F877" s="32"/>
      <ns0:c r="G877" s="29"/>
      <ns0:c r="H877" s="29"/>
      <ns0:c r="I877" s="29"/>
      <ns0:c r="J877" s="29"/>
      <ns0:c r="K877" s="29"/>
    </ns0:row>
    <ns0:row r="878" ht="28" customHeight="1">
      <ns0:c r="A878" s="29"/>
      <ns0:c r="B878" s="30"/>
      <ns0:c r="C878" s="28"/>
      <ns0:c r="D878" s="29"/>
      <ns0:c r="E878" s="31"/>
      <ns0:c r="F878" s="32"/>
      <ns0:c r="G878" s="29"/>
      <ns0:c r="H878" s="29"/>
      <ns0:c r="I878" s="29"/>
      <ns0:c r="J878" s="29"/>
      <ns0:c r="K878" s="29"/>
    </ns0:row>
    <ns0:row r="879" ht="28" customHeight="1">
      <ns0:c r="A879" s="29"/>
      <ns0:c r="B879" s="30"/>
      <ns0:c r="C879" s="28"/>
      <ns0:c r="D879" s="29"/>
      <ns0:c r="E879" s="31"/>
      <ns0:c r="F879" s="32"/>
      <ns0:c r="G879" s="29"/>
      <ns0:c r="H879" s="29"/>
      <ns0:c r="I879" s="29"/>
      <ns0:c r="J879" s="29"/>
      <ns0:c r="K879" s="29"/>
    </ns0:row>
    <ns0:row r="880" ht="28" customHeight="1">
      <ns0:c r="A880" s="29"/>
      <ns0:c r="B880" s="30"/>
      <ns0:c r="C880" s="28"/>
      <ns0:c r="D880" s="29"/>
      <ns0:c r="E880" s="31"/>
      <ns0:c r="F880" s="32"/>
      <ns0:c r="G880" s="29"/>
      <ns0:c r="H880" s="29"/>
      <ns0:c r="I880" s="29"/>
      <ns0:c r="J880" s="29"/>
      <ns0:c r="K880" s="29"/>
    </ns0:row>
    <ns0:row r="881" ht="28" customHeight="1">
      <ns0:c r="A881" s="29"/>
      <ns0:c r="B881" s="30"/>
      <ns0:c r="C881" s="28"/>
      <ns0:c r="D881" s="29"/>
      <ns0:c r="E881" s="31"/>
      <ns0:c r="F881" s="32"/>
      <ns0:c r="G881" s="29"/>
      <ns0:c r="H881" s="29"/>
      <ns0:c r="I881" s="29"/>
      <ns0:c r="J881" s="29"/>
      <ns0:c r="K881" s="29"/>
    </ns0:row>
    <ns0:row r="882" ht="28" customHeight="1">
      <ns0:c r="A882" s="29"/>
      <ns0:c r="B882" s="30"/>
      <ns0:c r="C882" s="28"/>
      <ns0:c r="D882" s="29"/>
      <ns0:c r="E882" s="31"/>
      <ns0:c r="F882" s="32"/>
      <ns0:c r="G882" s="29"/>
      <ns0:c r="H882" s="29"/>
      <ns0:c r="I882" s="29"/>
      <ns0:c r="J882" s="29"/>
      <ns0:c r="K882" s="29"/>
    </ns0:row>
    <ns0:row r="883" ht="28" customHeight="1">
      <ns0:c r="A883" s="29"/>
      <ns0:c r="B883" s="30"/>
      <ns0:c r="C883" s="28"/>
      <ns0:c r="D883" s="29"/>
      <ns0:c r="E883" s="31"/>
      <ns0:c r="F883" s="32"/>
      <ns0:c r="G883" s="29"/>
      <ns0:c r="H883" s="29"/>
      <ns0:c r="I883" s="29"/>
      <ns0:c r="J883" s="29"/>
      <ns0:c r="K883" s="29"/>
    </ns0:row>
    <ns0:row r="884" ht="28" customHeight="1">
      <ns0:c r="A884" s="29"/>
      <ns0:c r="B884" s="30"/>
      <ns0:c r="C884" s="28"/>
      <ns0:c r="D884" s="29"/>
      <ns0:c r="E884" s="31"/>
      <ns0:c r="F884" s="32"/>
      <ns0:c r="G884" s="29"/>
      <ns0:c r="H884" s="29"/>
      <ns0:c r="I884" s="29"/>
      <ns0:c r="J884" s="29"/>
      <ns0:c r="K884" s="29"/>
    </ns0:row>
    <ns0:row r="885" ht="28" customHeight="1">
      <ns0:c r="A885" s="29"/>
      <ns0:c r="B885" s="30"/>
      <ns0:c r="C885" s="28"/>
      <ns0:c r="D885" s="29"/>
      <ns0:c r="E885" s="31"/>
      <ns0:c r="F885" s="32"/>
      <ns0:c r="G885" s="29"/>
      <ns0:c r="H885" s="29"/>
      <ns0:c r="I885" s="29"/>
      <ns0:c r="J885" s="29"/>
      <ns0:c r="K885" s="29"/>
    </ns0:row>
    <ns0:row r="886" ht="28" customHeight="1">
      <ns0:c r="A886" s="29"/>
      <ns0:c r="B886" s="30"/>
      <ns0:c r="C886" s="28"/>
      <ns0:c r="D886" s="29"/>
      <ns0:c r="E886" s="31"/>
      <ns0:c r="F886" s="32"/>
      <ns0:c r="G886" s="29"/>
      <ns0:c r="H886" s="29"/>
      <ns0:c r="I886" s="29"/>
      <ns0:c r="J886" s="29"/>
      <ns0:c r="K886" s="29"/>
    </ns0:row>
    <ns0:row r="887" ht="28" customHeight="1">
      <ns0:c r="A887" s="29"/>
      <ns0:c r="B887" s="30"/>
      <ns0:c r="C887" s="28"/>
      <ns0:c r="D887" s="29"/>
      <ns0:c r="E887" s="31"/>
      <ns0:c r="F887" s="32"/>
      <ns0:c r="G887" s="29"/>
      <ns0:c r="H887" s="29"/>
      <ns0:c r="I887" s="29"/>
      <ns0:c r="J887" s="29"/>
      <ns0:c r="K887" s="29"/>
    </ns0:row>
    <ns0:row r="888" ht="28" customHeight="1">
      <ns0:c r="A888" s="29"/>
      <ns0:c r="B888" s="30"/>
      <ns0:c r="C888" s="28"/>
      <ns0:c r="D888" s="29"/>
      <ns0:c r="E888" s="31"/>
      <ns0:c r="F888" s="32"/>
      <ns0:c r="G888" s="29"/>
      <ns0:c r="H888" s="29"/>
      <ns0:c r="I888" s="29"/>
      <ns0:c r="J888" s="29"/>
      <ns0:c r="K888" s="29"/>
    </ns0:row>
    <ns0:row r="889" ht="28" customHeight="1">
      <ns0:c r="A889" s="29"/>
      <ns0:c r="B889" s="30"/>
      <ns0:c r="C889" s="28"/>
      <ns0:c r="D889" s="29"/>
      <ns0:c r="E889" s="31"/>
      <ns0:c r="F889" s="32"/>
      <ns0:c r="G889" s="29"/>
      <ns0:c r="H889" s="29"/>
      <ns0:c r="I889" s="29"/>
      <ns0:c r="J889" s="29"/>
      <ns0:c r="K889" s="29"/>
    </ns0:row>
    <ns0:row r="890" ht="28" customHeight="1">
      <ns0:c r="A890" s="29"/>
      <ns0:c r="B890" s="30"/>
      <ns0:c r="C890" s="28"/>
      <ns0:c r="D890" s="29"/>
      <ns0:c r="E890" s="31"/>
      <ns0:c r="F890" s="32"/>
      <ns0:c r="G890" s="29"/>
      <ns0:c r="H890" s="29"/>
      <ns0:c r="I890" s="29"/>
      <ns0:c r="J890" s="29"/>
      <ns0:c r="K890" s="29"/>
    </ns0:row>
    <ns0:row r="891" ht="28" customHeight="1">
      <ns0:c r="A891" s="29"/>
      <ns0:c r="B891" s="30"/>
      <ns0:c r="C891" s="28"/>
      <ns0:c r="D891" s="29"/>
      <ns0:c r="E891" s="31"/>
      <ns0:c r="F891" s="32"/>
      <ns0:c r="G891" s="29"/>
      <ns0:c r="H891" s="29"/>
      <ns0:c r="I891" s="29"/>
      <ns0:c r="J891" s="29"/>
      <ns0:c r="K891" s="29"/>
    </ns0:row>
    <ns0:row r="892" ht="28" customHeight="1">
      <ns0:c r="A892" s="29"/>
      <ns0:c r="B892" s="30"/>
      <ns0:c r="C892" s="28"/>
      <ns0:c r="D892" s="29"/>
      <ns0:c r="E892" s="31"/>
      <ns0:c r="F892" s="32"/>
      <ns0:c r="G892" s="29"/>
      <ns0:c r="H892" s="29"/>
      <ns0:c r="I892" s="29"/>
      <ns0:c r="J892" s="29"/>
      <ns0:c r="K892" s="29"/>
    </ns0:row>
    <ns0:row r="893" ht="28" customHeight="1">
      <ns0:c r="A893" s="29"/>
      <ns0:c r="B893" s="30"/>
      <ns0:c r="C893" s="28"/>
      <ns0:c r="D893" s="29"/>
      <ns0:c r="E893" s="31"/>
      <ns0:c r="F893" s="32"/>
      <ns0:c r="G893" s="29"/>
      <ns0:c r="H893" s="29"/>
      <ns0:c r="I893" s="29"/>
      <ns0:c r="J893" s="29"/>
      <ns0:c r="K893" s="29"/>
    </ns0:row>
    <ns0:row r="894" ht="28" customHeight="1">
      <ns0:c r="A894" s="29"/>
      <ns0:c r="B894" s="30"/>
      <ns0:c r="C894" s="28"/>
      <ns0:c r="D894" s="29"/>
      <ns0:c r="E894" s="31"/>
      <ns0:c r="F894" s="32"/>
      <ns0:c r="G894" s="29"/>
      <ns0:c r="H894" s="29"/>
      <ns0:c r="I894" s="29"/>
      <ns0:c r="J894" s="29"/>
      <ns0:c r="K894" s="29"/>
    </ns0:row>
    <ns0:row r="895" ht="28" customHeight="1">
      <ns0:c r="A895" s="29"/>
      <ns0:c r="B895" s="30"/>
      <ns0:c r="C895" s="28"/>
      <ns0:c r="D895" s="29"/>
      <ns0:c r="E895" s="31"/>
      <ns0:c r="F895" s="32"/>
      <ns0:c r="G895" s="29"/>
      <ns0:c r="H895" s="29"/>
      <ns0:c r="I895" s="29"/>
      <ns0:c r="J895" s="29"/>
      <ns0:c r="K895" s="29"/>
    </ns0:row>
    <ns0:row r="896" ht="28" customHeight="1">
      <ns0:c r="A896" s="29"/>
      <ns0:c r="B896" s="30"/>
      <ns0:c r="C896" s="28"/>
      <ns0:c r="D896" s="29"/>
      <ns0:c r="E896" s="31"/>
      <ns0:c r="F896" s="32"/>
      <ns0:c r="G896" s="29"/>
      <ns0:c r="H896" s="29"/>
      <ns0:c r="I896" s="29"/>
      <ns0:c r="J896" s="29"/>
      <ns0:c r="K896" s="29"/>
    </ns0:row>
    <ns0:row r="897" ht="28" customHeight="1">
      <ns0:c r="A897" s="29"/>
      <ns0:c r="B897" s="30"/>
      <ns0:c r="C897" s="28"/>
      <ns0:c r="D897" s="29"/>
      <ns0:c r="E897" s="31"/>
      <ns0:c r="F897" s="32"/>
      <ns0:c r="G897" s="29"/>
      <ns0:c r="H897" s="29"/>
      <ns0:c r="I897" s="29"/>
      <ns0:c r="J897" s="29"/>
      <ns0:c r="K897" s="29"/>
    </ns0:row>
    <ns0:row r="898" ht="28" customHeight="1">
      <ns0:c r="A898" s="29"/>
      <ns0:c r="B898" s="30"/>
      <ns0:c r="C898" s="28"/>
      <ns0:c r="D898" s="29"/>
      <ns0:c r="E898" s="31"/>
      <ns0:c r="F898" s="32"/>
      <ns0:c r="G898" s="29"/>
      <ns0:c r="H898" s="29"/>
      <ns0:c r="I898" s="29"/>
      <ns0:c r="J898" s="29"/>
      <ns0:c r="K898" s="29"/>
    </ns0:row>
    <ns0:row r="899" ht="28" customHeight="1">
      <ns0:c r="A899" s="29"/>
      <ns0:c r="B899" s="30"/>
      <ns0:c r="C899" s="28"/>
      <ns0:c r="D899" s="29"/>
      <ns0:c r="E899" s="31"/>
      <ns0:c r="F899" s="32"/>
      <ns0:c r="G899" s="29"/>
      <ns0:c r="H899" s="29"/>
      <ns0:c r="I899" s="29"/>
      <ns0:c r="J899" s="29"/>
      <ns0:c r="K899" s="29"/>
    </ns0:row>
    <ns0:row r="900" ht="28" customHeight="1">
      <ns0:c r="A900" s="29"/>
      <ns0:c r="B900" s="30"/>
      <ns0:c r="C900" s="28"/>
      <ns0:c r="D900" s="29"/>
      <ns0:c r="E900" s="31"/>
      <ns0:c r="F900" s="32"/>
      <ns0:c r="G900" s="29"/>
      <ns0:c r="H900" s="29"/>
      <ns0:c r="I900" s="29"/>
      <ns0:c r="J900" s="29"/>
      <ns0:c r="K900" s="29"/>
    </ns0:row>
    <ns0:row r="901" ht="28" customHeight="1">
      <ns0:c r="A901" s="29"/>
      <ns0:c r="B901" s="30"/>
      <ns0:c r="C901" s="28"/>
      <ns0:c r="D901" s="29"/>
      <ns0:c r="E901" s="31"/>
      <ns0:c r="F901" s="32"/>
      <ns0:c r="G901" s="29"/>
      <ns0:c r="H901" s="29"/>
      <ns0:c r="I901" s="29"/>
      <ns0:c r="J901" s="29"/>
      <ns0:c r="K901" s="29"/>
    </ns0:row>
    <ns0:row r="902" ht="28" customHeight="1">
      <ns0:c r="A902" s="29"/>
      <ns0:c r="B902" s="30"/>
      <ns0:c r="C902" s="28"/>
      <ns0:c r="D902" s="29"/>
      <ns0:c r="E902" s="31"/>
      <ns0:c r="F902" s="32"/>
      <ns0:c r="G902" s="29"/>
      <ns0:c r="H902" s="29"/>
      <ns0:c r="I902" s="29"/>
      <ns0:c r="J902" s="29"/>
      <ns0:c r="K902" s="29"/>
    </ns0:row>
    <ns0:row r="903" ht="28" customHeight="1">
      <ns0:c r="A903" s="29"/>
      <ns0:c r="B903" s="30"/>
      <ns0:c r="C903" s="28"/>
      <ns0:c r="D903" s="29"/>
      <ns0:c r="E903" s="31"/>
      <ns0:c r="F903" s="32"/>
      <ns0:c r="G903" s="29"/>
      <ns0:c r="H903" s="29"/>
      <ns0:c r="I903" s="29"/>
      <ns0:c r="J903" s="29"/>
      <ns0:c r="K903" s="29"/>
    </ns0:row>
    <ns0:row r="904" ht="28" customHeight="1">
      <ns0:c r="A904" s="29"/>
      <ns0:c r="B904" s="30"/>
      <ns0:c r="C904" s="28"/>
      <ns0:c r="D904" s="29"/>
      <ns0:c r="E904" s="31"/>
      <ns0:c r="F904" s="32"/>
      <ns0:c r="G904" s="29"/>
      <ns0:c r="H904" s="29"/>
      <ns0:c r="I904" s="29"/>
      <ns0:c r="J904" s="29"/>
      <ns0:c r="K904" s="29"/>
    </ns0:row>
    <ns0:row r="905" ht="28" customHeight="1">
      <ns0:c r="A905" s="29"/>
      <ns0:c r="B905" s="30"/>
      <ns0:c r="C905" s="28"/>
      <ns0:c r="D905" s="29"/>
      <ns0:c r="E905" s="31"/>
      <ns0:c r="F905" s="32"/>
      <ns0:c r="G905" s="29"/>
      <ns0:c r="H905" s="29"/>
      <ns0:c r="I905" s="29"/>
      <ns0:c r="J905" s="29"/>
      <ns0:c r="K905" s="29"/>
    </ns0:row>
    <ns0:row r="906" ht="28" customHeight="1">
      <ns0:c r="A906" s="29"/>
      <ns0:c r="B906" s="30"/>
      <ns0:c r="C906" s="28"/>
      <ns0:c r="D906" s="29"/>
      <ns0:c r="E906" s="31"/>
      <ns0:c r="F906" s="32"/>
      <ns0:c r="G906" s="29"/>
      <ns0:c r="H906" s="29"/>
      <ns0:c r="I906" s="29"/>
      <ns0:c r="J906" s="29"/>
      <ns0:c r="K906" s="29"/>
    </ns0:row>
    <ns0:row r="907" ht="28" customHeight="1">
      <ns0:c r="A907" s="29"/>
      <ns0:c r="B907" s="30"/>
      <ns0:c r="C907" s="28"/>
      <ns0:c r="D907" s="29"/>
      <ns0:c r="E907" s="31"/>
      <ns0:c r="F907" s="32"/>
      <ns0:c r="G907" s="29"/>
      <ns0:c r="H907" s="29"/>
      <ns0:c r="I907" s="29"/>
      <ns0:c r="J907" s="29"/>
      <ns0:c r="K907" s="29"/>
    </ns0:row>
    <ns0:row r="908" ht="28" customHeight="1">
      <ns0:c r="A908" s="29"/>
      <ns0:c r="B908" s="30"/>
      <ns0:c r="C908" s="28"/>
      <ns0:c r="D908" s="29"/>
      <ns0:c r="E908" s="31"/>
      <ns0:c r="F908" s="32"/>
      <ns0:c r="G908" s="29"/>
      <ns0:c r="H908" s="29"/>
      <ns0:c r="I908" s="29"/>
      <ns0:c r="J908" s="29"/>
      <ns0:c r="K908" s="29"/>
    </ns0:row>
    <ns0:row r="909" ht="28" customHeight="1">
      <ns0:c r="A909" s="29"/>
      <ns0:c r="B909" s="30"/>
      <ns0:c r="C909" s="28"/>
      <ns0:c r="D909" s="29"/>
      <ns0:c r="E909" s="31"/>
      <ns0:c r="F909" s="32"/>
      <ns0:c r="G909" s="29"/>
      <ns0:c r="H909" s="29"/>
      <ns0:c r="I909" s="29"/>
      <ns0:c r="J909" s="29"/>
      <ns0:c r="K909" s="29"/>
    </ns0:row>
    <ns0:row r="910" ht="28" customHeight="1">
      <ns0:c r="A910" s="29"/>
      <ns0:c r="B910" s="30"/>
      <ns0:c r="C910" s="28"/>
      <ns0:c r="D910" s="29"/>
      <ns0:c r="E910" s="31"/>
      <ns0:c r="F910" s="32"/>
      <ns0:c r="G910" s="29"/>
      <ns0:c r="H910" s="29"/>
      <ns0:c r="I910" s="29"/>
      <ns0:c r="J910" s="29"/>
      <ns0:c r="K910" s="29"/>
    </ns0:row>
    <ns0:row r="911" ht="28" customHeight="1">
      <ns0:c r="A911" s="29"/>
      <ns0:c r="B911" s="30"/>
      <ns0:c r="C911" s="28"/>
      <ns0:c r="D911" s="29"/>
      <ns0:c r="E911" s="31"/>
      <ns0:c r="F911" s="32"/>
      <ns0:c r="G911" s="29"/>
      <ns0:c r="H911" s="29"/>
      <ns0:c r="I911" s="29"/>
      <ns0:c r="J911" s="29"/>
      <ns0:c r="K911" s="29"/>
    </ns0:row>
    <ns0:row r="912" ht="28" customHeight="1">
      <ns0:c r="A912" s="29"/>
      <ns0:c r="B912" s="30"/>
      <ns0:c r="C912" s="28"/>
      <ns0:c r="D912" s="29"/>
      <ns0:c r="E912" s="31"/>
      <ns0:c r="F912" s="32"/>
      <ns0:c r="G912" s="29"/>
      <ns0:c r="H912" s="29"/>
      <ns0:c r="I912" s="29"/>
      <ns0:c r="J912" s="29"/>
      <ns0:c r="K912" s="29"/>
    </ns0:row>
    <ns0:row r="913" ht="28" customHeight="1">
      <ns0:c r="A913" s="29"/>
      <ns0:c r="B913" s="30"/>
      <ns0:c r="C913" s="28"/>
      <ns0:c r="D913" s="29"/>
      <ns0:c r="E913" s="31"/>
      <ns0:c r="F913" s="32"/>
      <ns0:c r="G913" s="29"/>
      <ns0:c r="H913" s="29"/>
      <ns0:c r="I913" s="29"/>
      <ns0:c r="J913" s="29"/>
      <ns0:c r="K913" s="29"/>
    </ns0:row>
    <ns0:row r="914" ht="28" customHeight="1">
      <ns0:c r="A914" s="29"/>
      <ns0:c r="B914" s="30"/>
      <ns0:c r="C914" s="28"/>
      <ns0:c r="D914" s="29"/>
      <ns0:c r="E914" s="31"/>
      <ns0:c r="F914" s="32"/>
      <ns0:c r="G914" s="29"/>
      <ns0:c r="H914" s="29"/>
      <ns0:c r="I914" s="29"/>
      <ns0:c r="J914" s="29"/>
      <ns0:c r="K914" s="29"/>
    </ns0:row>
    <ns0:row r="915" ht="28" customHeight="1">
      <ns0:c r="A915" s="29"/>
      <ns0:c r="B915" s="30"/>
      <ns0:c r="C915" s="28"/>
      <ns0:c r="D915" s="29"/>
      <ns0:c r="E915" s="31"/>
      <ns0:c r="F915" s="32"/>
      <ns0:c r="G915" s="29"/>
      <ns0:c r="H915" s="29"/>
      <ns0:c r="I915" s="29"/>
      <ns0:c r="J915" s="29"/>
      <ns0:c r="K915" s="29"/>
    </ns0:row>
    <ns0:row r="916" ht="28" customHeight="1">
      <ns0:c r="A916" s="29"/>
      <ns0:c r="B916" s="30"/>
      <ns0:c r="C916" s="28"/>
      <ns0:c r="D916" s="29"/>
      <ns0:c r="E916" s="31"/>
      <ns0:c r="F916" s="32"/>
      <ns0:c r="G916" s="29"/>
      <ns0:c r="H916" s="29"/>
      <ns0:c r="I916" s="29"/>
      <ns0:c r="J916" s="29"/>
      <ns0:c r="K916" s="29"/>
    </ns0:row>
    <ns0:row r="917" ht="28" customHeight="1">
      <ns0:c r="A917" s="29"/>
      <ns0:c r="B917" s="30"/>
      <ns0:c r="C917" s="28"/>
      <ns0:c r="D917" s="29"/>
      <ns0:c r="E917" s="31"/>
      <ns0:c r="F917" s="32"/>
      <ns0:c r="G917" s="29"/>
      <ns0:c r="H917" s="29"/>
      <ns0:c r="I917" s="29"/>
      <ns0:c r="J917" s="29"/>
      <ns0:c r="K917" s="29"/>
    </ns0:row>
    <ns0:row r="918" ht="28" customHeight="1">
      <ns0:c r="A918" s="29"/>
      <ns0:c r="B918" s="30"/>
      <ns0:c r="C918" s="28"/>
      <ns0:c r="D918" s="29"/>
      <ns0:c r="E918" s="31"/>
      <ns0:c r="F918" s="32"/>
      <ns0:c r="G918" s="29"/>
      <ns0:c r="H918" s="29"/>
      <ns0:c r="I918" s="29"/>
      <ns0:c r="J918" s="29"/>
      <ns0:c r="K918" s="29"/>
    </ns0:row>
    <ns0:row r="919" ht="28" customHeight="1">
      <ns0:c r="A919" s="29"/>
      <ns0:c r="B919" s="30"/>
      <ns0:c r="C919" s="28"/>
      <ns0:c r="D919" s="29"/>
      <ns0:c r="E919" s="31"/>
      <ns0:c r="F919" s="32"/>
      <ns0:c r="G919" s="29"/>
      <ns0:c r="H919" s="29"/>
      <ns0:c r="I919" s="29"/>
      <ns0:c r="J919" s="29"/>
      <ns0:c r="K919" s="29"/>
    </ns0:row>
    <ns0:row r="920" ht="28" customHeight="1">
      <ns0:c r="A920" s="29"/>
      <ns0:c r="B920" s="30"/>
      <ns0:c r="C920" s="28"/>
      <ns0:c r="D920" s="29"/>
      <ns0:c r="E920" s="31"/>
      <ns0:c r="F920" s="32"/>
      <ns0:c r="G920" s="29"/>
      <ns0:c r="H920" s="29"/>
      <ns0:c r="I920" s="29"/>
      <ns0:c r="J920" s="29"/>
      <ns0:c r="K920" s="29"/>
    </ns0:row>
    <ns0:row r="921" ht="28" customHeight="1">
      <ns0:c r="A921" s="29"/>
      <ns0:c r="B921" s="30"/>
      <ns0:c r="C921" s="28"/>
      <ns0:c r="D921" s="29"/>
      <ns0:c r="E921" s="31"/>
      <ns0:c r="F921" s="32"/>
      <ns0:c r="G921" s="29"/>
      <ns0:c r="H921" s="29"/>
      <ns0:c r="I921" s="29"/>
      <ns0:c r="J921" s="29"/>
      <ns0:c r="K921" s="29"/>
    </ns0:row>
    <ns0:row r="922" ht="28" customHeight="1">
      <ns0:c r="A922" s="29"/>
      <ns0:c r="B922" s="30"/>
      <ns0:c r="C922" s="28"/>
      <ns0:c r="D922" s="29"/>
      <ns0:c r="E922" s="31"/>
      <ns0:c r="F922" s="32"/>
      <ns0:c r="G922" s="29"/>
      <ns0:c r="H922" s="29"/>
      <ns0:c r="I922" s="29"/>
      <ns0:c r="J922" s="29"/>
      <ns0:c r="K922" s="29"/>
    </ns0:row>
    <ns0:row r="923" ht="28" customHeight="1">
      <ns0:c r="A923" s="29"/>
      <ns0:c r="B923" s="30"/>
      <ns0:c r="C923" s="28"/>
      <ns0:c r="D923" s="29"/>
      <ns0:c r="E923" s="31"/>
      <ns0:c r="F923" s="32"/>
      <ns0:c r="G923" s="29"/>
      <ns0:c r="H923" s="29"/>
      <ns0:c r="I923" s="29"/>
      <ns0:c r="J923" s="29"/>
      <ns0:c r="K923" s="29"/>
    </ns0:row>
    <ns0:row r="924" ht="28" customHeight="1">
      <ns0:c r="A924" s="29"/>
      <ns0:c r="B924" s="30"/>
      <ns0:c r="C924" s="28"/>
      <ns0:c r="D924" s="29"/>
      <ns0:c r="E924" s="31"/>
      <ns0:c r="F924" s="32"/>
      <ns0:c r="G924" s="29"/>
      <ns0:c r="H924" s="29"/>
      <ns0:c r="I924" s="29"/>
      <ns0:c r="J924" s="29"/>
      <ns0:c r="K924" s="29"/>
    </ns0:row>
    <ns0:row r="925" ht="28" customHeight="1">
      <ns0:c r="A925" s="29"/>
      <ns0:c r="B925" s="30"/>
      <ns0:c r="C925" s="28"/>
      <ns0:c r="D925" s="29"/>
      <ns0:c r="E925" s="31"/>
      <ns0:c r="F925" s="32"/>
      <ns0:c r="G925" s="29"/>
      <ns0:c r="H925" s="29"/>
      <ns0:c r="I925" s="29"/>
      <ns0:c r="J925" s="29"/>
      <ns0:c r="K925" s="29"/>
    </ns0:row>
    <ns0:row r="926" ht="28" customHeight="1">
      <ns0:c r="A926" s="29"/>
      <ns0:c r="B926" s="30"/>
      <ns0:c r="C926" s="28"/>
      <ns0:c r="D926" s="29"/>
      <ns0:c r="E926" s="31"/>
      <ns0:c r="F926" s="32"/>
      <ns0:c r="G926" s="29"/>
      <ns0:c r="H926" s="29"/>
      <ns0:c r="I926" s="29"/>
      <ns0:c r="J926" s="29"/>
      <ns0:c r="K926" s="29"/>
    </ns0:row>
    <ns0:row r="927" ht="28" customHeight="1">
      <ns0:c r="A927" s="29"/>
      <ns0:c r="B927" s="30"/>
      <ns0:c r="C927" s="28"/>
      <ns0:c r="D927" s="29"/>
      <ns0:c r="E927" s="31"/>
      <ns0:c r="F927" s="32"/>
      <ns0:c r="G927" s="29"/>
      <ns0:c r="H927" s="29"/>
      <ns0:c r="I927" s="29"/>
      <ns0:c r="J927" s="29"/>
      <ns0:c r="K927" s="29"/>
    </ns0:row>
    <ns0:row r="928" ht="28" customHeight="1">
      <ns0:c r="A928" s="29"/>
      <ns0:c r="B928" s="30"/>
      <ns0:c r="C928" s="28"/>
      <ns0:c r="D928" s="29"/>
      <ns0:c r="E928" s="31"/>
      <ns0:c r="F928" s="32"/>
      <ns0:c r="G928" s="29"/>
      <ns0:c r="H928" s="29"/>
      <ns0:c r="I928" s="29"/>
      <ns0:c r="J928" s="29"/>
      <ns0:c r="K928" s="29"/>
    </ns0:row>
    <ns0:row r="929" ht="28" customHeight="1">
      <ns0:c r="A929" s="29"/>
      <ns0:c r="B929" s="30"/>
      <ns0:c r="C929" s="28"/>
      <ns0:c r="D929" s="29"/>
      <ns0:c r="E929" s="31"/>
      <ns0:c r="F929" s="32"/>
      <ns0:c r="G929" s="29"/>
      <ns0:c r="H929" s="29"/>
      <ns0:c r="I929" s="29"/>
      <ns0:c r="J929" s="29"/>
      <ns0:c r="K929" s="29"/>
    </ns0:row>
    <ns0:row r="930" ht="28" customHeight="1">
      <ns0:c r="A930" s="29"/>
      <ns0:c r="B930" s="30"/>
      <ns0:c r="C930" s="28"/>
      <ns0:c r="D930" s="29"/>
      <ns0:c r="E930" s="31"/>
      <ns0:c r="F930" s="32"/>
      <ns0:c r="G930" s="29"/>
      <ns0:c r="H930" s="29"/>
      <ns0:c r="I930" s="29"/>
      <ns0:c r="J930" s="29"/>
      <ns0:c r="K930" s="29"/>
    </ns0:row>
    <ns0:row r="931" ht="28" customHeight="1">
      <ns0:c r="A931" s="29"/>
      <ns0:c r="B931" s="30"/>
      <ns0:c r="C931" s="28"/>
      <ns0:c r="D931" s="29"/>
      <ns0:c r="E931" s="31"/>
      <ns0:c r="F931" s="32"/>
      <ns0:c r="G931" s="29"/>
      <ns0:c r="H931" s="29"/>
      <ns0:c r="I931" s="29"/>
      <ns0:c r="J931" s="29"/>
      <ns0:c r="K931" s="29"/>
    </ns0:row>
    <ns0:row r="932" ht="28" customHeight="1">
      <ns0:c r="A932" s="29"/>
      <ns0:c r="B932" s="30"/>
      <ns0:c r="C932" s="28"/>
      <ns0:c r="D932" s="29"/>
      <ns0:c r="E932" s="31"/>
      <ns0:c r="F932" s="32"/>
      <ns0:c r="G932" s="29"/>
      <ns0:c r="H932" s="29"/>
      <ns0:c r="I932" s="29"/>
      <ns0:c r="J932" s="29"/>
      <ns0:c r="K932" s="29"/>
    </ns0:row>
    <ns0:row r="933" ht="28" customHeight="1">
      <ns0:c r="A933" s="29"/>
      <ns0:c r="B933" s="30"/>
      <ns0:c r="C933" s="28"/>
      <ns0:c r="D933" s="29"/>
      <ns0:c r="E933" s="31"/>
      <ns0:c r="F933" s="32"/>
      <ns0:c r="G933" s="29"/>
      <ns0:c r="H933" s="29"/>
      <ns0:c r="I933" s="29"/>
      <ns0:c r="J933" s="29"/>
      <ns0:c r="K933" s="29"/>
    </ns0:row>
    <ns0:row r="934" ht="28" customHeight="1">
      <ns0:c r="A934" s="29"/>
      <ns0:c r="B934" s="30"/>
      <ns0:c r="C934" s="28"/>
      <ns0:c r="D934" s="29"/>
      <ns0:c r="E934" s="31"/>
      <ns0:c r="F934" s="32"/>
      <ns0:c r="G934" s="29"/>
      <ns0:c r="H934" s="29"/>
      <ns0:c r="I934" s="29"/>
      <ns0:c r="J934" s="29"/>
      <ns0:c r="K934" s="29"/>
    </ns0:row>
    <ns0:row r="935" ht="28" customHeight="1">
      <ns0:c r="A935" s="29"/>
      <ns0:c r="B935" s="30"/>
      <ns0:c r="C935" s="28"/>
      <ns0:c r="D935" s="29"/>
      <ns0:c r="E935" s="31"/>
      <ns0:c r="F935" s="32"/>
      <ns0:c r="G935" s="29"/>
      <ns0:c r="H935" s="29"/>
      <ns0:c r="I935" s="29"/>
      <ns0:c r="J935" s="29"/>
      <ns0:c r="K935" s="29"/>
    </ns0:row>
    <ns0:row r="936" ht="28" customHeight="1">
      <ns0:c r="A936" s="29"/>
      <ns0:c r="B936" s="30"/>
      <ns0:c r="C936" s="28"/>
      <ns0:c r="D936" s="29"/>
      <ns0:c r="E936" s="31"/>
      <ns0:c r="F936" s="32"/>
      <ns0:c r="G936" s="29"/>
      <ns0:c r="H936" s="29"/>
      <ns0:c r="I936" s="29"/>
      <ns0:c r="J936" s="29"/>
      <ns0:c r="K936" s="29"/>
    </ns0:row>
    <ns0:row r="937" ht="28" customHeight="1">
      <ns0:c r="A937" s="29"/>
      <ns0:c r="B937" s="30"/>
      <ns0:c r="C937" s="28"/>
      <ns0:c r="D937" s="29"/>
      <ns0:c r="E937" s="31"/>
      <ns0:c r="F937" s="32"/>
      <ns0:c r="G937" s="29"/>
      <ns0:c r="H937" s="29"/>
      <ns0:c r="I937" s="29"/>
      <ns0:c r="J937" s="29"/>
      <ns0:c r="K937" s="29"/>
    </ns0:row>
    <ns0:row r="938" ht="28" customHeight="1">
      <ns0:c r="A938" s="29"/>
      <ns0:c r="B938" s="30"/>
      <ns0:c r="C938" s="28"/>
      <ns0:c r="D938" s="29"/>
      <ns0:c r="E938" s="31"/>
      <ns0:c r="F938" s="32"/>
      <ns0:c r="G938" s="29"/>
      <ns0:c r="H938" s="29"/>
      <ns0:c r="I938" s="29"/>
      <ns0:c r="J938" s="29"/>
      <ns0:c r="K938" s="29"/>
    </ns0:row>
    <ns0:row r="939" ht="28" customHeight="1">
      <ns0:c r="A939" s="29"/>
      <ns0:c r="B939" s="30"/>
      <ns0:c r="C939" s="28"/>
      <ns0:c r="D939" s="29"/>
      <ns0:c r="E939" s="31"/>
      <ns0:c r="F939" s="32"/>
      <ns0:c r="G939" s="29"/>
      <ns0:c r="H939" s="29"/>
      <ns0:c r="I939" s="29"/>
      <ns0:c r="J939" s="29"/>
      <ns0:c r="K939" s="29"/>
    </ns0:row>
    <ns0:row r="940" ht="28" customHeight="1">
      <ns0:c r="A940" s="29"/>
      <ns0:c r="B940" s="30"/>
      <ns0:c r="C940" s="28"/>
      <ns0:c r="D940" s="29"/>
      <ns0:c r="E940" s="31"/>
      <ns0:c r="F940" s="32"/>
      <ns0:c r="G940" s="29"/>
      <ns0:c r="H940" s="29"/>
      <ns0:c r="I940" s="29"/>
      <ns0:c r="J940" s="29"/>
      <ns0:c r="K940" s="29"/>
    </ns0:row>
    <ns0:row r="941" ht="28" customHeight="1">
      <ns0:c r="A941" s="29"/>
      <ns0:c r="B941" s="30"/>
      <ns0:c r="C941" s="28"/>
      <ns0:c r="D941" s="29"/>
      <ns0:c r="E941" s="31"/>
      <ns0:c r="F941" s="32"/>
      <ns0:c r="G941" s="29"/>
      <ns0:c r="H941" s="29"/>
      <ns0:c r="I941" s="29"/>
      <ns0:c r="J941" s="29"/>
      <ns0:c r="K941" s="29"/>
    </ns0:row>
    <ns0:row r="942" ht="28" customHeight="1">
      <ns0:c r="A942" s="29"/>
      <ns0:c r="B942" s="30"/>
      <ns0:c r="C942" s="28"/>
      <ns0:c r="D942" s="29"/>
      <ns0:c r="E942" s="31"/>
      <ns0:c r="F942" s="32"/>
      <ns0:c r="G942" s="29"/>
      <ns0:c r="H942" s="29"/>
      <ns0:c r="I942" s="29"/>
      <ns0:c r="J942" s="29"/>
      <ns0:c r="K942" s="29"/>
    </ns0:row>
    <ns0:row r="943" ht="28" customHeight="1">
      <ns0:c r="A943" s="29"/>
      <ns0:c r="B943" s="30"/>
      <ns0:c r="C943" s="28"/>
      <ns0:c r="D943" s="29"/>
      <ns0:c r="E943" s="31"/>
      <ns0:c r="F943" s="32"/>
      <ns0:c r="G943" s="29"/>
      <ns0:c r="H943" s="29"/>
      <ns0:c r="I943" s="29"/>
      <ns0:c r="J943" s="29"/>
      <ns0:c r="K943" s="29"/>
    </ns0:row>
    <ns0:row r="944" ht="28" customHeight="1">
      <ns0:c r="A944" s="29"/>
      <ns0:c r="B944" s="30"/>
      <ns0:c r="C944" s="28"/>
      <ns0:c r="D944" s="29"/>
      <ns0:c r="E944" s="31"/>
      <ns0:c r="F944" s="32"/>
      <ns0:c r="G944" s="29"/>
      <ns0:c r="H944" s="29"/>
      <ns0:c r="I944" s="29"/>
      <ns0:c r="J944" s="29"/>
      <ns0:c r="K944" s="29"/>
    </ns0:row>
    <ns0:row r="945" ht="28" customHeight="1">
      <ns0:c r="A945" s="29"/>
      <ns0:c r="B945" s="30"/>
      <ns0:c r="C945" s="28"/>
      <ns0:c r="D945" s="29"/>
      <ns0:c r="E945" s="31"/>
      <ns0:c r="F945" s="32"/>
      <ns0:c r="G945" s="29"/>
      <ns0:c r="H945" s="29"/>
      <ns0:c r="I945" s="29"/>
      <ns0:c r="J945" s="29"/>
      <ns0:c r="K945" s="29"/>
    </ns0:row>
    <ns0:row r="946" ht="28" customHeight="1">
      <ns0:c r="A946" s="29"/>
      <ns0:c r="B946" s="30"/>
      <ns0:c r="C946" s="28"/>
      <ns0:c r="D946" s="29"/>
      <ns0:c r="E946" s="31"/>
      <ns0:c r="F946" s="32"/>
      <ns0:c r="G946" s="29"/>
      <ns0:c r="H946" s="29"/>
      <ns0:c r="I946" s="29"/>
      <ns0:c r="J946" s="29"/>
      <ns0:c r="K946" s="29"/>
    </ns0:row>
    <ns0:row r="947" ht="28" customHeight="1">
      <ns0:c r="A947" s="29"/>
      <ns0:c r="B947" s="30"/>
      <ns0:c r="C947" s="28"/>
      <ns0:c r="D947" s="29"/>
      <ns0:c r="E947" s="31"/>
      <ns0:c r="F947" s="32"/>
      <ns0:c r="G947" s="29"/>
      <ns0:c r="H947" s="29"/>
      <ns0:c r="I947" s="29"/>
      <ns0:c r="J947" s="29"/>
      <ns0:c r="K947" s="29"/>
    </ns0:row>
    <ns0:row r="948" ht="28" customHeight="1">
      <ns0:c r="A948" s="29"/>
      <ns0:c r="B948" s="30"/>
      <ns0:c r="C948" s="28"/>
      <ns0:c r="D948" s="29"/>
      <ns0:c r="E948" s="31"/>
      <ns0:c r="F948" s="32"/>
      <ns0:c r="G948" s="29"/>
      <ns0:c r="H948" s="29"/>
      <ns0:c r="I948" s="29"/>
      <ns0:c r="J948" s="29"/>
      <ns0:c r="K948" s="29"/>
    </ns0:row>
    <ns0:row r="949" ht="28" customHeight="1">
      <ns0:c r="A949" s="29"/>
      <ns0:c r="B949" s="30"/>
      <ns0:c r="C949" s="28"/>
      <ns0:c r="D949" s="29"/>
      <ns0:c r="E949" s="31"/>
      <ns0:c r="F949" s="32"/>
      <ns0:c r="G949" s="29"/>
      <ns0:c r="H949" s="29"/>
      <ns0:c r="I949" s="29"/>
      <ns0:c r="J949" s="29"/>
      <ns0:c r="K949" s="29"/>
    </ns0:row>
    <ns0:row r="950" ht="28" customHeight="1">
      <ns0:c r="A950" s="29"/>
      <ns0:c r="B950" s="30"/>
      <ns0:c r="C950" s="28"/>
      <ns0:c r="D950" s="29"/>
      <ns0:c r="E950" s="31"/>
      <ns0:c r="F950" s="32"/>
      <ns0:c r="G950" s="29"/>
      <ns0:c r="H950" s="29"/>
      <ns0:c r="I950" s="29"/>
      <ns0:c r="J950" s="29"/>
      <ns0:c r="K950" s="29"/>
    </ns0:row>
    <ns0:row r="951" ht="28" customHeight="1">
      <ns0:c r="A951" s="29"/>
      <ns0:c r="B951" s="30"/>
      <ns0:c r="C951" s="28"/>
      <ns0:c r="D951" s="29"/>
      <ns0:c r="E951" s="31"/>
      <ns0:c r="F951" s="32"/>
      <ns0:c r="G951" s="29"/>
      <ns0:c r="H951" s="29"/>
      <ns0:c r="I951" s="29"/>
      <ns0:c r="J951" s="29"/>
      <ns0:c r="K951" s="29"/>
    </ns0:row>
    <ns0:row r="952" ht="28" customHeight="1">
      <ns0:c r="A952" s="29"/>
      <ns0:c r="B952" s="30"/>
      <ns0:c r="C952" s="28"/>
      <ns0:c r="D952" s="29"/>
      <ns0:c r="E952" s="31"/>
      <ns0:c r="F952" s="32"/>
      <ns0:c r="G952" s="29"/>
      <ns0:c r="H952" s="29"/>
      <ns0:c r="I952" s="29"/>
      <ns0:c r="J952" s="29"/>
      <ns0:c r="K952" s="29"/>
    </ns0:row>
    <ns0:row r="953" ht="28" customHeight="1">
      <ns0:c r="A953" s="29"/>
      <ns0:c r="B953" s="30"/>
      <ns0:c r="C953" s="28"/>
      <ns0:c r="D953" s="29"/>
      <ns0:c r="E953" s="31"/>
      <ns0:c r="F953" s="32"/>
      <ns0:c r="G953" s="29"/>
      <ns0:c r="H953" s="29"/>
      <ns0:c r="I953" s="29"/>
      <ns0:c r="J953" s="29"/>
      <ns0:c r="K953" s="29"/>
    </ns0:row>
    <ns0:row r="954" ht="28" customHeight="1">
      <ns0:c r="A954" s="29"/>
      <ns0:c r="B954" s="30"/>
      <ns0:c r="C954" s="28"/>
      <ns0:c r="D954" s="29"/>
      <ns0:c r="E954" s="31"/>
      <ns0:c r="F954" s="32"/>
      <ns0:c r="G954" s="29"/>
      <ns0:c r="H954" s="29"/>
      <ns0:c r="I954" s="29"/>
      <ns0:c r="J954" s="29"/>
      <ns0:c r="K954" s="29"/>
    </ns0:row>
    <ns0:row r="955" ht="28" customHeight="1">
      <ns0:c r="A955" s="29"/>
      <ns0:c r="B955" s="30"/>
      <ns0:c r="C955" s="28"/>
      <ns0:c r="D955" s="29"/>
      <ns0:c r="E955" s="31"/>
      <ns0:c r="F955" s="32"/>
      <ns0:c r="G955" s="29"/>
      <ns0:c r="H955" s="29"/>
      <ns0:c r="I955" s="29"/>
      <ns0:c r="J955" s="29"/>
      <ns0:c r="K955" s="29"/>
    </ns0:row>
    <ns0:row r="956" ht="28" customHeight="1">
      <ns0:c r="A956" s="29"/>
      <ns0:c r="B956" s="30"/>
      <ns0:c r="C956" s="28"/>
      <ns0:c r="D956" s="29"/>
      <ns0:c r="E956" s="31"/>
      <ns0:c r="F956" s="32"/>
      <ns0:c r="G956" s="29"/>
      <ns0:c r="H956" s="29"/>
      <ns0:c r="I956" s="29"/>
      <ns0:c r="J956" s="29"/>
      <ns0:c r="K956" s="29"/>
    </ns0:row>
    <ns0:row r="957" ht="28" customHeight="1">
      <ns0:c r="A957" s="29"/>
      <ns0:c r="B957" s="30"/>
      <ns0:c r="C957" s="28"/>
      <ns0:c r="D957" s="29"/>
      <ns0:c r="E957" s="31"/>
      <ns0:c r="F957" s="32"/>
      <ns0:c r="G957" s="29"/>
      <ns0:c r="H957" s="29"/>
      <ns0:c r="I957" s="29"/>
      <ns0:c r="J957" s="29"/>
      <ns0:c r="K957" s="29"/>
    </ns0:row>
    <ns0:row r="958" ht="28" customHeight="1">
      <ns0:c r="A958" s="29"/>
      <ns0:c r="B958" s="30"/>
      <ns0:c r="C958" s="28"/>
      <ns0:c r="D958" s="29"/>
      <ns0:c r="E958" s="31"/>
      <ns0:c r="F958" s="32"/>
      <ns0:c r="G958" s="29"/>
      <ns0:c r="H958" s="29"/>
      <ns0:c r="I958" s="29"/>
      <ns0:c r="J958" s="29"/>
      <ns0:c r="K958" s="29"/>
    </ns0:row>
    <ns0:row r="959" ht="28" customHeight="1">
      <ns0:c r="A959" s="29"/>
      <ns0:c r="B959" s="30"/>
      <ns0:c r="C959" s="28"/>
      <ns0:c r="D959" s="29"/>
      <ns0:c r="E959" s="31"/>
      <ns0:c r="F959" s="32"/>
      <ns0:c r="G959" s="29"/>
      <ns0:c r="H959" s="29"/>
      <ns0:c r="I959" s="29"/>
      <ns0:c r="J959" s="29"/>
      <ns0:c r="K959" s="29"/>
    </ns0:row>
    <ns0:row r="960" ht="28" customHeight="1">
      <ns0:c r="A960" s="29"/>
      <ns0:c r="B960" s="30"/>
      <ns0:c r="C960" s="28"/>
      <ns0:c r="D960" s="29"/>
      <ns0:c r="E960" s="31"/>
      <ns0:c r="F960" s="32"/>
      <ns0:c r="G960" s="29"/>
      <ns0:c r="H960" s="29"/>
      <ns0:c r="I960" s="29"/>
      <ns0:c r="J960" s="29"/>
      <ns0:c r="K960" s="29"/>
    </ns0:row>
    <ns0:row r="961" ht="28" customHeight="1">
      <ns0:c r="A961" s="29"/>
      <ns0:c r="B961" s="30"/>
      <ns0:c r="C961" s="28"/>
      <ns0:c r="D961" s="29"/>
      <ns0:c r="E961" s="31"/>
      <ns0:c r="F961" s="32"/>
      <ns0:c r="G961" s="29"/>
      <ns0:c r="H961" s="29"/>
      <ns0:c r="I961" s="29"/>
      <ns0:c r="J961" s="29"/>
      <ns0:c r="K961" s="29"/>
    </ns0:row>
    <ns0:row r="962" ht="28" customHeight="1">
      <ns0:c r="A962" s="29"/>
      <ns0:c r="B962" s="30"/>
      <ns0:c r="C962" s="28"/>
      <ns0:c r="D962" s="29"/>
      <ns0:c r="E962" s="31"/>
      <ns0:c r="F962" s="32"/>
      <ns0:c r="G962" s="29"/>
      <ns0:c r="H962" s="29"/>
      <ns0:c r="I962" s="29"/>
      <ns0:c r="J962" s="29"/>
      <ns0:c r="K962" s="29"/>
    </ns0:row>
    <ns0:row r="963" ht="28" customHeight="1">
      <ns0:c r="A963" s="29"/>
      <ns0:c r="B963" s="30"/>
      <ns0:c r="C963" s="28"/>
      <ns0:c r="D963" s="29"/>
      <ns0:c r="E963" s="31"/>
      <ns0:c r="F963" s="32"/>
      <ns0:c r="G963" s="29"/>
      <ns0:c r="H963" s="29"/>
      <ns0:c r="I963" s="29"/>
      <ns0:c r="J963" s="29"/>
      <ns0:c r="K963" s="29"/>
    </ns0:row>
    <ns0:row r="964" ht="28" customHeight="1">
      <ns0:c r="A964" s="29"/>
      <ns0:c r="B964" s="30"/>
      <ns0:c r="C964" s="28"/>
      <ns0:c r="D964" s="29"/>
      <ns0:c r="E964" s="31"/>
      <ns0:c r="F964" s="32"/>
      <ns0:c r="G964" s="29"/>
      <ns0:c r="H964" s="29"/>
      <ns0:c r="I964" s="29"/>
      <ns0:c r="J964" s="29"/>
      <ns0:c r="K964" s="29"/>
    </ns0:row>
    <ns0:row r="965" ht="28" customHeight="1">
      <ns0:c r="A965" s="29"/>
      <ns0:c r="B965" s="30"/>
      <ns0:c r="C965" s="28"/>
      <ns0:c r="D965" s="29"/>
      <ns0:c r="E965" s="31"/>
      <ns0:c r="F965" s="32"/>
      <ns0:c r="G965" s="29"/>
      <ns0:c r="H965" s="29"/>
      <ns0:c r="I965" s="29"/>
      <ns0:c r="J965" s="29"/>
      <ns0:c r="K965" s="29"/>
    </ns0:row>
    <ns0:row r="966" ht="28" customHeight="1">
      <ns0:c r="A966" s="29"/>
      <ns0:c r="B966" s="30"/>
      <ns0:c r="C966" s="28"/>
      <ns0:c r="D966" s="29"/>
      <ns0:c r="E966" s="31"/>
      <ns0:c r="F966" s="32"/>
      <ns0:c r="G966" s="29"/>
      <ns0:c r="H966" s="29"/>
      <ns0:c r="I966" s="29"/>
      <ns0:c r="J966" s="29"/>
      <ns0:c r="K966" s="29"/>
    </ns0:row>
    <ns0:row r="967" ht="28" customHeight="1">
      <ns0:c r="A967" s="29"/>
      <ns0:c r="B967" s="30"/>
      <ns0:c r="C967" s="28"/>
      <ns0:c r="D967" s="29"/>
      <ns0:c r="E967" s="31"/>
      <ns0:c r="F967" s="32"/>
      <ns0:c r="G967" s="29"/>
      <ns0:c r="H967" s="29"/>
      <ns0:c r="I967" s="29"/>
      <ns0:c r="J967" s="29"/>
      <ns0:c r="K967" s="29"/>
    </ns0:row>
    <ns0:row r="968" ht="28" customHeight="1">
      <ns0:c r="A968" s="29"/>
      <ns0:c r="B968" s="30"/>
      <ns0:c r="C968" s="28"/>
      <ns0:c r="D968" s="29"/>
      <ns0:c r="E968" s="31"/>
      <ns0:c r="F968" s="32"/>
      <ns0:c r="G968" s="29"/>
      <ns0:c r="H968" s="29"/>
      <ns0:c r="I968" s="29"/>
      <ns0:c r="J968" s="29"/>
      <ns0:c r="K968" s="29"/>
    </ns0:row>
    <ns0:row r="969" ht="28" customHeight="1">
      <ns0:c r="A969" s="29"/>
      <ns0:c r="B969" s="30"/>
      <ns0:c r="C969" s="28"/>
      <ns0:c r="D969" s="29"/>
      <ns0:c r="E969" s="31"/>
      <ns0:c r="F969" s="32"/>
      <ns0:c r="G969" s="29"/>
      <ns0:c r="H969" s="29"/>
      <ns0:c r="I969" s="29"/>
      <ns0:c r="J969" s="29"/>
      <ns0:c r="K969" s="29"/>
    </ns0:row>
    <ns0:row r="970" ht="28" customHeight="1">
      <ns0:c r="A970" s="29"/>
      <ns0:c r="B970" s="30"/>
      <ns0:c r="C970" s="28"/>
      <ns0:c r="D970" s="29"/>
      <ns0:c r="E970" s="31"/>
      <ns0:c r="F970" s="32"/>
      <ns0:c r="G970" s="29"/>
      <ns0:c r="H970" s="29"/>
      <ns0:c r="I970" s="29"/>
      <ns0:c r="J970" s="29"/>
      <ns0:c r="K970" s="29"/>
    </ns0:row>
    <ns0:row r="971" ht="28" customHeight="1">
      <ns0:c r="A971" s="29"/>
      <ns0:c r="B971" s="30"/>
      <ns0:c r="C971" s="28"/>
      <ns0:c r="D971" s="29"/>
      <ns0:c r="E971" s="31"/>
      <ns0:c r="F971" s="32"/>
      <ns0:c r="G971" s="29"/>
      <ns0:c r="H971" s="29"/>
      <ns0:c r="I971" s="29"/>
      <ns0:c r="J971" s="29"/>
      <ns0:c r="K971" s="29"/>
    </ns0:row>
    <ns0:row r="972" ht="28" customHeight="1">
      <ns0:c r="A972" s="29"/>
      <ns0:c r="B972" s="30"/>
      <ns0:c r="C972" s="28"/>
      <ns0:c r="D972" s="29"/>
      <ns0:c r="E972" s="31"/>
      <ns0:c r="F972" s="32"/>
      <ns0:c r="G972" s="29"/>
      <ns0:c r="H972" s="29"/>
      <ns0:c r="I972" s="29"/>
      <ns0:c r="J972" s="29"/>
      <ns0:c r="K972" s="29"/>
    </ns0:row>
    <ns0:row r="973" ht="28" customHeight="1">
      <ns0:c r="A973" s="29"/>
      <ns0:c r="B973" s="30"/>
      <ns0:c r="C973" s="28"/>
      <ns0:c r="D973" s="29"/>
      <ns0:c r="E973" s="31"/>
      <ns0:c r="F973" s="32"/>
      <ns0:c r="G973" s="29"/>
      <ns0:c r="H973" s="29"/>
      <ns0:c r="I973" s="29"/>
      <ns0:c r="J973" s="29"/>
      <ns0:c r="K973" s="29"/>
    </ns0:row>
    <ns0:row r="974" ht="28" customHeight="1">
      <ns0:c r="A974" s="29"/>
      <ns0:c r="B974" s="30"/>
      <ns0:c r="C974" s="28"/>
      <ns0:c r="D974" s="29"/>
      <ns0:c r="E974" s="31"/>
      <ns0:c r="F974" s="32"/>
      <ns0:c r="G974" s="29"/>
      <ns0:c r="H974" s="29"/>
      <ns0:c r="I974" s="29"/>
      <ns0:c r="J974" s="29"/>
      <ns0:c r="K974" s="29"/>
    </ns0:row>
    <ns0:row r="975" ht="28" customHeight="1">
      <ns0:c r="A975" s="29"/>
      <ns0:c r="B975" s="30"/>
      <ns0:c r="C975" s="28"/>
      <ns0:c r="D975" s="29"/>
      <ns0:c r="E975" s="31"/>
      <ns0:c r="F975" s="32"/>
      <ns0:c r="G975" s="29"/>
      <ns0:c r="H975" s="29"/>
      <ns0:c r="I975" s="29"/>
      <ns0:c r="J975" s="29"/>
      <ns0:c r="K975" s="29"/>
    </ns0:row>
    <ns0:row r="976" ht="28" customHeight="1">
      <ns0:c r="A976" s="29"/>
      <ns0:c r="B976" s="30"/>
      <ns0:c r="C976" s="28"/>
      <ns0:c r="D976" s="29"/>
      <ns0:c r="E976" s="31"/>
      <ns0:c r="F976" s="32"/>
      <ns0:c r="G976" s="29"/>
      <ns0:c r="H976" s="29"/>
      <ns0:c r="I976" s="29"/>
      <ns0:c r="J976" s="29"/>
      <ns0:c r="K976" s="29"/>
    </ns0:row>
    <ns0:row r="977" ht="28" customHeight="1">
      <ns0:c r="A977" s="29"/>
      <ns0:c r="B977" s="30"/>
      <ns0:c r="C977" s="28"/>
      <ns0:c r="D977" s="29"/>
      <ns0:c r="E977" s="31"/>
      <ns0:c r="F977" s="32"/>
      <ns0:c r="G977" s="29"/>
      <ns0:c r="H977" s="29"/>
      <ns0:c r="I977" s="29"/>
      <ns0:c r="J977" s="29"/>
      <ns0:c r="K977" s="29"/>
    </ns0:row>
    <ns0:row r="978" ht="28" customHeight="1">
      <ns0:c r="A978" s="29"/>
      <ns0:c r="B978" s="30"/>
      <ns0:c r="C978" s="28"/>
      <ns0:c r="D978" s="29"/>
      <ns0:c r="E978" s="31"/>
      <ns0:c r="F978" s="32"/>
      <ns0:c r="G978" s="29"/>
      <ns0:c r="H978" s="29"/>
      <ns0:c r="I978" s="29"/>
      <ns0:c r="J978" s="29"/>
      <ns0:c r="K978" s="29"/>
    </ns0:row>
    <ns0:row r="979" ht="28" customHeight="1">
      <ns0:c r="A979" s="29"/>
      <ns0:c r="B979" s="30"/>
      <ns0:c r="C979" s="28"/>
      <ns0:c r="D979" s="29"/>
      <ns0:c r="E979" s="31"/>
      <ns0:c r="F979" s="32"/>
      <ns0:c r="G979" s="29"/>
      <ns0:c r="H979" s="29"/>
      <ns0:c r="I979" s="29"/>
      <ns0:c r="J979" s="29"/>
      <ns0:c r="K979" s="29"/>
    </ns0:row>
    <ns0:row r="980" ht="28" customHeight="1">
      <ns0:c r="A980" s="29"/>
      <ns0:c r="B980" s="30"/>
      <ns0:c r="C980" s="28"/>
      <ns0:c r="D980" s="29"/>
      <ns0:c r="E980" s="31"/>
      <ns0:c r="F980" s="32"/>
      <ns0:c r="G980" s="29"/>
      <ns0:c r="H980" s="29"/>
      <ns0:c r="I980" s="29"/>
      <ns0:c r="J980" s="29"/>
      <ns0:c r="K980" s="29"/>
    </ns0:row>
    <ns0:row r="981" ht="28" customHeight="1">
      <ns0:c r="A981" s="29"/>
      <ns0:c r="B981" s="30"/>
      <ns0:c r="C981" s="28"/>
      <ns0:c r="D981" s="29"/>
      <ns0:c r="E981" s="31"/>
      <ns0:c r="F981" s="32"/>
      <ns0:c r="G981" s="29"/>
      <ns0:c r="H981" s="29"/>
      <ns0:c r="I981" s="29"/>
      <ns0:c r="J981" s="29"/>
      <ns0:c r="K981" s="29"/>
    </ns0:row>
    <ns0:row r="982" ht="28" customHeight="1">
      <ns0:c r="A982" s="29"/>
      <ns0:c r="B982" s="30"/>
      <ns0:c r="C982" s="28"/>
      <ns0:c r="D982" s="29"/>
      <ns0:c r="E982" s="31"/>
      <ns0:c r="F982" s="32"/>
      <ns0:c r="G982" s="29"/>
      <ns0:c r="H982" s="29"/>
      <ns0:c r="I982" s="29"/>
      <ns0:c r="J982" s="29"/>
      <ns0:c r="K982" s="29"/>
    </ns0:row>
    <ns0:row r="983" ht="28" customHeight="1">
      <ns0:c r="A983" s="29"/>
      <ns0:c r="B983" s="30"/>
      <ns0:c r="C983" s="28"/>
      <ns0:c r="D983" s="29"/>
      <ns0:c r="E983" s="31"/>
      <ns0:c r="F983" s="32"/>
      <ns0:c r="G983" s="29"/>
      <ns0:c r="H983" s="29"/>
      <ns0:c r="I983" s="29"/>
      <ns0:c r="J983" s="29"/>
      <ns0:c r="K983" s="29"/>
    </ns0:row>
    <ns0:row r="984" ht="28" customHeight="1">
      <ns0:c r="A984" s="29"/>
      <ns0:c r="B984" s="30"/>
      <ns0:c r="C984" s="28"/>
      <ns0:c r="D984" s="29"/>
      <ns0:c r="E984" s="31"/>
      <ns0:c r="F984" s="32"/>
      <ns0:c r="G984" s="29"/>
      <ns0:c r="H984" s="29"/>
      <ns0:c r="I984" s="29"/>
      <ns0:c r="J984" s="29"/>
      <ns0:c r="K984" s="29"/>
    </ns0:row>
    <ns0:row r="985" ht="28" customHeight="1">
      <ns0:c r="A985" s="29"/>
      <ns0:c r="B985" s="30"/>
      <ns0:c r="C985" s="28"/>
      <ns0:c r="D985" s="29"/>
      <ns0:c r="E985" s="31"/>
      <ns0:c r="F985" s="32"/>
      <ns0:c r="G985" s="29"/>
      <ns0:c r="H985" s="29"/>
      <ns0:c r="I985" s="29"/>
      <ns0:c r="J985" s="29"/>
      <ns0:c r="K985" s="29"/>
    </ns0:row>
    <ns0:row r="986" ht="28" customHeight="1">
      <ns0:c r="A986" s="29"/>
      <ns0:c r="B986" s="30"/>
      <ns0:c r="C986" s="28"/>
      <ns0:c r="D986" s="29"/>
      <ns0:c r="E986" s="31"/>
      <ns0:c r="F986" s="32"/>
      <ns0:c r="G986" s="29"/>
      <ns0:c r="H986" s="29"/>
      <ns0:c r="I986" s="29"/>
      <ns0:c r="J986" s="29"/>
      <ns0:c r="K986" s="29"/>
    </ns0:row>
    <ns0:row r="987" ht="28" customHeight="1">
      <ns0:c r="A987" s="29"/>
      <ns0:c r="B987" s="30"/>
      <ns0:c r="C987" s="28"/>
      <ns0:c r="D987" s="29"/>
      <ns0:c r="E987" s="31"/>
      <ns0:c r="F987" s="32"/>
      <ns0:c r="G987" s="29"/>
      <ns0:c r="H987" s="29"/>
      <ns0:c r="I987" s="29"/>
      <ns0:c r="J987" s="29"/>
      <ns0:c r="K987" s="29"/>
    </ns0:row>
    <ns0:row r="988" ht="28" customHeight="1">
      <ns0:c r="A988" s="29"/>
      <ns0:c r="B988" s="30"/>
      <ns0:c r="C988" s="28"/>
      <ns0:c r="D988" s="29"/>
      <ns0:c r="E988" s="31"/>
      <ns0:c r="F988" s="32"/>
      <ns0:c r="G988" s="29"/>
      <ns0:c r="H988" s="29"/>
      <ns0:c r="I988" s="29"/>
      <ns0:c r="J988" s="29"/>
      <ns0:c r="K988" s="29"/>
    </ns0:row>
    <ns0:row r="989" ht="28" customHeight="1">
      <ns0:c r="A989" s="29"/>
      <ns0:c r="B989" s="30"/>
      <ns0:c r="C989" s="28"/>
      <ns0:c r="D989" s="29"/>
      <ns0:c r="E989" s="31"/>
      <ns0:c r="F989" s="32"/>
      <ns0:c r="G989" s="29"/>
      <ns0:c r="H989" s="29"/>
      <ns0:c r="I989" s="29"/>
      <ns0:c r="J989" s="29"/>
      <ns0:c r="K989" s="29"/>
    </ns0:row>
    <ns0:row r="990" ht="28" customHeight="1">
      <ns0:c r="A990" s="29"/>
      <ns0:c r="B990" s="30"/>
      <ns0:c r="C990" s="28"/>
      <ns0:c r="D990" s="29"/>
      <ns0:c r="E990" s="31"/>
      <ns0:c r="F990" s="32"/>
      <ns0:c r="G990" s="29"/>
      <ns0:c r="H990" s="29"/>
      <ns0:c r="I990" s="29"/>
      <ns0:c r="J990" s="29"/>
      <ns0:c r="K990" s="29"/>
    </ns0:row>
    <ns0:row r="991" ht="28" customHeight="1">
      <ns0:c r="A991" s="29"/>
      <ns0:c r="B991" s="30"/>
      <ns0:c r="C991" s="28"/>
      <ns0:c r="D991" s="29"/>
      <ns0:c r="E991" s="31"/>
      <ns0:c r="F991" s="32"/>
      <ns0:c r="G991" s="29"/>
      <ns0:c r="H991" s="29"/>
      <ns0:c r="I991" s="29"/>
      <ns0:c r="J991" s="29"/>
      <ns0:c r="K991" s="29"/>
    </ns0:row>
    <ns0:row r="992" ht="28" customHeight="1">
      <ns0:c r="A992" s="29"/>
      <ns0:c r="B992" s="30"/>
      <ns0:c r="C992" s="28"/>
      <ns0:c r="D992" s="29"/>
      <ns0:c r="E992" s="31"/>
      <ns0:c r="F992" s="32"/>
      <ns0:c r="G992" s="29"/>
      <ns0:c r="H992" s="29"/>
      <ns0:c r="I992" s="29"/>
      <ns0:c r="J992" s="29"/>
      <ns0:c r="K992" s="29"/>
    </ns0:row>
    <ns0:row r="993" ht="28" customHeight="1">
      <ns0:c r="A993" s="29"/>
      <ns0:c r="B993" s="30"/>
      <ns0:c r="C993" s="28"/>
      <ns0:c r="D993" s="29"/>
      <ns0:c r="E993" s="31"/>
      <ns0:c r="F993" s="32"/>
      <ns0:c r="G993" s="29"/>
      <ns0:c r="H993" s="29"/>
      <ns0:c r="I993" s="29"/>
      <ns0:c r="J993" s="29"/>
      <ns0:c r="K993" s="29"/>
    </ns0:row>
    <ns0:row r="994" ht="28" customHeight="1">
      <ns0:c r="A994" s="29"/>
      <ns0:c r="B994" s="30"/>
      <ns0:c r="C994" s="28"/>
      <ns0:c r="D994" s="29"/>
      <ns0:c r="E994" s="31"/>
      <ns0:c r="F994" s="32"/>
      <ns0:c r="G994" s="29"/>
      <ns0:c r="H994" s="29"/>
      <ns0:c r="I994" s="29"/>
      <ns0:c r="J994" s="29"/>
      <ns0:c r="K994" s="29"/>
    </ns0:row>
    <ns0:row r="995" ht="28" customHeight="1">
      <ns0:c r="A995" s="29"/>
      <ns0:c r="B995" s="30"/>
      <ns0:c r="C995" s="28"/>
      <ns0:c r="D995" s="29"/>
      <ns0:c r="E995" s="31"/>
      <ns0:c r="F995" s="32"/>
      <ns0:c r="G995" s="29"/>
      <ns0:c r="H995" s="29"/>
      <ns0:c r="I995" s="29"/>
      <ns0:c r="J995" s="29"/>
      <ns0:c r="K995" s="29"/>
    </ns0:row>
    <ns0:row r="996" ht="28" customHeight="1">
      <ns0:c r="A996" s="29"/>
      <ns0:c r="B996" s="30"/>
      <ns0:c r="C996" s="28"/>
      <ns0:c r="D996" s="29"/>
      <ns0:c r="E996" s="31"/>
      <ns0:c r="F996" s="32"/>
      <ns0:c r="G996" s="29"/>
      <ns0:c r="H996" s="29"/>
      <ns0:c r="I996" s="29"/>
      <ns0:c r="J996" s="29"/>
      <ns0:c r="K996" s="29"/>
    </ns0:row>
    <ns0:row r="997" ht="28" customHeight="1">
      <ns0:c r="A997" s="29"/>
      <ns0:c r="B997" s="30"/>
      <ns0:c r="C997" s="28"/>
      <ns0:c r="D997" s="29"/>
      <ns0:c r="E997" s="31"/>
      <ns0:c r="F997" s="32"/>
      <ns0:c r="G997" s="29"/>
      <ns0:c r="H997" s="29"/>
      <ns0:c r="I997" s="29"/>
      <ns0:c r="J997" s="29"/>
      <ns0:c r="K997" s="29"/>
    </ns0:row>
    <ns0:row r="998" ht="28" customHeight="1">
      <ns0:c r="A998" s="29"/>
      <ns0:c r="B998" s="30"/>
      <ns0:c r="C998" s="28"/>
      <ns0:c r="D998" s="29"/>
      <ns0:c r="E998" s="31"/>
      <ns0:c r="F998" s="32"/>
      <ns0:c r="G998" s="29"/>
      <ns0:c r="H998" s="29"/>
      <ns0:c r="I998" s="29"/>
      <ns0:c r="J998" s="29"/>
      <ns0:c r="K998" s="29"/>
    </ns0:row>
    <ns0:row r="999" ht="28" customHeight="1">
      <ns0:c r="A999" s="29"/>
      <ns0:c r="B999" s="30"/>
      <ns0:c r="C999" s="28"/>
      <ns0:c r="D999" s="29"/>
      <ns0:c r="E999" s="31"/>
      <ns0:c r="F999" s="32"/>
      <ns0:c r="G999" s="29"/>
      <ns0:c r="H999" s="29"/>
      <ns0:c r="I999" s="29"/>
      <ns0:c r="J999" s="29"/>
      <ns0:c r="K999" s="29"/>
    </ns0:row>
    <ns0:row r="1000" ht="28" customHeight="1">
      <ns0:c r="A1000" s="29"/>
      <ns0:c r="B1000" s="30"/>
      <ns0:c r="C1000" s="28"/>
      <ns0:c r="D1000" s="29"/>
      <ns0:c r="E1000" s="31"/>
      <ns0:c r="F1000" s="32"/>
      <ns0:c r="G1000" s="29"/>
      <ns0:c r="H1000" s="29"/>
      <ns0:c r="I1000" s="29"/>
      <ns0:c r="J1000" s="29"/>
      <ns0:c r="K1000" s="29"/>
    </ns0:row>
    <ns0:row r="1001" ht="28" customHeight="1">
      <ns0:c r="A1001" s="29"/>
      <ns0:c r="B1001" s="30"/>
      <ns0:c r="C1001" s="28"/>
      <ns0:c r="D1001" s="29"/>
      <ns0:c r="E1001" s="31"/>
      <ns0:c r="F1001" s="32"/>
      <ns0:c r="G1001" s="29"/>
      <ns0:c r="H1001" s="29"/>
      <ns0:c r="I1001" s="29"/>
      <ns0:c r="J1001" s="29"/>
      <ns0:c r="K1001" s="29"/>
    </ns0:row>
    <ns0:row r="1002" ht="28" customHeight="1">
      <ns0:c r="A1002" s="29"/>
      <ns0:c r="B1002" s="30"/>
      <ns0:c r="C1002" s="28"/>
      <ns0:c r="D1002" s="29"/>
      <ns0:c r="E1002" s="31"/>
      <ns0:c r="F1002" s="32"/>
      <ns0:c r="G1002" s="29"/>
      <ns0:c r="H1002" s="29"/>
      <ns0:c r="I1002" s="29"/>
      <ns0:c r="J1002" s="29"/>
      <ns0:c r="K1002" s="29"/>
    </ns0:row>
    <ns0:row r="1003" ht="28" customHeight="1">
      <ns0:c r="A1003" s="29"/>
      <ns0:c r="B1003" s="30"/>
      <ns0:c r="C1003" s="28"/>
      <ns0:c r="D1003" s="29"/>
      <ns0:c r="E1003" s="31"/>
      <ns0:c r="F1003" s="32"/>
      <ns0:c r="G1003" s="29"/>
      <ns0:c r="H1003" s="29"/>
      <ns0:c r="I1003" s="29"/>
      <ns0:c r="J1003" s="29"/>
      <ns0:c r="K1003" s="29"/>
    </ns0:row>
    <ns0:row r="1004" ht="28" customHeight="1">
      <ns0:c r="A1004" s="29"/>
      <ns0:c r="B1004" s="30"/>
      <ns0:c r="C1004" s="28"/>
      <ns0:c r="D1004" s="29"/>
      <ns0:c r="E1004" s="31"/>
      <ns0:c r="F1004" s="32"/>
      <ns0:c r="G1004" s="29"/>
      <ns0:c r="H1004" s="29"/>
      <ns0:c r="I1004" s="29"/>
      <ns0:c r="J1004" s="29"/>
      <ns0:c r="K1004" s="29"/>
    </ns0:row>
    <ns0:row r="1005" ht="28" customHeight="1">
      <ns0:c r="A1005" s="29"/>
      <ns0:c r="B1005" s="30"/>
      <ns0:c r="C1005" s="28"/>
      <ns0:c r="D1005" s="29"/>
      <ns0:c r="E1005" s="31"/>
      <ns0:c r="F1005" s="32"/>
      <ns0:c r="G1005" s="29"/>
      <ns0:c r="H1005" s="29"/>
      <ns0:c r="I1005" s="29"/>
      <ns0:c r="J1005" s="29"/>
      <ns0:c r="K1005" s="29"/>
    </ns0:row>
    <ns0:row r="1006" ht="28" customHeight="1">
      <ns0:c r="A1006" s="29"/>
      <ns0:c r="B1006" s="30"/>
      <ns0:c r="C1006" s="28"/>
      <ns0:c r="D1006" s="29"/>
      <ns0:c r="E1006" s="31"/>
      <ns0:c r="F1006" s="32"/>
      <ns0:c r="G1006" s="29"/>
      <ns0:c r="H1006" s="29"/>
      <ns0:c r="I1006" s="29"/>
      <ns0:c r="J1006" s="29"/>
      <ns0:c r="K1006" s="29"/>
    </ns0:row>
    <ns0:row r="1007" ht="28" customHeight="1">
      <ns0:c r="A1007" s="29"/>
      <ns0:c r="B1007" s="30"/>
      <ns0:c r="C1007" s="28"/>
      <ns0:c r="D1007" s="29"/>
      <ns0:c r="E1007" s="31"/>
      <ns0:c r="F1007" s="32"/>
      <ns0:c r="G1007" s="29"/>
      <ns0:c r="H1007" s="29"/>
      <ns0:c r="I1007" s="29"/>
      <ns0:c r="J1007" s="29"/>
      <ns0:c r="K1007" s="29"/>
    </ns0:row>
    <ns0:row r="1008" ht="28" customHeight="1">
      <ns0:c r="A1008" s="29"/>
      <ns0:c r="B1008" s="30"/>
      <ns0:c r="C1008" s="28"/>
      <ns0:c r="D1008" s="29"/>
      <ns0:c r="E1008" s="31"/>
      <ns0:c r="F1008" s="32"/>
      <ns0:c r="G1008" s="29"/>
      <ns0:c r="H1008" s="29"/>
      <ns0:c r="I1008" s="29"/>
      <ns0:c r="J1008" s="29"/>
      <ns0:c r="K1008" s="29"/>
    </ns0:row>
    <ns0:row r="1009" ht="28" customHeight="1">
      <ns0:c r="A1009" s="29"/>
      <ns0:c r="B1009" s="30"/>
      <ns0:c r="C1009" s="28"/>
      <ns0:c r="D1009" s="29"/>
      <ns0:c r="E1009" s="31"/>
      <ns0:c r="F1009" s="32"/>
      <ns0:c r="G1009" s="29"/>
      <ns0:c r="H1009" s="29"/>
      <ns0:c r="I1009" s="29"/>
      <ns0:c r="J1009" s="29"/>
      <ns0:c r="K1009" s="29"/>
    </ns0:row>
    <ns0:row r="1010" ht="28" customHeight="1">
      <ns0:c r="A1010" s="29"/>
      <ns0:c r="B1010" s="30"/>
      <ns0:c r="C1010" s="28"/>
      <ns0:c r="D1010" s="29"/>
      <ns0:c r="E1010" s="31"/>
      <ns0:c r="F1010" s="32"/>
      <ns0:c r="G1010" s="29"/>
      <ns0:c r="H1010" s="29"/>
      <ns0:c r="I1010" s="29"/>
      <ns0:c r="J1010" s="29"/>
      <ns0:c r="K1010" s="29"/>
    </ns0:row>
    <ns0:row r="1011" ht="28" customHeight="1">
      <ns0:c r="A1011" s="29"/>
      <ns0:c r="B1011" s="30"/>
      <ns0:c r="C1011" s="28"/>
      <ns0:c r="D1011" s="29"/>
      <ns0:c r="E1011" s="31"/>
      <ns0:c r="F1011" s="32"/>
      <ns0:c r="G1011" s="29"/>
      <ns0:c r="H1011" s="29"/>
      <ns0:c r="I1011" s="29"/>
      <ns0:c r="J1011" s="29"/>
      <ns0:c r="K1011" s="29"/>
    </ns0:row>
    <ns0:row r="1012" ht="28" customHeight="1">
      <ns0:c r="A1012" s="29"/>
      <ns0:c r="B1012" s="30"/>
      <ns0:c r="C1012" s="28"/>
      <ns0:c r="D1012" s="29"/>
      <ns0:c r="E1012" s="31"/>
      <ns0:c r="F1012" s="32"/>
      <ns0:c r="G1012" s="29"/>
      <ns0:c r="H1012" s="29"/>
      <ns0:c r="I1012" s="29"/>
      <ns0:c r="J1012" s="29"/>
      <ns0:c r="K1012" s="29"/>
    </ns0:row>
    <ns0:row r="1013" ht="28" customHeight="1">
      <ns0:c r="A1013" s="29"/>
      <ns0:c r="B1013" s="30"/>
      <ns0:c r="C1013" s="28"/>
      <ns0:c r="D1013" s="29"/>
      <ns0:c r="E1013" s="31"/>
      <ns0:c r="F1013" s="32"/>
      <ns0:c r="G1013" s="29"/>
      <ns0:c r="H1013" s="29"/>
      <ns0:c r="I1013" s="29"/>
      <ns0:c r="J1013" s="29"/>
      <ns0:c r="K1013" s="29"/>
    </ns0:row>
    <ns0:row r="1014" ht="28" customHeight="1">
      <ns0:c r="A1014" s="29"/>
      <ns0:c r="B1014" s="30"/>
      <ns0:c r="C1014" s="28"/>
      <ns0:c r="D1014" s="29"/>
      <ns0:c r="E1014" s="31"/>
      <ns0:c r="F1014" s="32"/>
      <ns0:c r="G1014" s="29"/>
      <ns0:c r="H1014" s="29"/>
      <ns0:c r="I1014" s="29"/>
      <ns0:c r="J1014" s="29"/>
      <ns0:c r="K1014" s="29"/>
    </ns0:row>
    <ns0:row r="1015" ht="28" customHeight="1">
      <ns0:c r="A1015" s="29"/>
      <ns0:c r="B1015" s="30"/>
      <ns0:c r="C1015" s="28"/>
      <ns0:c r="D1015" s="29"/>
      <ns0:c r="E1015" s="31"/>
      <ns0:c r="F1015" s="32"/>
      <ns0:c r="G1015" s="29"/>
      <ns0:c r="H1015" s="29"/>
      <ns0:c r="I1015" s="29"/>
      <ns0:c r="J1015" s="29"/>
      <ns0:c r="K1015" s="29"/>
    </ns0:row>
    <ns0:row r="1016" ht="28" customHeight="1">
      <ns0:c r="A1016" s="29"/>
      <ns0:c r="B1016" s="30"/>
      <ns0:c r="C1016" s="28"/>
      <ns0:c r="D1016" s="29"/>
      <ns0:c r="E1016" s="31"/>
      <ns0:c r="F1016" s="32"/>
      <ns0:c r="G1016" s="29"/>
      <ns0:c r="H1016" s="29"/>
      <ns0:c r="I1016" s="29"/>
      <ns0:c r="J1016" s="29"/>
      <ns0:c r="K1016" s="29"/>
    </ns0:row>
    <ns0:row r="1017" ht="28" customHeight="1">
      <ns0:c r="A1017" s="29"/>
      <ns0:c r="B1017" s="30"/>
      <ns0:c r="C1017" s="28"/>
      <ns0:c r="D1017" s="29"/>
      <ns0:c r="E1017" s="31"/>
      <ns0:c r="F1017" s="32"/>
      <ns0:c r="G1017" s="29"/>
      <ns0:c r="H1017" s="29"/>
      <ns0:c r="I1017" s="29"/>
      <ns0:c r="J1017" s="29"/>
      <ns0:c r="K1017" s="29"/>
    </ns0:row>
    <ns0:row r="1018" ht="28" customHeight="1">
      <ns0:c r="A1018" s="29"/>
      <ns0:c r="B1018" s="30"/>
      <ns0:c r="C1018" s="28"/>
      <ns0:c r="D1018" s="29"/>
      <ns0:c r="E1018" s="31"/>
      <ns0:c r="F1018" s="32"/>
      <ns0:c r="G1018" s="29"/>
      <ns0:c r="H1018" s="29"/>
      <ns0:c r="I1018" s="29"/>
      <ns0:c r="J1018" s="29"/>
      <ns0:c r="K1018" s="29"/>
    </ns0:row>
    <ns0:row r="1019" ht="28" customHeight="1">
      <ns0:c r="A1019" s="29"/>
      <ns0:c r="B1019" s="30"/>
      <ns0:c r="C1019" s="28"/>
      <ns0:c r="D1019" s="29"/>
      <ns0:c r="E1019" s="31"/>
      <ns0:c r="F1019" s="32"/>
      <ns0:c r="G1019" s="29"/>
      <ns0:c r="H1019" s="29"/>
      <ns0:c r="I1019" s="29"/>
      <ns0:c r="J1019" s="29"/>
      <ns0:c r="K1019" s="29"/>
    </ns0:row>
    <ns0:row r="1020" ht="28" customHeight="1">
      <ns0:c r="A1020" s="29"/>
      <ns0:c r="B1020" s="30"/>
      <ns0:c r="C1020" s="28"/>
      <ns0:c r="D1020" s="29"/>
      <ns0:c r="E1020" s="31"/>
      <ns0:c r="F1020" s="32"/>
      <ns0:c r="G1020" s="29"/>
      <ns0:c r="H1020" s="29"/>
      <ns0:c r="I1020" s="29"/>
      <ns0:c r="J1020" s="29"/>
      <ns0:c r="K1020" s="29"/>
    </ns0:row>
    <ns0:row r="1021" ht="28" customHeight="1">
      <ns0:c r="A1021" s="29"/>
      <ns0:c r="B1021" s="30"/>
      <ns0:c r="C1021" s="28"/>
      <ns0:c r="D1021" s="29"/>
      <ns0:c r="E1021" s="31"/>
      <ns0:c r="F1021" s="32"/>
      <ns0:c r="G1021" s="29"/>
      <ns0:c r="H1021" s="29"/>
      <ns0:c r="I1021" s="29"/>
      <ns0:c r="J1021" s="29"/>
      <ns0:c r="K1021" s="29"/>
    </ns0:row>
    <ns0:row r="1022" ht="28" customHeight="1">
      <ns0:c r="A1022" s="29"/>
      <ns0:c r="B1022" s="30"/>
      <ns0:c r="C1022" s="28"/>
      <ns0:c r="D1022" s="29"/>
      <ns0:c r="E1022" s="31"/>
      <ns0:c r="F1022" s="32"/>
      <ns0:c r="G1022" s="29"/>
      <ns0:c r="H1022" s="29"/>
      <ns0:c r="I1022" s="29"/>
      <ns0:c r="J1022" s="29"/>
      <ns0:c r="K1022" s="29"/>
    </ns0:row>
    <ns0:row r="1023" ht="28" customHeight="1">
      <ns0:c r="A1023" s="29"/>
      <ns0:c r="B1023" s="30"/>
      <ns0:c r="C1023" s="28"/>
      <ns0:c r="D1023" s="29"/>
      <ns0:c r="E1023" s="31"/>
      <ns0:c r="F1023" s="32"/>
      <ns0:c r="G1023" s="29"/>
      <ns0:c r="H1023" s="29"/>
      <ns0:c r="I1023" s="29"/>
      <ns0:c r="J1023" s="29"/>
      <ns0:c r="K1023" s="29"/>
    </ns0:row>
    <ns0:row r="1024" ht="28" customHeight="1">
      <ns0:c r="A1024" s="29"/>
      <ns0:c r="B1024" s="30"/>
      <ns0:c r="C1024" s="28"/>
      <ns0:c r="D1024" s="29"/>
      <ns0:c r="E1024" s="31"/>
      <ns0:c r="F1024" s="32"/>
      <ns0:c r="G1024" s="29"/>
      <ns0:c r="H1024" s="29"/>
      <ns0:c r="I1024" s="29"/>
      <ns0:c r="J1024" s="29"/>
      <ns0:c r="K1024" s="29"/>
    </ns0:row>
    <ns0:row r="1025" ht="28" customHeight="1">
      <ns0:c r="A1025" s="29"/>
      <ns0:c r="B1025" s="30"/>
      <ns0:c r="C1025" s="28"/>
      <ns0:c r="D1025" s="29"/>
      <ns0:c r="E1025" s="31"/>
      <ns0:c r="F1025" s="32"/>
      <ns0:c r="G1025" s="29"/>
      <ns0:c r="H1025" s="29"/>
      <ns0:c r="I1025" s="29"/>
      <ns0:c r="J1025" s="29"/>
      <ns0:c r="K1025" s="29"/>
    </ns0:row>
    <ns0:row r="1026" ht="28" customHeight="1">
      <ns0:c r="A1026" s="29"/>
      <ns0:c r="B1026" s="30"/>
      <ns0:c r="C1026" s="28"/>
      <ns0:c r="D1026" s="29"/>
      <ns0:c r="E1026" s="31"/>
      <ns0:c r="F1026" s="32"/>
      <ns0:c r="G1026" s="29"/>
      <ns0:c r="H1026" s="29"/>
      <ns0:c r="I1026" s="29"/>
      <ns0:c r="J1026" s="29"/>
      <ns0:c r="K1026" s="29"/>
    </ns0:row>
    <ns0:row r="1027" ht="28" customHeight="1">
      <ns0:c r="A1027" s="29"/>
      <ns0:c r="B1027" s="30"/>
      <ns0:c r="C1027" s="28"/>
      <ns0:c r="D1027" s="29"/>
      <ns0:c r="E1027" s="31"/>
      <ns0:c r="F1027" s="32"/>
      <ns0:c r="G1027" s="29"/>
      <ns0:c r="H1027" s="29"/>
      <ns0:c r="I1027" s="29"/>
      <ns0:c r="J1027" s="29"/>
      <ns0:c r="K1027" s="29"/>
    </ns0:row>
    <ns0:row r="1028" ht="28" customHeight="1">
      <ns0:c r="A1028" s="29"/>
      <ns0:c r="B1028" s="30"/>
      <ns0:c r="C1028" s="28"/>
      <ns0:c r="D1028" s="29"/>
      <ns0:c r="E1028" s="31"/>
      <ns0:c r="F1028" s="32"/>
      <ns0:c r="G1028" s="29"/>
      <ns0:c r="H1028" s="29"/>
      <ns0:c r="I1028" s="29"/>
      <ns0:c r="J1028" s="29"/>
      <ns0:c r="K1028" s="29"/>
    </ns0:row>
    <ns0:row r="1029" ht="28" customHeight="1">
      <ns0:c r="A1029" s="29"/>
      <ns0:c r="B1029" s="30"/>
      <ns0:c r="C1029" s="28"/>
      <ns0:c r="D1029" s="29"/>
      <ns0:c r="E1029" s="31"/>
      <ns0:c r="F1029" s="32"/>
      <ns0:c r="G1029" s="29"/>
      <ns0:c r="H1029" s="29"/>
      <ns0:c r="I1029" s="29"/>
      <ns0:c r="J1029" s="29"/>
      <ns0:c r="K1029" s="29"/>
    </ns0:row>
    <ns0:row r="1030" ht="28" customHeight="1">
      <ns0:c r="A1030" s="29"/>
      <ns0:c r="B1030" s="30"/>
      <ns0:c r="C1030" s="28"/>
      <ns0:c r="D1030" s="29"/>
      <ns0:c r="E1030" s="31"/>
      <ns0:c r="F1030" s="32"/>
      <ns0:c r="G1030" s="29"/>
      <ns0:c r="H1030" s="29"/>
      <ns0:c r="I1030" s="29"/>
      <ns0:c r="J1030" s="29"/>
      <ns0:c r="K1030" s="29"/>
    </ns0:row>
    <ns0:row r="1031" ht="28" customHeight="1">
      <ns0:c r="A1031" s="29"/>
      <ns0:c r="B1031" s="30"/>
      <ns0:c r="C1031" s="28"/>
      <ns0:c r="D1031" s="29"/>
      <ns0:c r="E1031" s="31"/>
      <ns0:c r="F1031" s="32"/>
      <ns0:c r="G1031" s="29"/>
      <ns0:c r="H1031" s="29"/>
      <ns0:c r="I1031" s="29"/>
      <ns0:c r="J1031" s="29"/>
      <ns0:c r="K1031" s="29"/>
    </ns0:row>
    <ns0:row r="1032" ht="28" customHeight="1">
      <ns0:c r="A1032" s="29"/>
      <ns0:c r="B1032" s="30"/>
      <ns0:c r="C1032" s="28"/>
      <ns0:c r="D1032" s="29"/>
      <ns0:c r="E1032" s="31"/>
      <ns0:c r="F1032" s="32"/>
      <ns0:c r="G1032" s="29"/>
      <ns0:c r="H1032" s="29"/>
      <ns0:c r="I1032" s="29"/>
      <ns0:c r="J1032" s="29"/>
      <ns0:c r="K1032" s="29"/>
    </ns0:row>
    <ns0:row r="1033" ht="28" customHeight="1">
      <ns0:c r="A1033" s="29"/>
      <ns0:c r="B1033" s="30"/>
      <ns0:c r="C1033" s="28"/>
      <ns0:c r="D1033" s="29"/>
      <ns0:c r="E1033" s="31"/>
      <ns0:c r="F1033" s="32"/>
      <ns0:c r="G1033" s="29"/>
      <ns0:c r="H1033" s="29"/>
      <ns0:c r="I1033" s="29"/>
      <ns0:c r="J1033" s="29"/>
      <ns0:c r="K1033" s="29"/>
    </ns0:row>
    <ns0:row r="1034" ht="28" customHeight="1">
      <ns0:c r="A1034" s="29"/>
      <ns0:c r="B1034" s="30"/>
      <ns0:c r="C1034" s="28"/>
      <ns0:c r="D1034" s="29"/>
      <ns0:c r="E1034" s="31"/>
      <ns0:c r="F1034" s="32"/>
      <ns0:c r="G1034" s="29"/>
      <ns0:c r="H1034" s="29"/>
      <ns0:c r="I1034" s="29"/>
      <ns0:c r="J1034" s="29"/>
      <ns0:c r="K1034" s="29"/>
    </ns0:row>
    <ns0:row r="1035" ht="28" customHeight="1">
      <ns0:c r="A1035" s="29"/>
      <ns0:c r="B1035" s="30"/>
      <ns0:c r="C1035" s="28"/>
      <ns0:c r="D1035" s="29"/>
      <ns0:c r="E1035" s="31"/>
      <ns0:c r="F1035" s="32"/>
      <ns0:c r="G1035" s="29"/>
      <ns0:c r="H1035" s="29"/>
      <ns0:c r="I1035" s="29"/>
      <ns0:c r="J1035" s="29"/>
      <ns0:c r="K1035" s="29"/>
    </ns0:row>
    <ns0:row r="1036" ht="28" customHeight="1">
      <ns0:c r="A1036" s="29"/>
      <ns0:c r="B1036" s="30"/>
      <ns0:c r="C1036" s="28"/>
      <ns0:c r="D1036" s="29"/>
      <ns0:c r="E1036" s="31"/>
      <ns0:c r="F1036" s="32"/>
      <ns0:c r="G1036" s="29"/>
      <ns0:c r="H1036" s="29"/>
      <ns0:c r="I1036" s="29"/>
      <ns0:c r="J1036" s="29"/>
      <ns0:c r="K1036" s="29"/>
    </ns0:row>
    <ns0:row r="1037" ht="28" customHeight="1">
      <ns0:c r="A1037" s="29"/>
      <ns0:c r="B1037" s="30"/>
      <ns0:c r="C1037" s="28"/>
      <ns0:c r="D1037" s="29"/>
      <ns0:c r="E1037" s="31"/>
      <ns0:c r="F1037" s="32"/>
      <ns0:c r="G1037" s="29"/>
      <ns0:c r="H1037" s="29"/>
      <ns0:c r="I1037" s="29"/>
      <ns0:c r="J1037" s="29"/>
      <ns0:c r="K1037" s="29"/>
    </ns0:row>
    <ns0:row r="1038" ht="28" customHeight="1">
      <ns0:c r="A1038" s="29"/>
      <ns0:c r="B1038" s="30"/>
      <ns0:c r="C1038" s="28"/>
      <ns0:c r="D1038" s="29"/>
      <ns0:c r="E1038" s="31"/>
      <ns0:c r="F1038" s="32"/>
      <ns0:c r="G1038" s="29"/>
      <ns0:c r="H1038" s="29"/>
      <ns0:c r="I1038" s="29"/>
      <ns0:c r="J1038" s="29"/>
      <ns0:c r="K1038" s="29"/>
    </ns0:row>
    <ns0:row r="1039" ht="28" customHeight="1">
      <ns0:c r="A1039" s="29"/>
      <ns0:c r="B1039" s="30"/>
      <ns0:c r="C1039" s="28"/>
      <ns0:c r="D1039" s="29"/>
      <ns0:c r="E1039" s="31"/>
      <ns0:c r="F1039" s="32"/>
      <ns0:c r="G1039" s="29"/>
      <ns0:c r="H1039" s="29"/>
      <ns0:c r="I1039" s="29"/>
      <ns0:c r="J1039" s="29"/>
      <ns0:c r="K1039" s="29"/>
    </ns0:row>
    <ns0:row r="1040" ht="28" customHeight="1">
      <ns0:c r="A1040" s="29"/>
      <ns0:c r="B1040" s="30"/>
      <ns0:c r="C1040" s="28"/>
      <ns0:c r="D1040" s="29"/>
      <ns0:c r="E1040" s="31"/>
      <ns0:c r="F1040" s="32"/>
      <ns0:c r="G1040" s="29"/>
      <ns0:c r="H1040" s="29"/>
      <ns0:c r="I1040" s="29"/>
      <ns0:c r="J1040" s="29"/>
      <ns0:c r="K1040" s="29"/>
    </ns0:row>
    <ns0:row r="1041" ht="28" customHeight="1">
      <ns0:c r="A1041" s="29"/>
      <ns0:c r="B1041" s="30"/>
      <ns0:c r="C1041" s="28"/>
      <ns0:c r="D1041" s="29"/>
      <ns0:c r="E1041" s="31"/>
      <ns0:c r="F1041" s="32"/>
      <ns0:c r="G1041" s="29"/>
      <ns0:c r="H1041" s="29"/>
      <ns0:c r="I1041" s="29"/>
      <ns0:c r="J1041" s="29"/>
      <ns0:c r="K1041" s="29"/>
    </ns0:row>
    <ns0:row r="1042" ht="28" customHeight="1">
      <ns0:c r="A1042" s="29"/>
      <ns0:c r="B1042" s="30"/>
      <ns0:c r="C1042" s="28"/>
      <ns0:c r="D1042" s="29"/>
      <ns0:c r="E1042" s="31"/>
      <ns0:c r="F1042" s="32"/>
      <ns0:c r="G1042" s="29"/>
      <ns0:c r="H1042" s="29"/>
      <ns0:c r="I1042" s="29"/>
      <ns0:c r="J1042" s="29"/>
      <ns0:c r="K1042" s="29"/>
    </ns0:row>
    <ns0:row r="1043" ht="28" customHeight="1">
      <ns0:c r="A1043" s="29"/>
      <ns0:c r="B1043" s="30"/>
      <ns0:c r="C1043" s="28"/>
      <ns0:c r="D1043" s="29"/>
      <ns0:c r="E1043" s="31"/>
      <ns0:c r="F1043" s="32"/>
      <ns0:c r="G1043" s="29"/>
      <ns0:c r="H1043" s="29"/>
      <ns0:c r="I1043" s="29"/>
      <ns0:c r="J1043" s="29"/>
      <ns0:c r="K1043" s="29"/>
    </ns0:row>
    <ns0:row r="1044" ht="28" customHeight="1">
      <ns0:c r="A1044" s="29"/>
      <ns0:c r="B1044" s="30"/>
      <ns0:c r="C1044" s="28"/>
      <ns0:c r="D1044" s="29"/>
      <ns0:c r="E1044" s="31"/>
      <ns0:c r="F1044" s="32"/>
      <ns0:c r="G1044" s="29"/>
      <ns0:c r="H1044" s="29"/>
      <ns0:c r="I1044" s="29"/>
      <ns0:c r="J1044" s="29"/>
      <ns0:c r="K1044" s="29"/>
    </ns0:row>
    <ns0:row r="1045" ht="28" customHeight="1">
      <ns0:c r="A1045" s="29"/>
      <ns0:c r="B1045" s="30"/>
      <ns0:c r="C1045" s="28"/>
      <ns0:c r="D1045" s="29"/>
      <ns0:c r="E1045" s="31"/>
      <ns0:c r="F1045" s="32"/>
      <ns0:c r="G1045" s="29"/>
      <ns0:c r="H1045" s="29"/>
      <ns0:c r="I1045" s="29"/>
      <ns0:c r="J1045" s="29"/>
      <ns0:c r="K1045" s="29"/>
    </ns0:row>
    <ns0:row r="1046" ht="28" customHeight="1">
      <ns0:c r="A1046" s="29"/>
      <ns0:c r="B1046" s="30"/>
      <ns0:c r="C1046" s="28"/>
      <ns0:c r="D1046" s="29"/>
      <ns0:c r="E1046" s="31"/>
      <ns0:c r="F1046" s="32"/>
      <ns0:c r="G1046" s="29"/>
      <ns0:c r="H1046" s="29"/>
      <ns0:c r="I1046" s="29"/>
      <ns0:c r="J1046" s="29"/>
      <ns0:c r="K1046" s="29"/>
    </ns0:row>
    <ns0:row r="1047" ht="28" customHeight="1">
      <ns0:c r="A1047" s="29"/>
      <ns0:c r="B1047" s="30"/>
      <ns0:c r="C1047" s="28"/>
      <ns0:c r="D1047" s="29"/>
      <ns0:c r="E1047" s="31"/>
      <ns0:c r="F1047" s="32"/>
      <ns0:c r="G1047" s="29"/>
      <ns0:c r="H1047" s="29"/>
      <ns0:c r="I1047" s="29"/>
      <ns0:c r="J1047" s="29"/>
      <ns0:c r="K1047" s="29"/>
    </ns0:row>
    <ns0:row r="1048" ht="28" customHeight="1">
      <ns0:c r="A1048" s="29"/>
      <ns0:c r="B1048" s="30"/>
      <ns0:c r="C1048" s="28"/>
      <ns0:c r="D1048" s="29"/>
      <ns0:c r="E1048" s="31"/>
      <ns0:c r="F1048" s="32"/>
      <ns0:c r="G1048" s="29"/>
      <ns0:c r="H1048" s="29"/>
      <ns0:c r="I1048" s="29"/>
      <ns0:c r="J1048" s="29"/>
      <ns0:c r="K1048" s="29"/>
    </ns0:row>
    <ns0:row r="1049" ht="28" customHeight="1">
      <ns0:c r="A1049" s="29"/>
      <ns0:c r="B1049" s="30"/>
      <ns0:c r="C1049" s="28"/>
      <ns0:c r="D1049" s="29"/>
      <ns0:c r="E1049" s="31"/>
      <ns0:c r="F1049" s="32"/>
      <ns0:c r="G1049" s="29"/>
      <ns0:c r="H1049" s="29"/>
      <ns0:c r="I1049" s="29"/>
      <ns0:c r="J1049" s="29"/>
      <ns0:c r="K1049" s="29"/>
    </ns0:row>
    <ns0:row r="1050" ht="28" customHeight="1">
      <ns0:c r="A1050" s="29"/>
      <ns0:c r="B1050" s="30"/>
      <ns0:c r="C1050" s="28"/>
      <ns0:c r="D1050" s="29"/>
      <ns0:c r="E1050" s="31"/>
      <ns0:c r="F1050" s="32"/>
      <ns0:c r="G1050" s="29"/>
      <ns0:c r="H1050" s="29"/>
      <ns0:c r="I1050" s="29"/>
      <ns0:c r="J1050" s="29"/>
      <ns0:c r="K1050" s="29"/>
    </ns0:row>
    <ns0:row r="1051" ht="28" customHeight="1">
      <ns0:c r="A1051" s="29"/>
      <ns0:c r="B1051" s="30"/>
      <ns0:c r="C1051" s="28"/>
      <ns0:c r="D1051" s="29"/>
      <ns0:c r="E1051" s="31"/>
      <ns0:c r="F1051" s="32"/>
      <ns0:c r="G1051" s="29"/>
      <ns0:c r="H1051" s="29"/>
      <ns0:c r="I1051" s="29"/>
      <ns0:c r="J1051" s="29"/>
      <ns0:c r="K1051" s="29"/>
    </ns0:row>
    <ns0:row r="1052" ht="28" customHeight="1">
      <ns0:c r="A1052" s="29"/>
      <ns0:c r="B1052" s="30"/>
      <ns0:c r="C1052" s="28"/>
      <ns0:c r="D1052" s="29"/>
      <ns0:c r="E1052" s="31"/>
      <ns0:c r="F1052" s="32"/>
      <ns0:c r="G1052" s="29"/>
      <ns0:c r="H1052" s="29"/>
      <ns0:c r="I1052" s="29"/>
      <ns0:c r="J1052" s="29"/>
      <ns0:c r="K1052" s="29"/>
    </ns0:row>
    <ns0:row r="1053" ht="28" customHeight="1">
      <ns0:c r="A1053" s="29"/>
      <ns0:c r="B1053" s="30"/>
      <ns0:c r="C1053" s="28"/>
      <ns0:c r="D1053" s="29"/>
      <ns0:c r="E1053" s="31"/>
      <ns0:c r="F1053" s="32"/>
      <ns0:c r="G1053" s="29"/>
      <ns0:c r="H1053" s="29"/>
      <ns0:c r="I1053" s="29"/>
      <ns0:c r="J1053" s="29"/>
      <ns0:c r="K1053" s="29"/>
    </ns0:row>
    <ns0:row r="1054" ht="28" customHeight="1">
      <ns0:c r="A1054" s="29"/>
      <ns0:c r="B1054" s="30"/>
      <ns0:c r="C1054" s="28"/>
      <ns0:c r="D1054" s="29"/>
      <ns0:c r="E1054" s="31"/>
      <ns0:c r="F1054" s="32"/>
      <ns0:c r="G1054" s="29"/>
      <ns0:c r="H1054" s="29"/>
      <ns0:c r="I1054" s="29"/>
      <ns0:c r="J1054" s="29"/>
      <ns0:c r="K1054" s="29"/>
    </ns0:row>
    <ns0:row r="1055" ht="28" customHeight="1">
      <ns0:c r="A1055" s="29"/>
      <ns0:c r="B1055" s="30"/>
      <ns0:c r="C1055" s="28"/>
      <ns0:c r="D1055" s="29"/>
      <ns0:c r="E1055" s="31"/>
      <ns0:c r="F1055" s="32"/>
      <ns0:c r="G1055" s="29"/>
      <ns0:c r="H1055" s="29"/>
      <ns0:c r="I1055" s="29"/>
      <ns0:c r="J1055" s="29"/>
      <ns0:c r="K1055" s="29"/>
    </ns0:row>
    <ns0:row r="1056" ht="28" customHeight="1">
      <ns0:c r="A1056" s="29"/>
      <ns0:c r="B1056" s="30"/>
      <ns0:c r="C1056" s="28"/>
      <ns0:c r="D1056" s="29"/>
      <ns0:c r="E1056" s="31"/>
      <ns0:c r="F1056" s="32"/>
      <ns0:c r="G1056" s="29"/>
      <ns0:c r="H1056" s="29"/>
      <ns0:c r="I1056" s="29"/>
      <ns0:c r="J1056" s="29"/>
      <ns0:c r="K1056" s="29"/>
    </ns0:row>
    <ns0:row r="1057" ht="28" customHeight="1">
      <ns0:c r="A1057" s="29"/>
      <ns0:c r="B1057" s="30"/>
      <ns0:c r="C1057" s="28"/>
      <ns0:c r="D1057" s="29"/>
      <ns0:c r="E1057" s="31"/>
      <ns0:c r="F1057" s="32"/>
      <ns0:c r="G1057" s="29"/>
      <ns0:c r="H1057" s="29"/>
      <ns0:c r="I1057" s="29"/>
      <ns0:c r="J1057" s="29"/>
      <ns0:c r="K1057" s="29"/>
    </ns0:row>
    <ns0:row r="1058" ht="28" customHeight="1">
      <ns0:c r="A1058" s="29"/>
      <ns0:c r="B1058" s="30"/>
      <ns0:c r="C1058" s="28"/>
      <ns0:c r="D1058" s="29"/>
      <ns0:c r="E1058" s="31"/>
      <ns0:c r="F1058" s="32"/>
      <ns0:c r="G1058" s="29"/>
      <ns0:c r="H1058" s="29"/>
      <ns0:c r="I1058" s="29"/>
      <ns0:c r="J1058" s="29"/>
      <ns0:c r="K1058" s="29"/>
    </ns0:row>
    <ns0:row r="1059" ht="28" customHeight="1">
      <ns0:c r="A1059" s="29"/>
      <ns0:c r="B1059" s="30"/>
      <ns0:c r="C1059" s="28"/>
      <ns0:c r="D1059" s="29"/>
      <ns0:c r="E1059" s="31"/>
      <ns0:c r="F1059" s="32"/>
      <ns0:c r="G1059" s="29"/>
      <ns0:c r="H1059" s="29"/>
      <ns0:c r="I1059" s="29"/>
      <ns0:c r="J1059" s="29"/>
      <ns0:c r="K1059" s="29"/>
    </ns0:row>
    <ns0:row r="1060" ht="28" customHeight="1">
      <ns0:c r="A1060" s="29"/>
      <ns0:c r="B1060" s="30"/>
      <ns0:c r="C1060" s="28"/>
      <ns0:c r="D1060" s="29"/>
      <ns0:c r="E1060" s="31"/>
      <ns0:c r="F1060" s="32"/>
      <ns0:c r="G1060" s="29"/>
      <ns0:c r="H1060" s="29"/>
      <ns0:c r="I1060" s="29"/>
      <ns0:c r="J1060" s="29"/>
      <ns0:c r="K1060" s="29"/>
    </ns0:row>
    <ns0:row r="1061" ht="28" customHeight="1">
      <ns0:c r="A1061" s="29"/>
      <ns0:c r="B1061" s="30"/>
      <ns0:c r="C1061" s="28"/>
      <ns0:c r="D1061" s="29"/>
      <ns0:c r="E1061" s="31"/>
      <ns0:c r="F1061" s="32"/>
      <ns0:c r="G1061" s="29"/>
      <ns0:c r="H1061" s="29"/>
      <ns0:c r="I1061" s="29"/>
      <ns0:c r="J1061" s="29"/>
      <ns0:c r="K1061" s="29"/>
    </ns0:row>
    <ns0:row r="1062" ht="28" customHeight="1">
      <ns0:c r="A1062" s="29"/>
      <ns0:c r="B1062" s="30"/>
      <ns0:c r="C1062" s="28"/>
      <ns0:c r="D1062" s="29"/>
      <ns0:c r="E1062" s="31"/>
      <ns0:c r="F1062" s="32"/>
      <ns0:c r="G1062" s="29"/>
      <ns0:c r="H1062" s="29"/>
      <ns0:c r="I1062" s="29"/>
      <ns0:c r="J1062" s="29"/>
      <ns0:c r="K1062" s="29"/>
    </ns0:row>
    <ns0:row r="1063" ht="28" customHeight="1">
      <ns0:c r="A1063" s="29"/>
      <ns0:c r="B1063" s="30"/>
      <ns0:c r="C1063" s="28"/>
      <ns0:c r="D1063" s="29"/>
      <ns0:c r="E1063" s="31"/>
      <ns0:c r="F1063" s="32"/>
      <ns0:c r="G1063" s="29"/>
      <ns0:c r="H1063" s="29"/>
      <ns0:c r="I1063" s="29"/>
      <ns0:c r="J1063" s="29"/>
      <ns0:c r="K1063" s="29"/>
    </ns0:row>
    <ns0:row r="1064" ht="28" customHeight="1">
      <ns0:c r="A1064" s="29"/>
      <ns0:c r="B1064" s="30"/>
      <ns0:c r="C1064" s="28"/>
      <ns0:c r="D1064" s="29"/>
      <ns0:c r="E1064" s="31"/>
      <ns0:c r="F1064" s="32"/>
      <ns0:c r="G1064" s="29"/>
      <ns0:c r="H1064" s="29"/>
      <ns0:c r="I1064" s="29"/>
      <ns0:c r="J1064" s="29"/>
      <ns0:c r="K1064" s="29"/>
    </ns0:row>
    <ns0:row r="1065" ht="28" customHeight="1">
      <ns0:c r="A1065" s="29"/>
      <ns0:c r="B1065" s="30"/>
      <ns0:c r="C1065" s="28"/>
      <ns0:c r="D1065" s="29"/>
      <ns0:c r="E1065" s="31"/>
      <ns0:c r="F1065" s="32"/>
      <ns0:c r="G1065" s="29"/>
      <ns0:c r="H1065" s="29"/>
      <ns0:c r="I1065" s="29"/>
      <ns0:c r="J1065" s="29"/>
      <ns0:c r="K1065" s="29"/>
    </ns0:row>
    <ns0:row r="1066" ht="28" customHeight="1">
      <ns0:c r="A1066" s="29"/>
      <ns0:c r="B1066" s="30"/>
      <ns0:c r="C1066" s="28"/>
      <ns0:c r="D1066" s="29"/>
      <ns0:c r="E1066" s="31"/>
      <ns0:c r="F1066" s="32"/>
      <ns0:c r="G1066" s="29"/>
      <ns0:c r="H1066" s="29"/>
      <ns0:c r="I1066" s="29"/>
      <ns0:c r="J1066" s="29"/>
      <ns0:c r="K1066" s="29"/>
    </ns0:row>
    <ns0:row r="1067" ht="28" customHeight="1">
      <ns0:c r="A1067" s="29"/>
      <ns0:c r="B1067" s="30"/>
      <ns0:c r="C1067" s="28"/>
      <ns0:c r="D1067" s="29"/>
      <ns0:c r="E1067" s="31"/>
      <ns0:c r="F1067" s="32"/>
      <ns0:c r="G1067" s="29"/>
      <ns0:c r="H1067" s="29"/>
      <ns0:c r="I1067" s="29"/>
      <ns0:c r="J1067" s="29"/>
      <ns0:c r="K1067" s="29"/>
    </ns0:row>
    <ns0:row r="1068" ht="28" customHeight="1">
      <ns0:c r="A1068" s="29"/>
      <ns0:c r="B1068" s="30"/>
      <ns0:c r="C1068" s="28"/>
      <ns0:c r="D1068" s="29"/>
      <ns0:c r="E1068" s="31"/>
      <ns0:c r="F1068" s="32"/>
      <ns0:c r="G1068" s="29"/>
      <ns0:c r="H1068" s="29"/>
      <ns0:c r="I1068" s="29"/>
      <ns0:c r="J1068" s="29"/>
      <ns0:c r="K1068" s="29"/>
    </ns0:row>
    <ns0:row r="1069" ht="28" customHeight="1">
      <ns0:c r="A1069" s="29"/>
      <ns0:c r="B1069" s="30"/>
      <ns0:c r="C1069" s="28"/>
      <ns0:c r="D1069" s="29"/>
      <ns0:c r="E1069" s="31"/>
      <ns0:c r="F1069" s="32"/>
      <ns0:c r="G1069" s="29"/>
      <ns0:c r="H1069" s="29"/>
      <ns0:c r="I1069" s="29"/>
      <ns0:c r="J1069" s="29"/>
      <ns0:c r="K1069" s="29"/>
    </ns0:row>
    <ns0:row r="1070" ht="28" customHeight="1">
      <ns0:c r="A1070" s="29"/>
      <ns0:c r="B1070" s="30"/>
      <ns0:c r="C1070" s="28"/>
      <ns0:c r="D1070" s="29"/>
      <ns0:c r="E1070" s="31"/>
      <ns0:c r="F1070" s="32"/>
      <ns0:c r="G1070" s="29"/>
      <ns0:c r="H1070" s="29"/>
      <ns0:c r="I1070" s="29"/>
      <ns0:c r="J1070" s="29"/>
      <ns0:c r="K1070" s="29"/>
    </ns0:row>
    <ns0:row r="1071" ht="28" customHeight="1">
      <ns0:c r="A1071" s="29"/>
      <ns0:c r="B1071" s="30"/>
      <ns0:c r="C1071" s="28"/>
      <ns0:c r="D1071" s="29"/>
      <ns0:c r="E1071" s="31"/>
      <ns0:c r="F1071" s="32"/>
      <ns0:c r="G1071" s="29"/>
      <ns0:c r="H1071" s="29"/>
      <ns0:c r="I1071" s="29"/>
      <ns0:c r="J1071" s="29"/>
      <ns0:c r="K1071" s="29"/>
    </ns0:row>
    <ns0:row r="1072" ht="28" customHeight="1">
      <ns0:c r="A1072" s="29"/>
      <ns0:c r="B1072" s="30"/>
      <ns0:c r="C1072" s="28"/>
      <ns0:c r="D1072" s="29"/>
      <ns0:c r="E1072" s="31"/>
      <ns0:c r="F1072" s="32"/>
      <ns0:c r="G1072" s="29"/>
      <ns0:c r="H1072" s="29"/>
      <ns0:c r="I1072" s="29"/>
      <ns0:c r="J1072" s="29"/>
      <ns0:c r="K1072" s="29"/>
    </ns0:row>
    <ns0:row r="1073" ht="28" customHeight="1">
      <ns0:c r="A1073" s="29"/>
      <ns0:c r="B1073" s="30"/>
      <ns0:c r="C1073" s="28"/>
      <ns0:c r="D1073" s="29"/>
      <ns0:c r="E1073" s="31"/>
      <ns0:c r="F1073" s="32"/>
      <ns0:c r="G1073" s="29"/>
      <ns0:c r="H1073" s="29"/>
      <ns0:c r="I1073" s="29"/>
      <ns0:c r="J1073" s="29"/>
      <ns0:c r="K1073" s="29"/>
    </ns0:row>
    <ns0:row r="1074" ht="28" customHeight="1">
      <ns0:c r="A1074" s="29"/>
      <ns0:c r="B1074" s="30"/>
      <ns0:c r="C1074" s="28"/>
      <ns0:c r="D1074" s="29"/>
      <ns0:c r="E1074" s="31"/>
      <ns0:c r="F1074" s="32"/>
      <ns0:c r="G1074" s="29"/>
      <ns0:c r="H1074" s="29"/>
      <ns0:c r="I1074" s="29"/>
      <ns0:c r="J1074" s="29"/>
      <ns0:c r="K1074" s="29"/>
    </ns0:row>
    <ns0:row r="1075" ht="28" customHeight="1">
      <ns0:c r="A1075" s="29"/>
      <ns0:c r="B1075" s="30"/>
      <ns0:c r="C1075" s="28"/>
      <ns0:c r="D1075" s="29"/>
      <ns0:c r="E1075" s="31"/>
      <ns0:c r="F1075" s="32"/>
      <ns0:c r="G1075" s="29"/>
      <ns0:c r="H1075" s="29"/>
      <ns0:c r="I1075" s="29"/>
      <ns0:c r="J1075" s="29"/>
      <ns0:c r="K1075" s="29"/>
    </ns0:row>
    <ns0:row r="1076" ht="28" customHeight="1">
      <ns0:c r="A1076" s="29"/>
      <ns0:c r="B1076" s="30"/>
      <ns0:c r="C1076" s="28"/>
      <ns0:c r="D1076" s="29"/>
      <ns0:c r="E1076" s="31"/>
      <ns0:c r="F1076" s="32"/>
      <ns0:c r="G1076" s="29"/>
      <ns0:c r="H1076" s="29"/>
      <ns0:c r="I1076" s="29"/>
      <ns0:c r="J1076" s="29"/>
      <ns0:c r="K1076" s="29"/>
    </ns0:row>
    <ns0:row r="1077" ht="28" customHeight="1">
      <ns0:c r="A1077" s="29"/>
      <ns0:c r="B1077" s="30"/>
      <ns0:c r="C1077" s="28"/>
      <ns0:c r="D1077" s="29"/>
      <ns0:c r="E1077" s="31"/>
      <ns0:c r="F1077" s="32"/>
      <ns0:c r="G1077" s="29"/>
      <ns0:c r="H1077" s="29"/>
      <ns0:c r="I1077" s="29"/>
      <ns0:c r="J1077" s="29"/>
      <ns0:c r="K1077" s="29"/>
    </ns0:row>
    <ns0:row r="1078" ht="28" customHeight="1">
      <ns0:c r="A1078" s="29"/>
      <ns0:c r="B1078" s="30"/>
      <ns0:c r="C1078" s="28"/>
      <ns0:c r="D1078" s="29"/>
      <ns0:c r="E1078" s="31"/>
      <ns0:c r="F1078" s="32"/>
      <ns0:c r="G1078" s="29"/>
      <ns0:c r="H1078" s="29"/>
      <ns0:c r="I1078" s="29"/>
      <ns0:c r="J1078" s="29"/>
      <ns0:c r="K1078" s="29"/>
    </ns0:row>
    <ns0:row r="1079" ht="28" customHeight="1">
      <ns0:c r="A1079" s="29"/>
      <ns0:c r="B1079" s="30"/>
      <ns0:c r="C1079" s="28"/>
      <ns0:c r="D1079" s="29"/>
      <ns0:c r="E1079" s="31"/>
      <ns0:c r="F1079" s="32"/>
      <ns0:c r="G1079" s="29"/>
      <ns0:c r="H1079" s="29"/>
      <ns0:c r="I1079" s="29"/>
      <ns0:c r="J1079" s="29"/>
      <ns0:c r="K1079" s="29"/>
    </ns0:row>
    <ns0:row r="1080" ht="28" customHeight="1">
      <ns0:c r="A1080" s="29"/>
      <ns0:c r="B1080" s="30"/>
      <ns0:c r="C1080" s="28"/>
      <ns0:c r="D1080" s="29"/>
      <ns0:c r="E1080" s="31"/>
      <ns0:c r="F1080" s="32"/>
      <ns0:c r="G1080" s="29"/>
      <ns0:c r="H1080" s="29"/>
      <ns0:c r="I1080" s="29"/>
      <ns0:c r="J1080" s="29"/>
      <ns0:c r="K1080" s="29"/>
    </ns0:row>
    <ns0:row r="1081" ht="28" customHeight="1">
      <ns0:c r="A1081" s="29"/>
      <ns0:c r="B1081" s="30"/>
      <ns0:c r="C1081" s="28"/>
      <ns0:c r="D1081" s="29"/>
      <ns0:c r="E1081" s="31"/>
      <ns0:c r="F1081" s="32"/>
      <ns0:c r="G1081" s="29"/>
      <ns0:c r="H1081" s="29"/>
      <ns0:c r="I1081" s="29"/>
      <ns0:c r="J1081" s="29"/>
      <ns0:c r="K1081" s="29"/>
    </ns0:row>
    <ns0:row r="1082" ht="28" customHeight="1">
      <ns0:c r="A1082" s="29"/>
      <ns0:c r="B1082" s="30"/>
      <ns0:c r="C1082" s="28"/>
      <ns0:c r="D1082" s="29"/>
      <ns0:c r="E1082" s="31"/>
      <ns0:c r="F1082" s="32"/>
      <ns0:c r="G1082" s="29"/>
      <ns0:c r="H1082" s="29"/>
      <ns0:c r="I1082" s="29"/>
      <ns0:c r="J1082" s="29"/>
      <ns0:c r="K1082" s="29"/>
    </ns0:row>
    <ns0:row r="1083" ht="28" customHeight="1">
      <ns0:c r="A1083" s="29"/>
      <ns0:c r="B1083" s="30"/>
      <ns0:c r="C1083" s="28"/>
      <ns0:c r="D1083" s="29"/>
      <ns0:c r="E1083" s="31"/>
      <ns0:c r="F1083" s="32"/>
      <ns0:c r="G1083" s="29"/>
      <ns0:c r="H1083" s="29"/>
      <ns0:c r="I1083" s="29"/>
      <ns0:c r="J1083" s="29"/>
      <ns0:c r="K1083" s="29"/>
    </ns0:row>
    <ns0:row r="1084" ht="28" customHeight="1">
      <ns0:c r="A1084" s="29"/>
      <ns0:c r="B1084" s="30"/>
      <ns0:c r="C1084" s="28"/>
      <ns0:c r="D1084" s="29"/>
      <ns0:c r="E1084" s="31"/>
      <ns0:c r="F1084" s="32"/>
      <ns0:c r="G1084" s="29"/>
      <ns0:c r="H1084" s="29"/>
      <ns0:c r="I1084" s="29"/>
      <ns0:c r="J1084" s="29"/>
      <ns0:c r="K1084" s="29"/>
    </ns0:row>
    <ns0:row r="1085" ht="28" customHeight="1">
      <ns0:c r="A1085" s="29"/>
      <ns0:c r="B1085" s="30"/>
      <ns0:c r="C1085" s="28"/>
      <ns0:c r="D1085" s="29"/>
      <ns0:c r="E1085" s="31"/>
      <ns0:c r="F1085" s="32"/>
      <ns0:c r="G1085" s="29"/>
      <ns0:c r="H1085" s="29"/>
      <ns0:c r="I1085" s="29"/>
      <ns0:c r="J1085" s="29"/>
      <ns0:c r="K1085" s="29"/>
    </ns0:row>
    <ns0:row r="1086" ht="28" customHeight="1">
      <ns0:c r="A1086" s="29"/>
      <ns0:c r="B1086" s="30"/>
      <ns0:c r="C1086" s="28"/>
      <ns0:c r="D1086" s="29"/>
      <ns0:c r="E1086" s="31"/>
      <ns0:c r="F1086" s="32"/>
      <ns0:c r="G1086" s="29"/>
      <ns0:c r="H1086" s="29"/>
      <ns0:c r="I1086" s="29"/>
      <ns0:c r="J1086" s="29"/>
      <ns0:c r="K1086" s="29"/>
    </ns0:row>
    <ns0:row r="1087" ht="28" customHeight="1">
      <ns0:c r="A1087" s="29"/>
      <ns0:c r="B1087" s="30"/>
      <ns0:c r="C1087" s="28"/>
      <ns0:c r="D1087" s="29"/>
      <ns0:c r="E1087" s="31"/>
      <ns0:c r="F1087" s="32"/>
      <ns0:c r="G1087" s="29"/>
      <ns0:c r="H1087" s="29"/>
      <ns0:c r="I1087" s="29"/>
      <ns0:c r="J1087" s="29"/>
      <ns0:c r="K1087" s="29"/>
    </ns0:row>
    <ns0:row r="1088" ht="28" customHeight="1">
      <ns0:c r="A1088" s="29"/>
      <ns0:c r="B1088" s="30"/>
      <ns0:c r="C1088" s="28"/>
      <ns0:c r="D1088" s="29"/>
      <ns0:c r="E1088" s="31"/>
      <ns0:c r="F1088" s="32"/>
      <ns0:c r="G1088" s="29"/>
      <ns0:c r="H1088" s="29"/>
      <ns0:c r="I1088" s="29"/>
      <ns0:c r="J1088" s="29"/>
      <ns0:c r="K1088" s="29"/>
    </ns0:row>
    <ns0:row r="1089" ht="28" customHeight="1">
      <ns0:c r="A1089" s="29"/>
      <ns0:c r="B1089" s="30"/>
      <ns0:c r="C1089" s="28"/>
      <ns0:c r="D1089" s="29"/>
      <ns0:c r="E1089" s="31"/>
      <ns0:c r="F1089" s="32"/>
      <ns0:c r="G1089" s="29"/>
      <ns0:c r="H1089" s="29"/>
      <ns0:c r="I1089" s="29"/>
      <ns0:c r="J1089" s="29"/>
      <ns0:c r="K1089" s="29"/>
    </ns0:row>
    <ns0:row r="1090" ht="28" customHeight="1">
      <ns0:c r="A1090" s="29"/>
      <ns0:c r="B1090" s="30"/>
      <ns0:c r="C1090" s="28"/>
      <ns0:c r="D1090" s="29"/>
      <ns0:c r="E1090" s="31"/>
      <ns0:c r="F1090" s="32"/>
      <ns0:c r="G1090" s="29"/>
      <ns0:c r="H1090" s="29"/>
      <ns0:c r="I1090" s="29"/>
      <ns0:c r="J1090" s="29"/>
      <ns0:c r="K1090" s="29"/>
    </ns0:row>
    <ns0:row r="1091" ht="28" customHeight="1">
      <ns0:c r="A1091" s="29"/>
      <ns0:c r="B1091" s="30"/>
      <ns0:c r="C1091" s="28"/>
      <ns0:c r="D1091" s="29"/>
      <ns0:c r="E1091" s="31"/>
      <ns0:c r="F1091" s="32"/>
      <ns0:c r="G1091" s="29"/>
      <ns0:c r="H1091" s="29"/>
      <ns0:c r="I1091" s="29"/>
      <ns0:c r="J1091" s="29"/>
      <ns0:c r="K1091" s="29"/>
    </ns0:row>
    <ns0:row r="1092" ht="28" customHeight="1">
      <ns0:c r="A1092" s="29"/>
      <ns0:c r="B1092" s="30"/>
      <ns0:c r="C1092" s="28"/>
      <ns0:c r="D1092" s="29"/>
      <ns0:c r="E1092" s="31"/>
      <ns0:c r="F1092" s="32"/>
      <ns0:c r="G1092" s="29"/>
      <ns0:c r="H1092" s="29"/>
      <ns0:c r="I1092" s="29"/>
      <ns0:c r="J1092" s="29"/>
      <ns0:c r="K1092" s="29"/>
    </ns0:row>
    <ns0:row r="1093" ht="28" customHeight="1">
      <ns0:c r="A1093" s="29"/>
      <ns0:c r="B1093" s="30"/>
      <ns0:c r="C1093" s="28"/>
      <ns0:c r="D1093" s="29"/>
      <ns0:c r="E1093" s="31"/>
      <ns0:c r="F1093" s="32"/>
      <ns0:c r="G1093" s="29"/>
      <ns0:c r="H1093" s="29"/>
      <ns0:c r="I1093" s="29"/>
      <ns0:c r="J1093" s="29"/>
      <ns0:c r="K1093" s="29"/>
    </ns0:row>
    <ns0:row r="1094" ht="28" customHeight="1">
      <ns0:c r="A1094" s="29"/>
      <ns0:c r="B1094" s="30"/>
      <ns0:c r="C1094" s="28"/>
      <ns0:c r="D1094" s="29"/>
      <ns0:c r="E1094" s="31"/>
      <ns0:c r="F1094" s="32"/>
      <ns0:c r="G1094" s="29"/>
      <ns0:c r="H1094" s="29"/>
      <ns0:c r="I1094" s="29"/>
      <ns0:c r="J1094" s="29"/>
      <ns0:c r="K1094" s="29"/>
    </ns0:row>
    <ns0:row r="1095" ht="28" customHeight="1">
      <ns0:c r="A1095" s="29"/>
      <ns0:c r="B1095" s="30"/>
      <ns0:c r="C1095" s="28"/>
      <ns0:c r="D1095" s="29"/>
      <ns0:c r="E1095" s="31"/>
      <ns0:c r="F1095" s="32"/>
      <ns0:c r="G1095" s="29"/>
      <ns0:c r="H1095" s="29"/>
      <ns0:c r="I1095" s="29"/>
      <ns0:c r="J1095" s="29"/>
      <ns0:c r="K1095" s="29"/>
    </ns0:row>
    <ns0:row r="1096" ht="28" customHeight="1">
      <ns0:c r="A1096" s="29"/>
      <ns0:c r="B1096" s="30"/>
      <ns0:c r="C1096" s="28"/>
      <ns0:c r="D1096" s="29"/>
      <ns0:c r="E1096" s="31"/>
      <ns0:c r="F1096" s="32"/>
      <ns0:c r="G1096" s="29"/>
      <ns0:c r="H1096" s="29"/>
      <ns0:c r="I1096" s="29"/>
      <ns0:c r="J1096" s="29"/>
      <ns0:c r="K1096" s="29"/>
    </ns0:row>
    <ns0:row r="1097" ht="28" customHeight="1">
      <ns0:c r="A1097" s="29"/>
      <ns0:c r="B1097" s="30"/>
      <ns0:c r="C1097" s="28"/>
      <ns0:c r="D1097" s="29"/>
      <ns0:c r="E1097" s="31"/>
      <ns0:c r="F1097" s="32"/>
      <ns0:c r="G1097" s="29"/>
      <ns0:c r="H1097" s="29"/>
      <ns0:c r="I1097" s="29"/>
      <ns0:c r="J1097" s="29"/>
      <ns0:c r="K1097" s="29"/>
    </ns0:row>
    <ns0:row r="1098" ht="28" customHeight="1">
      <ns0:c r="A1098" s="29"/>
      <ns0:c r="B1098" s="30"/>
      <ns0:c r="C1098" s="28"/>
      <ns0:c r="D1098" s="29"/>
      <ns0:c r="E1098" s="31"/>
      <ns0:c r="F1098" s="32"/>
      <ns0:c r="G1098" s="29"/>
      <ns0:c r="H1098" s="29"/>
      <ns0:c r="I1098" s="29"/>
      <ns0:c r="J1098" s="29"/>
      <ns0:c r="K1098" s="29"/>
    </ns0:row>
    <ns0:row r="1099" ht="28" customHeight="1">
      <ns0:c r="A1099" s="29"/>
      <ns0:c r="B1099" s="30"/>
      <ns0:c r="C1099" s="28"/>
      <ns0:c r="D1099" s="29"/>
      <ns0:c r="E1099" s="31"/>
      <ns0:c r="F1099" s="32"/>
      <ns0:c r="G1099" s="29"/>
      <ns0:c r="H1099" s="29"/>
      <ns0:c r="I1099" s="29"/>
      <ns0:c r="J1099" s="29"/>
      <ns0:c r="K1099" s="29"/>
    </ns0:row>
    <ns0:row r="1100" ht="28" customHeight="1">
      <ns0:c r="A1100" s="29"/>
      <ns0:c r="B1100" s="30"/>
      <ns0:c r="C1100" s="28"/>
      <ns0:c r="D1100" s="29"/>
      <ns0:c r="E1100" s="31"/>
      <ns0:c r="F1100" s="32"/>
      <ns0:c r="G1100" s="29"/>
      <ns0:c r="H1100" s="29"/>
      <ns0:c r="I1100" s="29"/>
      <ns0:c r="J1100" s="29"/>
      <ns0:c r="K1100" s="29"/>
    </ns0:row>
    <ns0:row r="1101" ht="28" customHeight="1">
      <ns0:c r="A1101" s="29"/>
      <ns0:c r="B1101" s="30"/>
      <ns0:c r="C1101" s="28"/>
      <ns0:c r="D1101" s="29"/>
      <ns0:c r="E1101" s="31"/>
      <ns0:c r="F1101" s="32"/>
      <ns0:c r="G1101" s="29"/>
      <ns0:c r="H1101" s="29"/>
      <ns0:c r="I1101" s="29"/>
      <ns0:c r="J1101" s="29"/>
      <ns0:c r="K1101" s="29"/>
    </ns0:row>
    <ns0:row r="1102" ht="28" customHeight="1">
      <ns0:c r="A1102" s="29"/>
      <ns0:c r="B1102" s="30"/>
      <ns0:c r="C1102" s="28"/>
      <ns0:c r="D1102" s="29"/>
      <ns0:c r="E1102" s="31"/>
      <ns0:c r="F1102" s="32"/>
      <ns0:c r="G1102" s="29"/>
      <ns0:c r="H1102" s="29"/>
      <ns0:c r="I1102" s="29"/>
      <ns0:c r="J1102" s="29"/>
      <ns0:c r="K1102" s="29"/>
    </ns0:row>
    <ns0:row r="1103" ht="28" customHeight="1">
      <ns0:c r="A1103" s="29"/>
      <ns0:c r="B1103" s="30"/>
      <ns0:c r="C1103" s="28"/>
      <ns0:c r="D1103" s="29"/>
      <ns0:c r="E1103" s="31"/>
      <ns0:c r="F1103" s="32"/>
      <ns0:c r="G1103" s="29"/>
      <ns0:c r="H1103" s="29"/>
      <ns0:c r="I1103" s="29"/>
      <ns0:c r="J1103" s="29"/>
      <ns0:c r="K1103" s="29"/>
    </ns0:row>
    <ns0:row r="1104" ht="28" customHeight="1">
      <ns0:c r="A1104" s="29"/>
      <ns0:c r="B1104" s="30"/>
      <ns0:c r="C1104" s="28"/>
      <ns0:c r="D1104" s="29"/>
      <ns0:c r="E1104" s="31"/>
      <ns0:c r="F1104" s="32"/>
      <ns0:c r="G1104" s="29"/>
      <ns0:c r="H1104" s="29"/>
      <ns0:c r="I1104" s="29"/>
      <ns0:c r="J1104" s="29"/>
      <ns0:c r="K1104" s="29"/>
    </ns0:row>
    <ns0:row r="1105" ht="28" customHeight="1">
      <ns0:c r="A1105" s="29"/>
      <ns0:c r="B1105" s="30"/>
      <ns0:c r="C1105" s="28"/>
      <ns0:c r="D1105" s="29"/>
      <ns0:c r="E1105" s="31"/>
      <ns0:c r="F1105" s="32"/>
      <ns0:c r="G1105" s="29"/>
      <ns0:c r="H1105" s="29"/>
      <ns0:c r="I1105" s="29"/>
      <ns0:c r="J1105" s="29"/>
      <ns0:c r="K1105" s="29"/>
    </ns0:row>
    <ns0:row r="1106" ht="28" customHeight="1">
      <ns0:c r="A1106" s="29"/>
      <ns0:c r="B1106" s="30"/>
      <ns0:c r="C1106" s="28"/>
      <ns0:c r="D1106" s="29"/>
      <ns0:c r="E1106" s="31"/>
      <ns0:c r="F1106" s="32"/>
      <ns0:c r="G1106" s="29"/>
      <ns0:c r="H1106" s="29"/>
      <ns0:c r="I1106" s="29"/>
      <ns0:c r="J1106" s="29"/>
      <ns0:c r="K1106" s="29"/>
    </ns0:row>
    <ns0:row r="1107" ht="28" customHeight="1">
      <ns0:c r="A1107" s="29"/>
      <ns0:c r="B1107" s="30"/>
      <ns0:c r="C1107" s="28"/>
      <ns0:c r="D1107" s="29"/>
      <ns0:c r="E1107" s="31"/>
      <ns0:c r="F1107" s="32"/>
      <ns0:c r="G1107" s="29"/>
      <ns0:c r="H1107" s="29"/>
      <ns0:c r="I1107" s="29"/>
      <ns0:c r="J1107" s="29"/>
      <ns0:c r="K1107" s="29"/>
    </ns0:row>
    <ns0:row r="1108" ht="28" customHeight="1">
      <ns0:c r="A1108" s="29"/>
      <ns0:c r="B1108" s="30"/>
      <ns0:c r="C1108" s="28"/>
      <ns0:c r="D1108" s="29"/>
      <ns0:c r="E1108" s="31"/>
      <ns0:c r="F1108" s="32"/>
      <ns0:c r="G1108" s="29"/>
      <ns0:c r="H1108" s="29"/>
      <ns0:c r="I1108" s="29"/>
      <ns0:c r="J1108" s="29"/>
      <ns0:c r="K1108" s="29"/>
    </ns0:row>
    <ns0:row r="1109" ht="28" customHeight="1">
      <ns0:c r="A1109" s="29"/>
      <ns0:c r="B1109" s="30"/>
      <ns0:c r="C1109" s="28"/>
      <ns0:c r="D1109" s="29"/>
      <ns0:c r="E1109" s="31"/>
      <ns0:c r="F1109" s="32"/>
      <ns0:c r="G1109" s="29"/>
      <ns0:c r="H1109" s="29"/>
      <ns0:c r="I1109" s="29"/>
      <ns0:c r="J1109" s="29"/>
      <ns0:c r="K1109" s="29"/>
    </ns0:row>
    <ns0:row r="1110" ht="28" customHeight="1">
      <ns0:c r="A1110" s="29"/>
      <ns0:c r="B1110" s="30"/>
      <ns0:c r="C1110" s="28"/>
      <ns0:c r="D1110" s="29"/>
      <ns0:c r="E1110" s="31"/>
      <ns0:c r="F1110" s="32"/>
      <ns0:c r="G1110" s="29"/>
      <ns0:c r="H1110" s="29"/>
      <ns0:c r="I1110" s="29"/>
      <ns0:c r="J1110" s="29"/>
      <ns0:c r="K1110" s="29"/>
    </ns0:row>
    <ns0:row r="1111" ht="28" customHeight="1">
      <ns0:c r="A1111" s="29"/>
      <ns0:c r="B1111" s="30"/>
      <ns0:c r="C1111" s="28"/>
      <ns0:c r="D1111" s="29"/>
      <ns0:c r="E1111" s="31"/>
      <ns0:c r="F1111" s="32"/>
      <ns0:c r="G1111" s="29"/>
      <ns0:c r="H1111" s="29"/>
      <ns0:c r="I1111" s="29"/>
      <ns0:c r="J1111" s="29"/>
      <ns0:c r="K1111" s="29"/>
    </ns0:row>
    <ns0:row r="1112" ht="28" customHeight="1">
      <ns0:c r="A1112" s="29"/>
      <ns0:c r="B1112" s="30"/>
      <ns0:c r="C1112" s="28"/>
      <ns0:c r="D1112" s="29"/>
      <ns0:c r="E1112" s="31"/>
      <ns0:c r="F1112" s="32"/>
      <ns0:c r="G1112" s="29"/>
      <ns0:c r="H1112" s="29"/>
      <ns0:c r="I1112" s="29"/>
      <ns0:c r="J1112" s="29"/>
      <ns0:c r="K1112" s="29"/>
    </ns0:row>
    <ns0:row r="1113" ht="28" customHeight="1">
      <ns0:c r="A1113" s="29"/>
      <ns0:c r="B1113" s="30"/>
      <ns0:c r="C1113" s="28"/>
      <ns0:c r="D1113" s="29"/>
      <ns0:c r="E1113" s="31"/>
      <ns0:c r="F1113" s="32"/>
      <ns0:c r="G1113" s="29"/>
      <ns0:c r="H1113" s="29"/>
      <ns0:c r="I1113" s="29"/>
      <ns0:c r="J1113" s="29"/>
      <ns0:c r="K1113" s="29"/>
    </ns0:row>
    <ns0:row r="1114" ht="28" customHeight="1">
      <ns0:c r="A1114" s="29"/>
      <ns0:c r="B1114" s="30"/>
      <ns0:c r="C1114" s="28"/>
      <ns0:c r="D1114" s="29"/>
      <ns0:c r="E1114" s="31"/>
      <ns0:c r="F1114" s="32"/>
      <ns0:c r="G1114" s="29"/>
      <ns0:c r="H1114" s="29"/>
      <ns0:c r="I1114" s="29"/>
      <ns0:c r="J1114" s="29"/>
      <ns0:c r="K1114" s="29"/>
    </ns0:row>
    <ns0:row r="1115" ht="28" customHeight="1">
      <ns0:c r="A1115" s="29"/>
      <ns0:c r="B1115" s="30"/>
      <ns0:c r="C1115" s="28"/>
      <ns0:c r="D1115" s="29"/>
      <ns0:c r="E1115" s="31"/>
      <ns0:c r="F1115" s="32"/>
      <ns0:c r="G1115" s="29"/>
      <ns0:c r="H1115" s="29"/>
      <ns0:c r="I1115" s="29"/>
      <ns0:c r="J1115" s="29"/>
      <ns0:c r="K1115" s="29"/>
    </ns0:row>
    <ns0:row r="1116" ht="28" customHeight="1">
      <ns0:c r="A1116" s="29"/>
      <ns0:c r="B1116" s="30"/>
      <ns0:c r="C1116" s="28"/>
      <ns0:c r="D1116" s="29"/>
      <ns0:c r="E1116" s="31"/>
      <ns0:c r="F1116" s="32"/>
      <ns0:c r="G1116" s="29"/>
      <ns0:c r="H1116" s="29"/>
      <ns0:c r="I1116" s="29"/>
      <ns0:c r="J1116" s="29"/>
      <ns0:c r="K1116" s="29"/>
    </ns0:row>
    <ns0:row r="1117" ht="28" customHeight="1">
      <ns0:c r="A1117" s="29"/>
      <ns0:c r="B1117" s="30"/>
      <ns0:c r="C1117" s="28"/>
      <ns0:c r="D1117" s="29"/>
      <ns0:c r="E1117" s="31"/>
      <ns0:c r="F1117" s="32"/>
      <ns0:c r="G1117" s="29"/>
      <ns0:c r="H1117" s="29"/>
      <ns0:c r="I1117" s="29"/>
      <ns0:c r="J1117" s="29"/>
      <ns0:c r="K1117" s="29"/>
    </ns0:row>
    <ns0:row r="1118" ht="28" customHeight="1">
      <ns0:c r="A1118" s="29"/>
      <ns0:c r="B1118" s="30"/>
      <ns0:c r="C1118" s="28"/>
      <ns0:c r="D1118" s="29"/>
      <ns0:c r="E1118" s="31"/>
      <ns0:c r="F1118" s="32"/>
      <ns0:c r="G1118" s="29"/>
      <ns0:c r="H1118" s="29"/>
      <ns0:c r="I1118" s="29"/>
      <ns0:c r="J1118" s="29"/>
      <ns0:c r="K1118" s="29"/>
    </ns0:row>
    <ns0:row r="1119" ht="28" customHeight="1">
      <ns0:c r="A1119" s="29"/>
      <ns0:c r="B1119" s="30"/>
      <ns0:c r="C1119" s="28"/>
      <ns0:c r="D1119" s="29"/>
      <ns0:c r="E1119" s="31"/>
      <ns0:c r="F1119" s="32"/>
      <ns0:c r="G1119" s="29"/>
      <ns0:c r="H1119" s="29"/>
      <ns0:c r="I1119" s="29"/>
      <ns0:c r="J1119" s="29"/>
      <ns0:c r="K1119" s="29"/>
    </ns0:row>
    <ns0:row r="1120" ht="28" customHeight="1">
      <ns0:c r="A1120" s="29"/>
      <ns0:c r="B1120" s="30"/>
      <ns0:c r="C1120" s="28"/>
      <ns0:c r="D1120" s="29"/>
      <ns0:c r="E1120" s="31"/>
      <ns0:c r="F1120" s="32"/>
      <ns0:c r="G1120" s="29"/>
      <ns0:c r="H1120" s="29"/>
      <ns0:c r="I1120" s="29"/>
      <ns0:c r="J1120" s="29"/>
      <ns0:c r="K1120" s="29"/>
    </ns0:row>
    <ns0:row r="1121" ht="28" customHeight="1">
      <ns0:c r="A1121" s="29"/>
      <ns0:c r="B1121" s="30"/>
      <ns0:c r="C1121" s="28"/>
      <ns0:c r="D1121" s="29"/>
      <ns0:c r="E1121" s="31"/>
      <ns0:c r="F1121" s="32"/>
      <ns0:c r="G1121" s="29"/>
      <ns0:c r="H1121" s="29"/>
      <ns0:c r="I1121" s="29"/>
      <ns0:c r="J1121" s="29"/>
      <ns0:c r="K1121" s="29"/>
    </ns0:row>
    <ns0:row r="1122" ht="28" customHeight="1">
      <ns0:c r="A1122" s="29"/>
      <ns0:c r="B1122" s="30"/>
      <ns0:c r="C1122" s="28"/>
      <ns0:c r="D1122" s="29"/>
      <ns0:c r="E1122" s="31"/>
      <ns0:c r="F1122" s="32"/>
      <ns0:c r="G1122" s="29"/>
      <ns0:c r="H1122" s="29"/>
      <ns0:c r="I1122" s="29"/>
      <ns0:c r="J1122" s="29"/>
      <ns0:c r="K1122" s="29"/>
    </ns0:row>
    <ns0:row r="1123" ht="28" customHeight="1">
      <ns0:c r="A1123" s="29"/>
      <ns0:c r="B1123" s="30"/>
      <ns0:c r="C1123" s="28"/>
      <ns0:c r="D1123" s="29"/>
      <ns0:c r="E1123" s="31"/>
      <ns0:c r="F1123" s="32"/>
      <ns0:c r="G1123" s="29"/>
      <ns0:c r="H1123" s="29"/>
      <ns0:c r="I1123" s="29"/>
      <ns0:c r="J1123" s="29"/>
      <ns0:c r="K1123" s="29"/>
    </ns0:row>
    <ns0:row r="1124" ht="28" customHeight="1">
      <ns0:c r="A1124" s="29"/>
      <ns0:c r="B1124" s="30"/>
      <ns0:c r="C1124" s="28"/>
      <ns0:c r="D1124" s="29"/>
      <ns0:c r="E1124" s="31"/>
      <ns0:c r="F1124" s="32"/>
      <ns0:c r="G1124" s="29"/>
      <ns0:c r="H1124" s="29"/>
      <ns0:c r="I1124" s="29"/>
      <ns0:c r="J1124" s="29"/>
      <ns0:c r="K1124" s="29"/>
    </ns0:row>
    <ns0:row r="1125" ht="28" customHeight="1">
      <ns0:c r="A1125" s="29"/>
      <ns0:c r="B1125" s="30"/>
      <ns0:c r="C1125" s="28"/>
      <ns0:c r="D1125" s="29"/>
      <ns0:c r="E1125" s="31"/>
      <ns0:c r="F1125" s="32"/>
      <ns0:c r="G1125" s="29"/>
      <ns0:c r="H1125" s="29"/>
      <ns0:c r="I1125" s="29"/>
      <ns0:c r="J1125" s="29"/>
      <ns0:c r="K1125" s="29"/>
    </ns0:row>
    <ns0:row r="1126" ht="28" customHeight="1">
      <ns0:c r="A1126" s="29"/>
      <ns0:c r="B1126" s="30"/>
      <ns0:c r="C1126" s="28"/>
      <ns0:c r="D1126" s="29"/>
      <ns0:c r="E1126" s="31"/>
      <ns0:c r="F1126" s="32"/>
      <ns0:c r="G1126" s="29"/>
      <ns0:c r="H1126" s="29"/>
      <ns0:c r="I1126" s="29"/>
      <ns0:c r="J1126" s="29"/>
      <ns0:c r="K1126" s="29"/>
    </ns0:row>
    <ns0:row r="1127" ht="28" customHeight="1">
      <ns0:c r="A1127" s="29"/>
      <ns0:c r="B1127" s="30"/>
      <ns0:c r="C1127" s="28"/>
      <ns0:c r="D1127" s="29"/>
      <ns0:c r="E1127" s="31"/>
      <ns0:c r="F1127" s="32"/>
      <ns0:c r="G1127" s="29"/>
      <ns0:c r="H1127" s="29"/>
      <ns0:c r="I1127" s="29"/>
      <ns0:c r="J1127" s="29"/>
      <ns0:c r="K1127" s="29"/>
    </ns0:row>
    <ns0:row r="1128" ht="28" customHeight="1">
      <ns0:c r="A1128" s="29"/>
      <ns0:c r="B1128" s="30"/>
      <ns0:c r="C1128" s="28"/>
      <ns0:c r="D1128" s="29"/>
      <ns0:c r="E1128" s="31"/>
      <ns0:c r="F1128" s="32"/>
      <ns0:c r="G1128" s="29"/>
      <ns0:c r="H1128" s="29"/>
      <ns0:c r="I1128" s="29"/>
      <ns0:c r="J1128" s="29"/>
      <ns0:c r="K1128" s="29"/>
    </ns0:row>
    <ns0:row r="1129" ht="28" customHeight="1">
      <ns0:c r="A1129" s="29"/>
      <ns0:c r="B1129" s="30"/>
      <ns0:c r="C1129" s="28"/>
      <ns0:c r="D1129" s="29"/>
      <ns0:c r="E1129" s="31"/>
      <ns0:c r="F1129" s="32"/>
      <ns0:c r="G1129" s="29"/>
      <ns0:c r="H1129" s="29"/>
      <ns0:c r="I1129" s="29"/>
      <ns0:c r="J1129" s="29"/>
      <ns0:c r="K1129" s="29"/>
    </ns0:row>
    <ns0:row r="1130" ht="28" customHeight="1">
      <ns0:c r="A1130" s="29"/>
      <ns0:c r="B1130" s="30"/>
      <ns0:c r="C1130" s="28"/>
      <ns0:c r="D1130" s="29"/>
      <ns0:c r="E1130" s="31"/>
      <ns0:c r="F1130" s="32"/>
      <ns0:c r="G1130" s="29"/>
      <ns0:c r="H1130" s="29"/>
      <ns0:c r="I1130" s="29"/>
      <ns0:c r="J1130" s="29"/>
      <ns0:c r="K1130" s="29"/>
    </ns0:row>
    <ns0:row r="1131" ht="28" customHeight="1">
      <ns0:c r="A1131" s="29"/>
      <ns0:c r="B1131" s="30"/>
      <ns0:c r="C1131" s="28"/>
      <ns0:c r="D1131" s="29"/>
      <ns0:c r="E1131" s="31"/>
      <ns0:c r="F1131" s="32"/>
      <ns0:c r="G1131" s="29"/>
      <ns0:c r="H1131" s="29"/>
      <ns0:c r="I1131" s="29"/>
      <ns0:c r="J1131" s="29"/>
      <ns0:c r="K1131" s="29"/>
    </ns0:row>
    <ns0:row r="1132" ht="28" customHeight="1">
      <ns0:c r="A1132" s="29"/>
      <ns0:c r="B1132" s="30"/>
      <ns0:c r="C1132" s="28"/>
      <ns0:c r="D1132" s="29"/>
      <ns0:c r="E1132" s="31"/>
      <ns0:c r="F1132" s="32"/>
      <ns0:c r="G1132" s="29"/>
      <ns0:c r="H1132" s="29"/>
      <ns0:c r="I1132" s="29"/>
      <ns0:c r="J1132" s="29"/>
      <ns0:c r="K1132" s="29"/>
    </ns0:row>
    <ns0:row r="1133" ht="28" customHeight="1">
      <ns0:c r="A1133" s="29"/>
      <ns0:c r="B1133" s="30"/>
      <ns0:c r="C1133" s="28"/>
      <ns0:c r="D1133" s="29"/>
      <ns0:c r="E1133" s="31"/>
      <ns0:c r="F1133" s="32"/>
      <ns0:c r="G1133" s="29"/>
      <ns0:c r="H1133" s="29"/>
      <ns0:c r="I1133" s="29"/>
      <ns0:c r="J1133" s="29"/>
      <ns0:c r="K1133" s="29"/>
    </ns0:row>
    <ns0:row r="1134" ht="28" customHeight="1">
      <ns0:c r="A1134" s="29"/>
      <ns0:c r="B1134" s="30"/>
      <ns0:c r="C1134" s="28"/>
      <ns0:c r="D1134" s="29"/>
      <ns0:c r="E1134" s="31"/>
      <ns0:c r="F1134" s="32"/>
      <ns0:c r="G1134" s="29"/>
      <ns0:c r="H1134" s="29"/>
      <ns0:c r="I1134" s="29"/>
      <ns0:c r="J1134" s="29"/>
      <ns0:c r="K1134" s="29"/>
    </ns0:row>
    <ns0:row r="1135" ht="28" customHeight="1">
      <ns0:c r="A1135" s="29"/>
      <ns0:c r="B1135" s="30"/>
      <ns0:c r="C1135" s="28"/>
      <ns0:c r="D1135" s="29"/>
      <ns0:c r="E1135" s="31"/>
      <ns0:c r="F1135" s="32"/>
      <ns0:c r="G1135" s="29"/>
      <ns0:c r="H1135" s="29"/>
      <ns0:c r="I1135" s="29"/>
      <ns0:c r="J1135" s="29"/>
      <ns0:c r="K1135" s="29"/>
    </ns0:row>
    <ns0:row r="1136" ht="28" customHeight="1">
      <ns0:c r="A1136" s="29"/>
      <ns0:c r="B1136" s="30"/>
      <ns0:c r="C1136" s="28"/>
      <ns0:c r="D1136" s="29"/>
      <ns0:c r="E1136" s="31"/>
      <ns0:c r="F1136" s="32"/>
      <ns0:c r="G1136" s="29"/>
      <ns0:c r="H1136" s="29"/>
      <ns0:c r="I1136" s="29"/>
      <ns0:c r="J1136" s="29"/>
      <ns0:c r="K1136" s="29"/>
    </ns0:row>
    <ns0:row r="1137" ht="28" customHeight="1">
      <ns0:c r="A1137" s="29"/>
      <ns0:c r="B1137" s="30"/>
      <ns0:c r="C1137" s="28"/>
      <ns0:c r="D1137" s="29"/>
      <ns0:c r="E1137" s="31"/>
      <ns0:c r="F1137" s="32"/>
      <ns0:c r="G1137" s="29"/>
      <ns0:c r="H1137" s="29"/>
      <ns0:c r="I1137" s="29"/>
      <ns0:c r="J1137" s="29"/>
      <ns0:c r="K1137" s="29"/>
    </ns0:row>
    <ns0:row r="1138" ht="28" customHeight="1">
      <ns0:c r="A1138" s="29"/>
      <ns0:c r="B1138" s="30"/>
      <ns0:c r="C1138" s="28"/>
      <ns0:c r="D1138" s="29"/>
      <ns0:c r="E1138" s="31"/>
      <ns0:c r="F1138" s="32"/>
      <ns0:c r="G1138" s="29"/>
      <ns0:c r="H1138" s="29"/>
      <ns0:c r="I1138" s="29"/>
      <ns0:c r="J1138" s="29"/>
      <ns0:c r="K1138" s="29"/>
    </ns0:row>
    <ns0:row r="1139" ht="28" customHeight="1">
      <ns0:c r="A1139" s="29"/>
      <ns0:c r="B1139" s="30"/>
      <ns0:c r="C1139" s="28"/>
      <ns0:c r="D1139" s="29"/>
      <ns0:c r="E1139" s="31"/>
      <ns0:c r="F1139" s="32"/>
      <ns0:c r="G1139" s="29"/>
      <ns0:c r="H1139" s="29"/>
      <ns0:c r="I1139" s="29"/>
      <ns0:c r="J1139" s="29"/>
      <ns0:c r="K1139" s="29"/>
    </ns0:row>
    <ns0:row r="1140" ht="28" customHeight="1">
      <ns0:c r="A1140" s="29"/>
      <ns0:c r="B1140" s="30"/>
      <ns0:c r="C1140" s="28"/>
      <ns0:c r="D1140" s="29"/>
      <ns0:c r="E1140" s="31"/>
      <ns0:c r="F1140" s="32"/>
      <ns0:c r="G1140" s="29"/>
      <ns0:c r="H1140" s="29"/>
      <ns0:c r="I1140" s="29"/>
      <ns0:c r="J1140" s="29"/>
      <ns0:c r="K1140" s="29"/>
    </ns0:row>
    <ns0:row r="1141" ht="28" customHeight="1">
      <ns0:c r="A1141" s="29"/>
      <ns0:c r="B1141" s="30"/>
      <ns0:c r="C1141" s="28"/>
      <ns0:c r="D1141" s="29"/>
      <ns0:c r="E1141" s="31"/>
      <ns0:c r="F1141" s="32"/>
      <ns0:c r="G1141" s="29"/>
      <ns0:c r="H1141" s="29"/>
      <ns0:c r="I1141" s="29"/>
      <ns0:c r="J1141" s="29"/>
      <ns0:c r="K1141" s="29"/>
    </ns0:row>
    <ns0:row r="1142" ht="28" customHeight="1">
      <ns0:c r="A1142" s="29"/>
      <ns0:c r="B1142" s="30"/>
      <ns0:c r="C1142" s="28"/>
      <ns0:c r="D1142" s="29"/>
      <ns0:c r="E1142" s="31"/>
      <ns0:c r="F1142" s="32"/>
      <ns0:c r="G1142" s="29"/>
      <ns0:c r="H1142" s="29"/>
      <ns0:c r="I1142" s="29"/>
      <ns0:c r="J1142" s="29"/>
      <ns0:c r="K1142" s="29"/>
    </ns0:row>
    <ns0:row r="1143" ht="28" customHeight="1">
      <ns0:c r="A1143" s="29"/>
      <ns0:c r="B1143" s="30"/>
      <ns0:c r="C1143" s="28"/>
      <ns0:c r="D1143" s="29"/>
      <ns0:c r="E1143" s="31"/>
      <ns0:c r="F1143" s="32"/>
      <ns0:c r="G1143" s="29"/>
      <ns0:c r="H1143" s="29"/>
      <ns0:c r="I1143" s="29"/>
      <ns0:c r="J1143" s="29"/>
      <ns0:c r="K1143" s="29"/>
    </ns0:row>
    <ns0:row r="1144" ht="28" customHeight="1">
      <ns0:c r="A1144" s="29"/>
      <ns0:c r="B1144" s="30"/>
      <ns0:c r="C1144" s="28"/>
      <ns0:c r="D1144" s="29"/>
      <ns0:c r="E1144" s="31"/>
      <ns0:c r="F1144" s="32"/>
      <ns0:c r="G1144" s="29"/>
      <ns0:c r="H1144" s="29"/>
      <ns0:c r="I1144" s="29"/>
      <ns0:c r="J1144" s="29"/>
      <ns0:c r="K1144" s="29"/>
    </ns0:row>
    <ns0:row r="1145" ht="28" customHeight="1">
      <ns0:c r="A1145" s="29"/>
      <ns0:c r="B1145" s="30"/>
      <ns0:c r="C1145" s="28"/>
      <ns0:c r="D1145" s="29"/>
      <ns0:c r="E1145" s="31"/>
      <ns0:c r="F1145" s="32"/>
      <ns0:c r="G1145" s="29"/>
      <ns0:c r="H1145" s="29"/>
      <ns0:c r="I1145" s="29"/>
      <ns0:c r="J1145" s="29"/>
      <ns0:c r="K1145" s="29"/>
    </ns0:row>
    <ns0:row r="1146" ht="28" customHeight="1">
      <ns0:c r="A1146" s="29"/>
      <ns0:c r="B1146" s="30"/>
      <ns0:c r="C1146" s="28"/>
      <ns0:c r="D1146" s="29"/>
      <ns0:c r="E1146" s="31"/>
      <ns0:c r="F1146" s="32"/>
      <ns0:c r="G1146" s="29"/>
      <ns0:c r="H1146" s="29"/>
      <ns0:c r="I1146" s="29"/>
      <ns0:c r="J1146" s="29"/>
      <ns0:c r="K1146" s="29"/>
    </ns0:row>
    <ns0:row r="1147" ht="28" customHeight="1">
      <ns0:c r="A1147" s="29"/>
      <ns0:c r="B1147" s="30"/>
      <ns0:c r="C1147" s="28"/>
      <ns0:c r="D1147" s="29"/>
      <ns0:c r="E1147" s="31"/>
      <ns0:c r="F1147" s="32"/>
      <ns0:c r="G1147" s="29"/>
      <ns0:c r="H1147" s="29"/>
      <ns0:c r="I1147" s="29"/>
      <ns0:c r="J1147" s="29"/>
      <ns0:c r="K1147" s="29"/>
    </ns0:row>
    <ns0:row r="1148" ht="28" customHeight="1">
      <ns0:c r="A1148" s="29"/>
      <ns0:c r="B1148" s="30"/>
      <ns0:c r="C1148" s="28"/>
      <ns0:c r="D1148" s="29"/>
      <ns0:c r="E1148" s="31"/>
      <ns0:c r="F1148" s="32"/>
      <ns0:c r="G1148" s="29"/>
      <ns0:c r="H1148" s="29"/>
      <ns0:c r="I1148" s="29"/>
      <ns0:c r="J1148" s="29"/>
      <ns0:c r="K1148" s="29"/>
    </ns0:row>
    <ns0:row r="1149" ht="28" customHeight="1">
      <ns0:c r="A1149" s="29"/>
      <ns0:c r="B1149" s="30"/>
      <ns0:c r="C1149" s="28"/>
      <ns0:c r="D1149" s="29"/>
      <ns0:c r="E1149" s="31"/>
      <ns0:c r="F1149" s="32"/>
      <ns0:c r="G1149" s="29"/>
      <ns0:c r="H1149" s="29"/>
      <ns0:c r="I1149" s="29"/>
      <ns0:c r="J1149" s="29"/>
      <ns0:c r="K1149" s="29"/>
    </ns0:row>
    <ns0:row r="1150" ht="28" customHeight="1">
      <ns0:c r="A1150" s="29"/>
      <ns0:c r="B1150" s="30"/>
      <ns0:c r="C1150" s="28"/>
      <ns0:c r="D1150" s="29"/>
      <ns0:c r="E1150" s="31"/>
      <ns0:c r="F1150" s="32"/>
      <ns0:c r="G1150" s="29"/>
      <ns0:c r="H1150" s="29"/>
      <ns0:c r="I1150" s="29"/>
      <ns0:c r="J1150" s="29"/>
      <ns0:c r="K1150" s="29"/>
    </ns0:row>
    <ns0:row r="1151" ht="28" customHeight="1">
      <ns0:c r="A1151" s="29"/>
      <ns0:c r="B1151" s="30"/>
      <ns0:c r="C1151" s="28"/>
      <ns0:c r="D1151" s="29"/>
      <ns0:c r="E1151" s="31"/>
      <ns0:c r="F1151" s="32"/>
      <ns0:c r="G1151" s="29"/>
      <ns0:c r="H1151" s="29"/>
      <ns0:c r="I1151" s="29"/>
      <ns0:c r="J1151" s="29"/>
      <ns0:c r="K1151" s="29"/>
    </ns0:row>
    <ns0:row r="1152" ht="28" customHeight="1">
      <ns0:c r="A1152" s="29"/>
      <ns0:c r="B1152" s="30"/>
      <ns0:c r="C1152" s="28"/>
      <ns0:c r="D1152" s="29"/>
      <ns0:c r="E1152" s="31"/>
      <ns0:c r="F1152" s="32"/>
      <ns0:c r="G1152" s="29"/>
      <ns0:c r="H1152" s="29"/>
      <ns0:c r="I1152" s="29"/>
      <ns0:c r="J1152" s="29"/>
      <ns0:c r="K1152" s="29"/>
    </ns0:row>
    <ns0:row r="1153" ht="28" customHeight="1">
      <ns0:c r="A1153" s="29"/>
      <ns0:c r="B1153" s="30"/>
      <ns0:c r="C1153" s="28"/>
      <ns0:c r="D1153" s="29"/>
      <ns0:c r="E1153" s="31"/>
      <ns0:c r="F1153" s="32"/>
      <ns0:c r="G1153" s="29"/>
      <ns0:c r="H1153" s="29"/>
      <ns0:c r="I1153" s="29"/>
      <ns0:c r="J1153" s="29"/>
      <ns0:c r="K1153" s="29"/>
    </ns0:row>
    <ns0:row r="1154" ht="28" customHeight="1">
      <ns0:c r="A1154" s="29"/>
      <ns0:c r="B1154" s="30"/>
      <ns0:c r="C1154" s="28"/>
      <ns0:c r="D1154" s="29"/>
      <ns0:c r="E1154" s="31"/>
      <ns0:c r="F1154" s="32"/>
      <ns0:c r="G1154" s="29"/>
      <ns0:c r="H1154" s="29"/>
      <ns0:c r="I1154" s="29"/>
      <ns0:c r="J1154" s="29"/>
      <ns0:c r="K1154" s="29"/>
    </ns0:row>
    <ns0:row r="1155" ht="28" customHeight="1">
      <ns0:c r="A1155" s="29"/>
      <ns0:c r="B1155" s="30"/>
      <ns0:c r="C1155" s="28"/>
      <ns0:c r="D1155" s="29"/>
      <ns0:c r="E1155" s="31"/>
      <ns0:c r="F1155" s="32"/>
      <ns0:c r="G1155" s="29"/>
      <ns0:c r="H1155" s="29"/>
      <ns0:c r="I1155" s="29"/>
      <ns0:c r="J1155" s="29"/>
      <ns0:c r="K1155" s="29"/>
    </ns0:row>
    <ns0:row r="1156" ht="28" customHeight="1">
      <ns0:c r="A1156" s="29"/>
      <ns0:c r="B1156" s="30"/>
      <ns0:c r="C1156" s="28"/>
      <ns0:c r="D1156" s="29"/>
      <ns0:c r="E1156" s="31"/>
      <ns0:c r="F1156" s="32"/>
      <ns0:c r="G1156" s="29"/>
      <ns0:c r="H1156" s="29"/>
      <ns0:c r="I1156" s="29"/>
      <ns0:c r="J1156" s="29"/>
      <ns0:c r="K1156" s="29"/>
    </ns0:row>
    <ns0:row r="1157" ht="28" customHeight="1">
      <ns0:c r="A1157" s="29"/>
      <ns0:c r="B1157" s="30"/>
      <ns0:c r="C1157" s="28"/>
      <ns0:c r="D1157" s="29"/>
      <ns0:c r="E1157" s="31"/>
      <ns0:c r="F1157" s="32"/>
      <ns0:c r="G1157" s="29"/>
      <ns0:c r="H1157" s="29"/>
      <ns0:c r="I1157" s="29"/>
      <ns0:c r="J1157" s="29"/>
      <ns0:c r="K1157" s="29"/>
    </ns0:row>
    <ns0:row r="1158" ht="28" customHeight="1">
      <ns0:c r="A1158" s="29"/>
      <ns0:c r="B1158" s="30"/>
      <ns0:c r="C1158" s="28"/>
      <ns0:c r="D1158" s="29"/>
      <ns0:c r="E1158" s="31"/>
      <ns0:c r="F1158" s="32"/>
      <ns0:c r="G1158" s="29"/>
      <ns0:c r="H1158" s="29"/>
      <ns0:c r="I1158" s="29"/>
      <ns0:c r="J1158" s="29"/>
      <ns0:c r="K1158" s="29"/>
    </ns0:row>
    <ns0:row r="1159" ht="28" customHeight="1">
      <ns0:c r="A1159" s="29"/>
      <ns0:c r="B1159" s="30"/>
      <ns0:c r="C1159" s="28"/>
      <ns0:c r="D1159" s="29"/>
      <ns0:c r="E1159" s="31"/>
      <ns0:c r="F1159" s="32"/>
      <ns0:c r="G1159" s="29"/>
      <ns0:c r="H1159" s="29"/>
      <ns0:c r="I1159" s="29"/>
      <ns0:c r="J1159" s="29"/>
      <ns0:c r="K1159" s="29"/>
    </ns0:row>
    <ns0:row r="1160" ht="28" customHeight="1">
      <ns0:c r="A1160" s="29"/>
      <ns0:c r="B1160" s="30"/>
      <ns0:c r="C1160" s="28"/>
      <ns0:c r="D1160" s="29"/>
      <ns0:c r="E1160" s="31"/>
      <ns0:c r="F1160" s="32"/>
      <ns0:c r="G1160" s="29"/>
      <ns0:c r="H1160" s="29"/>
      <ns0:c r="I1160" s="29"/>
      <ns0:c r="J1160" s="29"/>
      <ns0:c r="K1160" s="29"/>
    </ns0:row>
    <ns0:row r="1161" ht="28" customHeight="1">
      <ns0:c r="A1161" s="29"/>
      <ns0:c r="B1161" s="30"/>
      <ns0:c r="C1161" s="28"/>
      <ns0:c r="D1161" s="29"/>
      <ns0:c r="E1161" s="31"/>
      <ns0:c r="F1161" s="32"/>
      <ns0:c r="G1161" s="29"/>
      <ns0:c r="H1161" s="29"/>
      <ns0:c r="I1161" s="29"/>
      <ns0:c r="J1161" s="29"/>
      <ns0:c r="K1161" s="29"/>
    </ns0:row>
    <ns0:row r="1162" ht="28" customHeight="1">
      <ns0:c r="A1162" s="29"/>
      <ns0:c r="B1162" s="30"/>
      <ns0:c r="C1162" s="28"/>
      <ns0:c r="D1162" s="29"/>
      <ns0:c r="E1162" s="31"/>
      <ns0:c r="F1162" s="32"/>
      <ns0:c r="G1162" s="29"/>
      <ns0:c r="H1162" s="29"/>
      <ns0:c r="I1162" s="29"/>
      <ns0:c r="J1162" s="29"/>
      <ns0:c r="K1162" s="29"/>
    </ns0:row>
    <ns0:row r="1163" ht="28" customHeight="1">
      <ns0:c r="A1163" s="29"/>
      <ns0:c r="B1163" s="30"/>
      <ns0:c r="C1163" s="28"/>
      <ns0:c r="D1163" s="29"/>
      <ns0:c r="E1163" s="31"/>
      <ns0:c r="F1163" s="32"/>
      <ns0:c r="G1163" s="29"/>
      <ns0:c r="H1163" s="29"/>
      <ns0:c r="I1163" s="29"/>
      <ns0:c r="J1163" s="29"/>
      <ns0:c r="K1163" s="29"/>
    </ns0:row>
    <ns0:row r="1164" ht="28" customHeight="1">
      <ns0:c r="A1164" s="29"/>
      <ns0:c r="B1164" s="30"/>
      <ns0:c r="C1164" s="28"/>
      <ns0:c r="D1164" s="29"/>
      <ns0:c r="E1164" s="31"/>
      <ns0:c r="F1164" s="32"/>
      <ns0:c r="G1164" s="29"/>
      <ns0:c r="H1164" s="29"/>
      <ns0:c r="I1164" s="29"/>
      <ns0:c r="J1164" s="29"/>
      <ns0:c r="K1164" s="29"/>
    </ns0:row>
    <ns0:row r="1165" ht="28" customHeight="1">
      <ns0:c r="A1165" s="29"/>
      <ns0:c r="B1165" s="30"/>
      <ns0:c r="C1165" s="28"/>
      <ns0:c r="D1165" s="29"/>
      <ns0:c r="E1165" s="31"/>
      <ns0:c r="F1165" s="32"/>
      <ns0:c r="G1165" s="29"/>
      <ns0:c r="H1165" s="29"/>
      <ns0:c r="I1165" s="29"/>
      <ns0:c r="J1165" s="29"/>
      <ns0:c r="K1165" s="29"/>
    </ns0:row>
    <ns0:row r="1166" ht="28" customHeight="1">
      <ns0:c r="A1166" s="29"/>
      <ns0:c r="B1166" s="30"/>
      <ns0:c r="C1166" s="28"/>
      <ns0:c r="D1166" s="29"/>
      <ns0:c r="E1166" s="31"/>
      <ns0:c r="F1166" s="32"/>
      <ns0:c r="G1166" s="29"/>
      <ns0:c r="H1166" s="29"/>
      <ns0:c r="I1166" s="29"/>
      <ns0:c r="J1166" s="29"/>
      <ns0:c r="K1166" s="29"/>
    </ns0:row>
    <ns0:row r="1167" ht="28" customHeight="1">
      <ns0:c r="A1167" s="29"/>
      <ns0:c r="B1167" s="30"/>
      <ns0:c r="C1167" s="28"/>
      <ns0:c r="D1167" s="29"/>
      <ns0:c r="E1167" s="31"/>
      <ns0:c r="F1167" s="32"/>
      <ns0:c r="G1167" s="29"/>
      <ns0:c r="H1167" s="29"/>
      <ns0:c r="I1167" s="29"/>
      <ns0:c r="J1167" s="29"/>
      <ns0:c r="K1167" s="29"/>
    </ns0:row>
    <ns0:row r="1168" ht="28" customHeight="1">
      <ns0:c r="A1168" s="29"/>
      <ns0:c r="B1168" s="30"/>
      <ns0:c r="C1168" s="28"/>
      <ns0:c r="D1168" s="29"/>
      <ns0:c r="E1168" s="31"/>
      <ns0:c r="F1168" s="32"/>
      <ns0:c r="G1168" s="29"/>
      <ns0:c r="H1168" s="29"/>
      <ns0:c r="I1168" s="29"/>
      <ns0:c r="J1168" s="29"/>
      <ns0:c r="K1168" s="29"/>
    </ns0:row>
    <ns0:row r="1169" ht="28" customHeight="1">
      <ns0:c r="A1169" s="29"/>
      <ns0:c r="B1169" s="30"/>
      <ns0:c r="C1169" s="28"/>
      <ns0:c r="D1169" s="29"/>
      <ns0:c r="E1169" s="31"/>
      <ns0:c r="F1169" s="32"/>
      <ns0:c r="G1169" s="29"/>
      <ns0:c r="H1169" s="29"/>
      <ns0:c r="I1169" s="29"/>
      <ns0:c r="J1169" s="29"/>
      <ns0:c r="K1169" s="29"/>
    </ns0:row>
    <ns0:row r="1170" ht="28" customHeight="1">
      <ns0:c r="A1170" s="29"/>
      <ns0:c r="B1170" s="30"/>
      <ns0:c r="C1170" s="28"/>
      <ns0:c r="D1170" s="29"/>
      <ns0:c r="E1170" s="31"/>
      <ns0:c r="F1170" s="32"/>
      <ns0:c r="G1170" s="29"/>
      <ns0:c r="H1170" s="29"/>
      <ns0:c r="I1170" s="29"/>
      <ns0:c r="J1170" s="29"/>
      <ns0:c r="K1170" s="29"/>
    </ns0:row>
    <ns0:row r="1171" ht="28" customHeight="1">
      <ns0:c r="A1171" s="29"/>
      <ns0:c r="B1171" s="30"/>
      <ns0:c r="C1171" s="28"/>
      <ns0:c r="D1171" s="29"/>
      <ns0:c r="E1171" s="31"/>
      <ns0:c r="F1171" s="32"/>
      <ns0:c r="G1171" s="29"/>
      <ns0:c r="H1171" s="29"/>
      <ns0:c r="I1171" s="29"/>
      <ns0:c r="J1171" s="29"/>
      <ns0:c r="K1171" s="29"/>
    </ns0:row>
    <ns0:row r="1172" ht="28" customHeight="1">
      <ns0:c r="A1172" s="29"/>
      <ns0:c r="B1172" s="30"/>
      <ns0:c r="C1172" s="28"/>
      <ns0:c r="D1172" s="29"/>
      <ns0:c r="E1172" s="31"/>
      <ns0:c r="F1172" s="32"/>
      <ns0:c r="G1172" s="29"/>
      <ns0:c r="H1172" s="29"/>
      <ns0:c r="I1172" s="29"/>
      <ns0:c r="J1172" s="29"/>
      <ns0:c r="K1172" s="29"/>
    </ns0:row>
    <ns0:row r="1173" ht="28" customHeight="1">
      <ns0:c r="A1173" s="29"/>
      <ns0:c r="B1173" s="30"/>
      <ns0:c r="C1173" s="28"/>
      <ns0:c r="D1173" s="29"/>
      <ns0:c r="E1173" s="31"/>
      <ns0:c r="F1173" s="32"/>
      <ns0:c r="G1173" s="29"/>
      <ns0:c r="H1173" s="29"/>
      <ns0:c r="I1173" s="29"/>
      <ns0:c r="J1173" s="29"/>
      <ns0:c r="K1173" s="29"/>
    </ns0:row>
    <ns0:row r="1174" ht="28" customHeight="1">
      <ns0:c r="A1174" s="29"/>
      <ns0:c r="B1174" s="30"/>
      <ns0:c r="C1174" s="28"/>
      <ns0:c r="D1174" s="29"/>
      <ns0:c r="E1174" s="31"/>
      <ns0:c r="F1174" s="32"/>
      <ns0:c r="G1174" s="29"/>
      <ns0:c r="H1174" s="29"/>
      <ns0:c r="I1174" s="29"/>
      <ns0:c r="J1174" s="29"/>
      <ns0:c r="K1174" s="29"/>
    </ns0:row>
    <ns0:row r="1175" ht="28" customHeight="1">
      <ns0:c r="A1175" s="29"/>
      <ns0:c r="B1175" s="30"/>
      <ns0:c r="C1175" s="28"/>
      <ns0:c r="D1175" s="29"/>
      <ns0:c r="E1175" s="31"/>
      <ns0:c r="F1175" s="32"/>
      <ns0:c r="G1175" s="29"/>
      <ns0:c r="H1175" s="29"/>
      <ns0:c r="I1175" s="29"/>
      <ns0:c r="J1175" s="29"/>
      <ns0:c r="K1175" s="29"/>
    </ns0:row>
    <ns0:row r="1176" ht="28" customHeight="1">
      <ns0:c r="A1176" s="29"/>
      <ns0:c r="B1176" s="30"/>
      <ns0:c r="C1176" s="28"/>
      <ns0:c r="D1176" s="29"/>
      <ns0:c r="E1176" s="31"/>
      <ns0:c r="F1176" s="32"/>
      <ns0:c r="G1176" s="29"/>
      <ns0:c r="H1176" s="29"/>
      <ns0:c r="I1176" s="29"/>
      <ns0:c r="J1176" s="29"/>
      <ns0:c r="K1176" s="29"/>
    </ns0:row>
    <ns0:row r="1177" ht="28" customHeight="1">
      <ns0:c r="A1177" s="29"/>
      <ns0:c r="B1177" s="30"/>
      <ns0:c r="C1177" s="28"/>
      <ns0:c r="D1177" s="29"/>
      <ns0:c r="E1177" s="31"/>
      <ns0:c r="F1177" s="32"/>
      <ns0:c r="G1177" s="29"/>
      <ns0:c r="H1177" s="29"/>
      <ns0:c r="I1177" s="29"/>
      <ns0:c r="J1177" s="29"/>
      <ns0:c r="K1177" s="29"/>
    </ns0:row>
    <ns0:row r="1178" ht="28" customHeight="1">
      <ns0:c r="A1178" s="29"/>
      <ns0:c r="B1178" s="30"/>
      <ns0:c r="C1178" s="28"/>
      <ns0:c r="D1178" s="29"/>
      <ns0:c r="E1178" s="31"/>
      <ns0:c r="F1178" s="32"/>
      <ns0:c r="G1178" s="29"/>
      <ns0:c r="H1178" s="29"/>
      <ns0:c r="I1178" s="29"/>
      <ns0:c r="J1178" s="29"/>
      <ns0:c r="K1178" s="29"/>
    </ns0:row>
    <ns0:row r="1179" ht="28" customHeight="1">
      <ns0:c r="A1179" s="29"/>
      <ns0:c r="B1179" s="30"/>
      <ns0:c r="C1179" s="28"/>
      <ns0:c r="D1179" s="29"/>
      <ns0:c r="E1179" s="31"/>
      <ns0:c r="F1179" s="32"/>
      <ns0:c r="G1179" s="29"/>
      <ns0:c r="H1179" s="29"/>
      <ns0:c r="I1179" s="29"/>
      <ns0:c r="J1179" s="29"/>
      <ns0:c r="K1179" s="29"/>
    </ns0:row>
    <ns0:row r="1180" ht="28" customHeight="1">
      <ns0:c r="A1180" s="29"/>
      <ns0:c r="B1180" s="30"/>
      <ns0:c r="C1180" s="28"/>
      <ns0:c r="D1180" s="29"/>
      <ns0:c r="E1180" s="31"/>
      <ns0:c r="F1180" s="32"/>
      <ns0:c r="G1180" s="29"/>
      <ns0:c r="H1180" s="29"/>
      <ns0:c r="I1180" s="29"/>
      <ns0:c r="J1180" s="29"/>
      <ns0:c r="K1180" s="29"/>
    </ns0:row>
    <ns0:row r="1181" ht="28" customHeight="1">
      <ns0:c r="A1181" s="29"/>
      <ns0:c r="B1181" s="30"/>
      <ns0:c r="C1181" s="28"/>
      <ns0:c r="D1181" s="29"/>
      <ns0:c r="E1181" s="31"/>
      <ns0:c r="F1181" s="32"/>
      <ns0:c r="G1181" s="29"/>
      <ns0:c r="H1181" s="29"/>
      <ns0:c r="I1181" s="29"/>
      <ns0:c r="J1181" s="29"/>
      <ns0:c r="K1181" s="29"/>
    </ns0:row>
    <ns0:row r="1182" ht="28" customHeight="1">
      <ns0:c r="A1182" s="29"/>
      <ns0:c r="B1182" s="30"/>
      <ns0:c r="C1182" s="28"/>
      <ns0:c r="D1182" s="29"/>
      <ns0:c r="E1182" s="31"/>
      <ns0:c r="F1182" s="32"/>
      <ns0:c r="G1182" s="29"/>
      <ns0:c r="H1182" s="29"/>
      <ns0:c r="I1182" s="29"/>
      <ns0:c r="J1182" s="29"/>
      <ns0:c r="K1182" s="29"/>
    </ns0:row>
    <ns0:row r="1183" ht="28" customHeight="1">
      <ns0:c r="A1183" s="29"/>
      <ns0:c r="B1183" s="30"/>
      <ns0:c r="C1183" s="28"/>
      <ns0:c r="D1183" s="29"/>
      <ns0:c r="E1183" s="31"/>
      <ns0:c r="F1183" s="32"/>
      <ns0:c r="G1183" s="29"/>
      <ns0:c r="H1183" s="29"/>
      <ns0:c r="I1183" s="29"/>
      <ns0:c r="J1183" s="29"/>
      <ns0:c r="K1183" s="29"/>
    </ns0:row>
    <ns0:row r="1184" ht="28" customHeight="1">
      <ns0:c r="A1184" s="29"/>
      <ns0:c r="B1184" s="30"/>
      <ns0:c r="C1184" s="28"/>
      <ns0:c r="D1184" s="29"/>
      <ns0:c r="E1184" s="31"/>
      <ns0:c r="F1184" s="32"/>
      <ns0:c r="G1184" s="29"/>
      <ns0:c r="H1184" s="29"/>
      <ns0:c r="I1184" s="29"/>
      <ns0:c r="J1184" s="29"/>
      <ns0:c r="K1184" s="29"/>
    </ns0:row>
    <ns0:row r="1185" ht="28" customHeight="1">
      <ns0:c r="A1185" s="29"/>
      <ns0:c r="B1185" s="30"/>
      <ns0:c r="C1185" s="28"/>
      <ns0:c r="D1185" s="29"/>
      <ns0:c r="E1185" s="31"/>
      <ns0:c r="F1185" s="32"/>
      <ns0:c r="G1185" s="29"/>
      <ns0:c r="H1185" s="29"/>
      <ns0:c r="I1185" s="29"/>
      <ns0:c r="J1185" s="29"/>
      <ns0:c r="K1185" s="29"/>
    </ns0:row>
    <ns0:row r="1186" ht="28" customHeight="1">
      <ns0:c r="A1186" s="29"/>
      <ns0:c r="B1186" s="30"/>
      <ns0:c r="C1186" s="28"/>
      <ns0:c r="D1186" s="29"/>
      <ns0:c r="E1186" s="31"/>
      <ns0:c r="F1186" s="32"/>
      <ns0:c r="G1186" s="29"/>
      <ns0:c r="H1186" s="29"/>
      <ns0:c r="I1186" s="29"/>
      <ns0:c r="J1186" s="29"/>
      <ns0:c r="K1186" s="29"/>
    </ns0:row>
    <ns0:row r="1187" ht="28" customHeight="1">
      <ns0:c r="A1187" s="29"/>
      <ns0:c r="B1187" s="30"/>
      <ns0:c r="C1187" s="28"/>
      <ns0:c r="D1187" s="29"/>
      <ns0:c r="E1187" s="31"/>
      <ns0:c r="F1187" s="32"/>
      <ns0:c r="G1187" s="29"/>
      <ns0:c r="H1187" s="29"/>
      <ns0:c r="I1187" s="29"/>
      <ns0:c r="J1187" s="29"/>
      <ns0:c r="K1187" s="29"/>
    </ns0:row>
    <ns0:row r="1188" ht="28" customHeight="1">
      <ns0:c r="A1188" s="29"/>
      <ns0:c r="B1188" s="30"/>
      <ns0:c r="C1188" s="28"/>
      <ns0:c r="D1188" s="29"/>
      <ns0:c r="E1188" s="31"/>
      <ns0:c r="F1188" s="32"/>
      <ns0:c r="G1188" s="29"/>
      <ns0:c r="H1188" s="29"/>
      <ns0:c r="I1188" s="29"/>
      <ns0:c r="J1188" s="29"/>
      <ns0:c r="K1188" s="29"/>
    </ns0:row>
    <ns0:row r="1189" ht="28" customHeight="1">
      <ns0:c r="A1189" s="29"/>
      <ns0:c r="B1189" s="30"/>
      <ns0:c r="C1189" s="28"/>
      <ns0:c r="D1189" s="29"/>
      <ns0:c r="E1189" s="31"/>
      <ns0:c r="F1189" s="32"/>
      <ns0:c r="G1189" s="29"/>
      <ns0:c r="H1189" s="29"/>
      <ns0:c r="I1189" s="29"/>
      <ns0:c r="J1189" s="29"/>
      <ns0:c r="K1189" s="29"/>
    </ns0:row>
    <ns0:row r="1190" ht="28" customHeight="1">
      <ns0:c r="A1190" s="29"/>
      <ns0:c r="B1190" s="30"/>
      <ns0:c r="C1190" s="28"/>
      <ns0:c r="D1190" s="29"/>
      <ns0:c r="E1190" s="31"/>
      <ns0:c r="F1190" s="32"/>
      <ns0:c r="G1190" s="29"/>
      <ns0:c r="H1190" s="29"/>
      <ns0:c r="I1190" s="29"/>
      <ns0:c r="J1190" s="29"/>
      <ns0:c r="K1190" s="29"/>
    </ns0:row>
    <ns0:row r="1191" ht="28" customHeight="1">
      <ns0:c r="A1191" s="29"/>
      <ns0:c r="B1191" s="30"/>
      <ns0:c r="C1191" s="28"/>
      <ns0:c r="D1191" s="29"/>
      <ns0:c r="E1191" s="31"/>
      <ns0:c r="F1191" s="32"/>
      <ns0:c r="G1191" s="29"/>
      <ns0:c r="H1191" s="29"/>
      <ns0:c r="I1191" s="29"/>
      <ns0:c r="J1191" s="29"/>
      <ns0:c r="K1191" s="29"/>
    </ns0:row>
    <ns0:row r="1192" ht="28" customHeight="1">
      <ns0:c r="A1192" s="29"/>
      <ns0:c r="B1192" s="30"/>
      <ns0:c r="C1192" s="28"/>
      <ns0:c r="D1192" s="29"/>
      <ns0:c r="E1192" s="31"/>
      <ns0:c r="F1192" s="32"/>
      <ns0:c r="G1192" s="29"/>
      <ns0:c r="H1192" s="29"/>
      <ns0:c r="I1192" s="29"/>
      <ns0:c r="J1192" s="29"/>
      <ns0:c r="K1192" s="29"/>
    </ns0:row>
    <ns0:row r="1193" ht="28" customHeight="1">
      <ns0:c r="A1193" s="29"/>
      <ns0:c r="B1193" s="30"/>
      <ns0:c r="C1193" s="28"/>
      <ns0:c r="D1193" s="29"/>
      <ns0:c r="E1193" s="31"/>
      <ns0:c r="F1193" s="32"/>
      <ns0:c r="G1193" s="29"/>
      <ns0:c r="H1193" s="29"/>
      <ns0:c r="I1193" s="29"/>
      <ns0:c r="J1193" s="29"/>
      <ns0:c r="K1193" s="29"/>
    </ns0:row>
    <ns0:row r="1194" ht="28" customHeight="1">
      <ns0:c r="A1194" s="29"/>
      <ns0:c r="B1194" s="30"/>
      <ns0:c r="C1194" s="28"/>
      <ns0:c r="D1194" s="29"/>
      <ns0:c r="E1194" s="31"/>
      <ns0:c r="F1194" s="32"/>
      <ns0:c r="G1194" s="29"/>
      <ns0:c r="H1194" s="29"/>
      <ns0:c r="I1194" s="29"/>
      <ns0:c r="J1194" s="29"/>
      <ns0:c r="K1194" s="29"/>
    </ns0:row>
    <ns0:row r="1195" ht="28" customHeight="1">
      <ns0:c r="A1195" s="29"/>
      <ns0:c r="B1195" s="30"/>
      <ns0:c r="C1195" s="28"/>
      <ns0:c r="D1195" s="29"/>
      <ns0:c r="E1195" s="31"/>
      <ns0:c r="F1195" s="32"/>
      <ns0:c r="G1195" s="29"/>
      <ns0:c r="H1195" s="29"/>
      <ns0:c r="I1195" s="29"/>
      <ns0:c r="J1195" s="29"/>
      <ns0:c r="K1195" s="29"/>
    </ns0:row>
    <ns0:row r="1196" ht="28" customHeight="1">
      <ns0:c r="A1196" s="29"/>
      <ns0:c r="B1196" s="30"/>
      <ns0:c r="C1196" s="28"/>
      <ns0:c r="D1196" s="29"/>
      <ns0:c r="E1196" s="31"/>
      <ns0:c r="F1196" s="32"/>
      <ns0:c r="G1196" s="29"/>
      <ns0:c r="H1196" s="29"/>
      <ns0:c r="I1196" s="29"/>
      <ns0:c r="J1196" s="29"/>
      <ns0:c r="K1196" s="29"/>
    </ns0:row>
    <ns0:row r="1197" ht="28" customHeight="1">
      <ns0:c r="A1197" s="29"/>
      <ns0:c r="B1197" s="30"/>
      <ns0:c r="C1197" s="28"/>
      <ns0:c r="D1197" s="29"/>
      <ns0:c r="E1197" s="31"/>
      <ns0:c r="F1197" s="32"/>
      <ns0:c r="G1197" s="29"/>
      <ns0:c r="H1197" s="29"/>
      <ns0:c r="I1197" s="29"/>
      <ns0:c r="J1197" s="29"/>
      <ns0:c r="K1197" s="29"/>
    </ns0:row>
    <ns0:row r="1198" ht="28" customHeight="1">
      <ns0:c r="A1198" s="29"/>
      <ns0:c r="B1198" s="30"/>
      <ns0:c r="C1198" s="28"/>
      <ns0:c r="D1198" s="29"/>
      <ns0:c r="E1198" s="31"/>
      <ns0:c r="F1198" s="32"/>
      <ns0:c r="G1198" s="29"/>
      <ns0:c r="H1198" s="29"/>
      <ns0:c r="I1198" s="29"/>
      <ns0:c r="J1198" s="29"/>
      <ns0:c r="K1198" s="29"/>
    </ns0:row>
    <ns0:row r="1199" ht="28" customHeight="1">
      <ns0:c r="A1199" s="29"/>
      <ns0:c r="B1199" s="30"/>
      <ns0:c r="C1199" s="28"/>
      <ns0:c r="D1199" s="29"/>
      <ns0:c r="E1199" s="31"/>
      <ns0:c r="F1199" s="32"/>
      <ns0:c r="G1199" s="29"/>
      <ns0:c r="H1199" s="29"/>
      <ns0:c r="I1199" s="29"/>
      <ns0:c r="J1199" s="29"/>
      <ns0:c r="K1199" s="29"/>
    </ns0:row>
    <ns0:row r="1200" ht="28" customHeight="1">
      <ns0:c r="A1200" s="29"/>
      <ns0:c r="B1200" s="30"/>
      <ns0:c r="C1200" s="28"/>
      <ns0:c r="D1200" s="29"/>
      <ns0:c r="E1200" s="31"/>
      <ns0:c r="F1200" s="32"/>
      <ns0:c r="G1200" s="29"/>
      <ns0:c r="H1200" s="29"/>
      <ns0:c r="I1200" s="29"/>
      <ns0:c r="J1200" s="29"/>
      <ns0:c r="K1200" s="29"/>
    </ns0:row>
    <ns0:row r="1201" ht="28" customHeight="1">
      <ns0:c r="A1201" s="29"/>
      <ns0:c r="B1201" s="30"/>
      <ns0:c r="C1201" s="28"/>
      <ns0:c r="D1201" s="29"/>
      <ns0:c r="E1201" s="31"/>
      <ns0:c r="F1201" s="32"/>
      <ns0:c r="G1201" s="29"/>
      <ns0:c r="H1201" s="29"/>
      <ns0:c r="I1201" s="29"/>
      <ns0:c r="J1201" s="29"/>
      <ns0:c r="K1201" s="29"/>
    </ns0:row>
    <ns0:row r="1202" ht="28" customHeight="1">
      <ns0:c r="A1202" s="29"/>
      <ns0:c r="B1202" s="30"/>
      <ns0:c r="C1202" s="28"/>
      <ns0:c r="D1202" s="29"/>
      <ns0:c r="E1202" s="31"/>
      <ns0:c r="F1202" s="32"/>
      <ns0:c r="G1202" s="29"/>
      <ns0:c r="H1202" s="29"/>
      <ns0:c r="I1202" s="29"/>
      <ns0:c r="J1202" s="29"/>
      <ns0:c r="K1202" s="29"/>
    </ns0:row>
    <ns0:row r="1203" ht="28" customHeight="1">
      <ns0:c r="A1203" s="29"/>
      <ns0:c r="B1203" s="30"/>
      <ns0:c r="C1203" s="28"/>
      <ns0:c r="D1203" s="29"/>
      <ns0:c r="E1203" s="31"/>
      <ns0:c r="F1203" s="32"/>
      <ns0:c r="G1203" s="29"/>
      <ns0:c r="H1203" s="29"/>
      <ns0:c r="I1203" s="29"/>
      <ns0:c r="J1203" s="29"/>
      <ns0:c r="K1203" s="29"/>
    </ns0:row>
    <ns0:row r="1204" ht="28" customHeight="1">
      <ns0:c r="A1204" s="29"/>
      <ns0:c r="B1204" s="30"/>
      <ns0:c r="C1204" s="28"/>
      <ns0:c r="D1204" s="29"/>
      <ns0:c r="E1204" s="31"/>
      <ns0:c r="F1204" s="32"/>
      <ns0:c r="G1204" s="29"/>
      <ns0:c r="H1204" s="29"/>
      <ns0:c r="I1204" s="29"/>
      <ns0:c r="J1204" s="29"/>
      <ns0:c r="K1204" s="29"/>
    </ns0:row>
    <ns0:row r="1205" ht="28" customHeight="1">
      <ns0:c r="A1205" s="29"/>
      <ns0:c r="B1205" s="30"/>
      <ns0:c r="C1205" s="28"/>
      <ns0:c r="D1205" s="29"/>
      <ns0:c r="E1205" s="31"/>
      <ns0:c r="F1205" s="32"/>
      <ns0:c r="G1205" s="29"/>
      <ns0:c r="H1205" s="29"/>
      <ns0:c r="I1205" s="29"/>
      <ns0:c r="J1205" s="29"/>
      <ns0:c r="K1205" s="29"/>
    </ns0:row>
    <ns0:row r="1206" ht="28" customHeight="1">
      <ns0:c r="A1206" s="29"/>
      <ns0:c r="B1206" s="30"/>
      <ns0:c r="C1206" s="28"/>
      <ns0:c r="D1206" s="29"/>
      <ns0:c r="E1206" s="31"/>
      <ns0:c r="F1206" s="32"/>
      <ns0:c r="G1206" s="29"/>
      <ns0:c r="H1206" s="29"/>
      <ns0:c r="I1206" s="29"/>
      <ns0:c r="J1206" s="29"/>
      <ns0:c r="K1206" s="29"/>
    </ns0:row>
    <ns0:row r="1207" ht="28" customHeight="1">
      <ns0:c r="A1207" s="29"/>
      <ns0:c r="B1207" s="30"/>
      <ns0:c r="C1207" s="28"/>
      <ns0:c r="D1207" s="29"/>
      <ns0:c r="E1207" s="31"/>
      <ns0:c r="F1207" s="32"/>
      <ns0:c r="G1207" s="29"/>
      <ns0:c r="H1207" s="29"/>
      <ns0:c r="I1207" s="29"/>
      <ns0:c r="J1207" s="29"/>
      <ns0:c r="K1207" s="29"/>
    </ns0:row>
    <ns0:row r="1208" ht="28" customHeight="1">
      <ns0:c r="A1208" s="29"/>
      <ns0:c r="B1208" s="30"/>
      <ns0:c r="C1208" s="28"/>
      <ns0:c r="D1208" s="29"/>
      <ns0:c r="E1208" s="31"/>
      <ns0:c r="F1208" s="32"/>
      <ns0:c r="G1208" s="29"/>
      <ns0:c r="H1208" s="29"/>
      <ns0:c r="I1208" s="29"/>
      <ns0:c r="J1208" s="29"/>
      <ns0:c r="K1208" s="29"/>
    </ns0:row>
    <ns0:row r="1209" ht="28" customHeight="1">
      <ns0:c r="A1209" s="29"/>
      <ns0:c r="B1209" s="30"/>
      <ns0:c r="C1209" s="28"/>
      <ns0:c r="D1209" s="29"/>
      <ns0:c r="E1209" s="31"/>
      <ns0:c r="F1209" s="32"/>
      <ns0:c r="G1209" s="29"/>
      <ns0:c r="H1209" s="29"/>
      <ns0:c r="I1209" s="29"/>
      <ns0:c r="J1209" s="29"/>
      <ns0:c r="K1209" s="29"/>
    </ns0:row>
    <ns0:row r="1210" ht="28" customHeight="1">
      <ns0:c r="A1210" s="29"/>
      <ns0:c r="B1210" s="30"/>
      <ns0:c r="C1210" s="28"/>
      <ns0:c r="D1210" s="29"/>
      <ns0:c r="E1210" s="31"/>
      <ns0:c r="F1210" s="32"/>
      <ns0:c r="G1210" s="29"/>
      <ns0:c r="H1210" s="29"/>
      <ns0:c r="I1210" s="29"/>
      <ns0:c r="J1210" s="29"/>
      <ns0:c r="K1210" s="29"/>
    </ns0:row>
    <ns0:row r="1211" ht="28" customHeight="1">
      <ns0:c r="A1211" s="29"/>
      <ns0:c r="B1211" s="30"/>
      <ns0:c r="C1211" s="28"/>
      <ns0:c r="D1211" s="29"/>
      <ns0:c r="E1211" s="31"/>
      <ns0:c r="F1211" s="32"/>
      <ns0:c r="G1211" s="29"/>
      <ns0:c r="H1211" s="29"/>
      <ns0:c r="I1211" s="29"/>
      <ns0:c r="J1211" s="29"/>
      <ns0:c r="K1211" s="29"/>
    </ns0:row>
    <ns0:row r="1212" ht="28" customHeight="1">
      <ns0:c r="A1212" s="29"/>
      <ns0:c r="B1212" s="30"/>
      <ns0:c r="C1212" s="28"/>
      <ns0:c r="D1212" s="29"/>
      <ns0:c r="E1212" s="31"/>
      <ns0:c r="F1212" s="32"/>
      <ns0:c r="G1212" s="29"/>
      <ns0:c r="H1212" s="29"/>
      <ns0:c r="I1212" s="29"/>
      <ns0:c r="J1212" s="29"/>
      <ns0:c r="K1212" s="29"/>
    </ns0:row>
    <ns0:row r="1213" ht="28" customHeight="1">
      <ns0:c r="A1213" s="29"/>
      <ns0:c r="B1213" s="30"/>
      <ns0:c r="C1213" s="28"/>
      <ns0:c r="D1213" s="29"/>
      <ns0:c r="E1213" s="31"/>
      <ns0:c r="F1213" s="32"/>
      <ns0:c r="G1213" s="29"/>
      <ns0:c r="H1213" s="29"/>
      <ns0:c r="I1213" s="29"/>
      <ns0:c r="J1213" s="29"/>
      <ns0:c r="K1213" s="29"/>
    </ns0:row>
    <ns0:row r="1214" ht="28" customHeight="1">
      <ns0:c r="A1214" s="29"/>
      <ns0:c r="B1214" s="30"/>
      <ns0:c r="C1214" s="28"/>
      <ns0:c r="D1214" s="29"/>
      <ns0:c r="E1214" s="31"/>
      <ns0:c r="F1214" s="32"/>
      <ns0:c r="G1214" s="29"/>
      <ns0:c r="H1214" s="29"/>
      <ns0:c r="I1214" s="29"/>
      <ns0:c r="J1214" s="29"/>
      <ns0:c r="K1214" s="29"/>
    </ns0:row>
    <ns0:row r="1215" ht="28" customHeight="1">
      <ns0:c r="A1215" s="29"/>
      <ns0:c r="B1215" s="30"/>
      <ns0:c r="C1215" s="28"/>
      <ns0:c r="D1215" s="29"/>
      <ns0:c r="E1215" s="31"/>
      <ns0:c r="F1215" s="32"/>
      <ns0:c r="G1215" s="29"/>
      <ns0:c r="H1215" s="29"/>
      <ns0:c r="I1215" s="29"/>
      <ns0:c r="J1215" s="29"/>
      <ns0:c r="K1215" s="29"/>
    </ns0:row>
    <ns0:row r="1216" ht="28" customHeight="1">
      <ns0:c r="A1216" s="29"/>
      <ns0:c r="B1216" s="30"/>
      <ns0:c r="C1216" s="28"/>
      <ns0:c r="D1216" s="29"/>
      <ns0:c r="E1216" s="31"/>
      <ns0:c r="F1216" s="32"/>
      <ns0:c r="G1216" s="29"/>
      <ns0:c r="H1216" s="29"/>
      <ns0:c r="I1216" s="29"/>
      <ns0:c r="J1216" s="29"/>
      <ns0:c r="K1216" s="29"/>
    </ns0:row>
    <ns0:row r="1217" ht="28" customHeight="1">
      <ns0:c r="A1217" s="29"/>
      <ns0:c r="B1217" s="30"/>
      <ns0:c r="C1217" s="28"/>
      <ns0:c r="D1217" s="29"/>
      <ns0:c r="E1217" s="31"/>
      <ns0:c r="F1217" s="32"/>
      <ns0:c r="G1217" s="29"/>
      <ns0:c r="H1217" s="29"/>
      <ns0:c r="I1217" s="29"/>
      <ns0:c r="J1217" s="29"/>
      <ns0:c r="K1217" s="29"/>
    </ns0:row>
    <ns0:row r="1218" ht="28" customHeight="1">
      <ns0:c r="A1218" s="29"/>
      <ns0:c r="B1218" s="30"/>
      <ns0:c r="C1218" s="28"/>
      <ns0:c r="D1218" s="29"/>
      <ns0:c r="E1218" s="31"/>
      <ns0:c r="F1218" s="32"/>
      <ns0:c r="G1218" s="29"/>
      <ns0:c r="H1218" s="29"/>
      <ns0:c r="I1218" s="29"/>
      <ns0:c r="J1218" s="29"/>
      <ns0:c r="K1218" s="29"/>
    </ns0:row>
    <ns0:row r="1219" ht="28" customHeight="1">
      <ns0:c r="A1219" s="29"/>
      <ns0:c r="B1219" s="30"/>
      <ns0:c r="C1219" s="28"/>
      <ns0:c r="D1219" s="29"/>
      <ns0:c r="E1219" s="31"/>
      <ns0:c r="F1219" s="32"/>
      <ns0:c r="G1219" s="29"/>
      <ns0:c r="H1219" s="29"/>
      <ns0:c r="I1219" s="29"/>
      <ns0:c r="J1219" s="29"/>
      <ns0:c r="K1219" s="29"/>
    </ns0:row>
    <ns0:row r="1220" ht="28" customHeight="1">
      <ns0:c r="A1220" s="29"/>
      <ns0:c r="B1220" s="30"/>
      <ns0:c r="C1220" s="28"/>
      <ns0:c r="D1220" s="29"/>
      <ns0:c r="E1220" s="31"/>
      <ns0:c r="F1220" s="32"/>
      <ns0:c r="G1220" s="29"/>
      <ns0:c r="H1220" s="29"/>
      <ns0:c r="I1220" s="29"/>
      <ns0:c r="J1220" s="29"/>
      <ns0:c r="K1220" s="29"/>
    </ns0:row>
    <ns0:row r="1221" ht="28" customHeight="1">
      <ns0:c r="A1221" s="29"/>
      <ns0:c r="B1221" s="30"/>
      <ns0:c r="C1221" s="28"/>
      <ns0:c r="D1221" s="29"/>
      <ns0:c r="E1221" s="31"/>
      <ns0:c r="F1221" s="32"/>
      <ns0:c r="G1221" s="29"/>
      <ns0:c r="H1221" s="29"/>
      <ns0:c r="I1221" s="29"/>
      <ns0:c r="J1221" s="29"/>
      <ns0:c r="K1221" s="29"/>
    </ns0:row>
    <ns0:row r="1222" ht="28" customHeight="1">
      <ns0:c r="A1222" s="29"/>
      <ns0:c r="B1222" s="30"/>
      <ns0:c r="C1222" s="28"/>
      <ns0:c r="D1222" s="29"/>
      <ns0:c r="E1222" s="31"/>
      <ns0:c r="F1222" s="32"/>
      <ns0:c r="G1222" s="29"/>
      <ns0:c r="H1222" s="29"/>
      <ns0:c r="I1222" s="29"/>
      <ns0:c r="J1222" s="29"/>
      <ns0:c r="K1222" s="29"/>
    </ns0:row>
    <ns0:row r="1223" ht="28" customHeight="1">
      <ns0:c r="A1223" s="29"/>
      <ns0:c r="B1223" s="30"/>
      <ns0:c r="C1223" s="28"/>
      <ns0:c r="D1223" s="29"/>
      <ns0:c r="E1223" s="31"/>
      <ns0:c r="F1223" s="32"/>
      <ns0:c r="G1223" s="29"/>
      <ns0:c r="H1223" s="29"/>
      <ns0:c r="I1223" s="29"/>
      <ns0:c r="J1223" s="29"/>
      <ns0:c r="K1223" s="29"/>
    </ns0:row>
    <ns0:row r="1224" ht="28" customHeight="1">
      <ns0:c r="A1224" s="29"/>
      <ns0:c r="B1224" s="30"/>
      <ns0:c r="C1224" s="28"/>
      <ns0:c r="D1224" s="29"/>
      <ns0:c r="E1224" s="31"/>
      <ns0:c r="F1224" s="32"/>
      <ns0:c r="G1224" s="29"/>
      <ns0:c r="H1224" s="29"/>
      <ns0:c r="I1224" s="29"/>
      <ns0:c r="J1224" s="29"/>
      <ns0:c r="K1224" s="29"/>
    </ns0:row>
    <ns0:row r="1225" ht="28" customHeight="1">
      <ns0:c r="A1225" s="29"/>
      <ns0:c r="B1225" s="30"/>
      <ns0:c r="C1225" s="28"/>
      <ns0:c r="D1225" s="29"/>
      <ns0:c r="E1225" s="31"/>
      <ns0:c r="F1225" s="32"/>
      <ns0:c r="G1225" s="29"/>
      <ns0:c r="H1225" s="29"/>
      <ns0:c r="I1225" s="29"/>
      <ns0:c r="J1225" s="29"/>
      <ns0:c r="K1225" s="29"/>
    </ns0:row>
    <ns0:row r="1226" ht="28" customHeight="1">
      <ns0:c r="A1226" s="29"/>
      <ns0:c r="B1226" s="30"/>
      <ns0:c r="C1226" s="28"/>
      <ns0:c r="D1226" s="29"/>
      <ns0:c r="E1226" s="31"/>
      <ns0:c r="F1226" s="32"/>
      <ns0:c r="G1226" s="29"/>
      <ns0:c r="H1226" s="29"/>
      <ns0:c r="I1226" s="29"/>
      <ns0:c r="J1226" s="29"/>
      <ns0:c r="K1226" s="29"/>
    </ns0:row>
    <ns0:row r="1227" ht="28" customHeight="1">
      <ns0:c r="A1227" s="29"/>
      <ns0:c r="B1227" s="30"/>
      <ns0:c r="C1227" s="28"/>
      <ns0:c r="D1227" s="29"/>
      <ns0:c r="E1227" s="31"/>
      <ns0:c r="F1227" s="32"/>
      <ns0:c r="G1227" s="29"/>
      <ns0:c r="H1227" s="29"/>
      <ns0:c r="I1227" s="29"/>
      <ns0:c r="J1227" s="29"/>
      <ns0:c r="K1227" s="29"/>
    </ns0:row>
    <ns0:row r="1228" ht="28" customHeight="1">
      <ns0:c r="A1228" s="29"/>
      <ns0:c r="B1228" s="30"/>
      <ns0:c r="C1228" s="28"/>
      <ns0:c r="D1228" s="29"/>
      <ns0:c r="E1228" s="31"/>
      <ns0:c r="F1228" s="32"/>
      <ns0:c r="G1228" s="29"/>
      <ns0:c r="H1228" s="29"/>
      <ns0:c r="I1228" s="29"/>
      <ns0:c r="J1228" s="29"/>
      <ns0:c r="K1228" s="29"/>
    </ns0:row>
    <ns0:row r="1229" ht="28" customHeight="1">
      <ns0:c r="A1229" s="29"/>
      <ns0:c r="B1229" s="30"/>
      <ns0:c r="C1229" s="28"/>
      <ns0:c r="D1229" s="29"/>
      <ns0:c r="E1229" s="31"/>
      <ns0:c r="F1229" s="32"/>
      <ns0:c r="G1229" s="29"/>
      <ns0:c r="H1229" s="29"/>
      <ns0:c r="I1229" s="29"/>
      <ns0:c r="J1229" s="29"/>
      <ns0:c r="K1229" s="29"/>
    </ns0:row>
    <ns0:row r="1230" ht="28" customHeight="1">
      <ns0:c r="A1230" s="29"/>
      <ns0:c r="B1230" s="30"/>
      <ns0:c r="C1230" s="28"/>
      <ns0:c r="D1230" s="29"/>
      <ns0:c r="E1230" s="31"/>
      <ns0:c r="F1230" s="32"/>
      <ns0:c r="G1230" s="29"/>
      <ns0:c r="H1230" s="29"/>
      <ns0:c r="I1230" s="29"/>
      <ns0:c r="J1230" s="29"/>
      <ns0:c r="K1230" s="29"/>
    </ns0:row>
    <ns0:row r="1231" ht="28" customHeight="1">
      <ns0:c r="A1231" s="29"/>
      <ns0:c r="B1231" s="30"/>
      <ns0:c r="C1231" s="28"/>
      <ns0:c r="D1231" s="29"/>
      <ns0:c r="E1231" s="31"/>
      <ns0:c r="F1231" s="32"/>
      <ns0:c r="G1231" s="29"/>
      <ns0:c r="H1231" s="29"/>
      <ns0:c r="I1231" s="29"/>
      <ns0:c r="J1231" s="29"/>
      <ns0:c r="K1231" s="29"/>
    </ns0:row>
    <ns0:row r="1232" ht="28" customHeight="1">
      <ns0:c r="A1232" s="29"/>
      <ns0:c r="B1232" s="30"/>
      <ns0:c r="C1232" s="28"/>
      <ns0:c r="D1232" s="29"/>
      <ns0:c r="E1232" s="31"/>
      <ns0:c r="F1232" s="32"/>
      <ns0:c r="G1232" s="29"/>
      <ns0:c r="H1232" s="29"/>
      <ns0:c r="I1232" s="29"/>
      <ns0:c r="J1232" s="29"/>
      <ns0:c r="K1232" s="29"/>
    </ns0:row>
    <ns0:row r="1233" ht="28" customHeight="1">
      <ns0:c r="A1233" s="29"/>
      <ns0:c r="B1233" s="30"/>
      <ns0:c r="C1233" s="28"/>
      <ns0:c r="D1233" s="29"/>
      <ns0:c r="E1233" s="31"/>
      <ns0:c r="F1233" s="32"/>
      <ns0:c r="G1233" s="29"/>
      <ns0:c r="H1233" s="29"/>
      <ns0:c r="I1233" s="29"/>
      <ns0:c r="J1233" s="29"/>
      <ns0:c r="K1233" s="29"/>
    </ns0:row>
    <ns0:row r="1234" ht="28" customHeight="1">
      <ns0:c r="A1234" s="29"/>
      <ns0:c r="B1234" s="30"/>
      <ns0:c r="C1234" s="28"/>
      <ns0:c r="D1234" s="29"/>
      <ns0:c r="E1234" s="31"/>
      <ns0:c r="F1234" s="32"/>
      <ns0:c r="G1234" s="29"/>
      <ns0:c r="H1234" s="29"/>
      <ns0:c r="I1234" s="29"/>
      <ns0:c r="J1234" s="29"/>
      <ns0:c r="K1234" s="29"/>
    </ns0:row>
    <ns0:row r="1235" ht="28" customHeight="1">
      <ns0:c r="A1235" s="29"/>
      <ns0:c r="B1235" s="30"/>
      <ns0:c r="C1235" s="28"/>
      <ns0:c r="D1235" s="29"/>
      <ns0:c r="E1235" s="31"/>
      <ns0:c r="F1235" s="32"/>
      <ns0:c r="G1235" s="29"/>
      <ns0:c r="H1235" s="29"/>
      <ns0:c r="I1235" s="29"/>
      <ns0:c r="J1235" s="29"/>
      <ns0:c r="K1235" s="29"/>
    </ns0:row>
    <ns0:row r="1236" ht="28" customHeight="1">
      <ns0:c r="A1236" s="29"/>
      <ns0:c r="B1236" s="30"/>
      <ns0:c r="C1236" s="28"/>
      <ns0:c r="D1236" s="29"/>
      <ns0:c r="E1236" s="31"/>
      <ns0:c r="F1236" s="32"/>
      <ns0:c r="G1236" s="29"/>
      <ns0:c r="H1236" s="29"/>
      <ns0:c r="I1236" s="29"/>
      <ns0:c r="J1236" s="29"/>
      <ns0:c r="K1236" s="29"/>
    </ns0:row>
    <ns0:row r="1237" ht="28" customHeight="1">
      <ns0:c r="A1237" s="29"/>
      <ns0:c r="B1237" s="30"/>
      <ns0:c r="C1237" s="28"/>
      <ns0:c r="D1237" s="29"/>
      <ns0:c r="E1237" s="31"/>
      <ns0:c r="F1237" s="32"/>
      <ns0:c r="G1237" s="29"/>
      <ns0:c r="H1237" s="29"/>
      <ns0:c r="I1237" s="29"/>
      <ns0:c r="J1237" s="29"/>
      <ns0:c r="K1237" s="29"/>
    </ns0:row>
    <ns0:row r="1238" ht="28" customHeight="1">
      <ns0:c r="A1238" s="29"/>
      <ns0:c r="B1238" s="30"/>
      <ns0:c r="C1238" s="28"/>
      <ns0:c r="D1238" s="29"/>
      <ns0:c r="E1238" s="31"/>
      <ns0:c r="F1238" s="32"/>
      <ns0:c r="G1238" s="29"/>
      <ns0:c r="H1238" s="29"/>
      <ns0:c r="I1238" s="29"/>
      <ns0:c r="J1238" s="29"/>
      <ns0:c r="K1238" s="29"/>
    </ns0:row>
    <ns0:row r="1239" ht="28" customHeight="1">
      <ns0:c r="A1239" s="29"/>
      <ns0:c r="B1239" s="30"/>
      <ns0:c r="C1239" s="28"/>
      <ns0:c r="D1239" s="29"/>
      <ns0:c r="E1239" s="31"/>
      <ns0:c r="F1239" s="32"/>
      <ns0:c r="G1239" s="29"/>
      <ns0:c r="H1239" s="29"/>
      <ns0:c r="I1239" s="29"/>
      <ns0:c r="J1239" s="29"/>
      <ns0:c r="K1239" s="29"/>
    </ns0:row>
    <ns0:row r="1240" ht="28" customHeight="1">
      <ns0:c r="A1240" s="29"/>
      <ns0:c r="B1240" s="30"/>
      <ns0:c r="C1240" s="28"/>
      <ns0:c r="D1240" s="29"/>
      <ns0:c r="E1240" s="31"/>
      <ns0:c r="F1240" s="32"/>
      <ns0:c r="G1240" s="29"/>
      <ns0:c r="H1240" s="29"/>
      <ns0:c r="I1240" s="29"/>
      <ns0:c r="J1240" s="29"/>
      <ns0:c r="K1240" s="29"/>
    </ns0:row>
    <ns0:row r="1241" ht="28" customHeight="1">
      <ns0:c r="A1241" s="29"/>
      <ns0:c r="B1241" s="30"/>
      <ns0:c r="C1241" s="28"/>
      <ns0:c r="D1241" s="29"/>
      <ns0:c r="E1241" s="31"/>
      <ns0:c r="F1241" s="32"/>
      <ns0:c r="G1241" s="29"/>
      <ns0:c r="H1241" s="29"/>
      <ns0:c r="I1241" s="29"/>
      <ns0:c r="J1241" s="29"/>
      <ns0:c r="K1241" s="29"/>
    </ns0:row>
    <ns0:row r="1242" ht="28" customHeight="1">
      <ns0:c r="A1242" s="29"/>
      <ns0:c r="B1242" s="30"/>
      <ns0:c r="C1242" s="28"/>
      <ns0:c r="D1242" s="29"/>
      <ns0:c r="E1242" s="31"/>
      <ns0:c r="F1242" s="32"/>
      <ns0:c r="G1242" s="29"/>
      <ns0:c r="H1242" s="29"/>
      <ns0:c r="I1242" s="29"/>
      <ns0:c r="J1242" s="29"/>
      <ns0:c r="K1242" s="29"/>
    </ns0:row>
    <ns0:row r="1243" ht="28" customHeight="1">
      <ns0:c r="A1243" s="29"/>
      <ns0:c r="B1243" s="30"/>
      <ns0:c r="C1243" s="28"/>
      <ns0:c r="D1243" s="29"/>
      <ns0:c r="E1243" s="31"/>
      <ns0:c r="F1243" s="32"/>
      <ns0:c r="G1243" s="29"/>
      <ns0:c r="H1243" s="29"/>
      <ns0:c r="I1243" s="29"/>
      <ns0:c r="J1243" s="29"/>
      <ns0:c r="K1243" s="29"/>
    </ns0:row>
    <ns0:row r="1244" ht="28" customHeight="1">
      <ns0:c r="A1244" s="29"/>
      <ns0:c r="B1244" s="30"/>
      <ns0:c r="C1244" s="28"/>
      <ns0:c r="D1244" s="29"/>
      <ns0:c r="E1244" s="31"/>
      <ns0:c r="F1244" s="32"/>
      <ns0:c r="G1244" s="29"/>
      <ns0:c r="H1244" s="29"/>
      <ns0:c r="I1244" s="29"/>
      <ns0:c r="J1244" s="29"/>
      <ns0:c r="K1244" s="29"/>
    </ns0:row>
    <ns0:row r="1245" ht="28" customHeight="1">
      <ns0:c r="A1245" s="29"/>
      <ns0:c r="B1245" s="30"/>
      <ns0:c r="C1245" s="28"/>
      <ns0:c r="D1245" s="29"/>
      <ns0:c r="E1245" s="31"/>
      <ns0:c r="F1245" s="32"/>
      <ns0:c r="G1245" s="29"/>
      <ns0:c r="H1245" s="29"/>
      <ns0:c r="I1245" s="29"/>
      <ns0:c r="J1245" s="29"/>
      <ns0:c r="K1245" s="29"/>
    </ns0:row>
    <ns0:row r="1246" ht="28" customHeight="1">
      <ns0:c r="A1246" s="29"/>
      <ns0:c r="B1246" s="30"/>
      <ns0:c r="C1246" s="28"/>
      <ns0:c r="D1246" s="29"/>
      <ns0:c r="E1246" s="31"/>
      <ns0:c r="F1246" s="32"/>
      <ns0:c r="G1246" s="29"/>
      <ns0:c r="H1246" s="29"/>
      <ns0:c r="I1246" s="29"/>
      <ns0:c r="J1246" s="29"/>
      <ns0:c r="K1246" s="29"/>
    </ns0:row>
    <ns0:row r="1247" ht="28" customHeight="1">
      <ns0:c r="A1247" s="29"/>
      <ns0:c r="B1247" s="30"/>
      <ns0:c r="C1247" s="28"/>
      <ns0:c r="D1247" s="29"/>
      <ns0:c r="E1247" s="31"/>
      <ns0:c r="F1247" s="32"/>
      <ns0:c r="G1247" s="29"/>
      <ns0:c r="H1247" s="29"/>
      <ns0:c r="I1247" s="29"/>
      <ns0:c r="J1247" s="29"/>
      <ns0:c r="K1247" s="29"/>
    </ns0:row>
    <ns0:row r="1248" ht="28" customHeight="1">
      <ns0:c r="A1248" s="29"/>
      <ns0:c r="B1248" s="30"/>
      <ns0:c r="C1248" s="28"/>
      <ns0:c r="D1248" s="29"/>
      <ns0:c r="E1248" s="31"/>
      <ns0:c r="F1248" s="32"/>
      <ns0:c r="G1248" s="29"/>
      <ns0:c r="H1248" s="29"/>
      <ns0:c r="I1248" s="29"/>
      <ns0:c r="J1248" s="29"/>
      <ns0:c r="K1248" s="29"/>
    </ns0:row>
    <ns0:row r="1249" ht="28" customHeight="1">
      <ns0:c r="A1249" s="29"/>
      <ns0:c r="B1249" s="30"/>
      <ns0:c r="C1249" s="28"/>
      <ns0:c r="D1249" s="29"/>
      <ns0:c r="E1249" s="31"/>
      <ns0:c r="F1249" s="32"/>
      <ns0:c r="G1249" s="29"/>
      <ns0:c r="H1249" s="29"/>
      <ns0:c r="I1249" s="29"/>
      <ns0:c r="J1249" s="29"/>
      <ns0:c r="K1249" s="29"/>
    </ns0:row>
    <ns0:row r="1250" ht="28" customHeight="1">
      <ns0:c r="A1250" s="29"/>
      <ns0:c r="B1250" s="30"/>
      <ns0:c r="C1250" s="28"/>
      <ns0:c r="D1250" s="29"/>
      <ns0:c r="E1250" s="31"/>
      <ns0:c r="F1250" s="32"/>
      <ns0:c r="G1250" s="29"/>
      <ns0:c r="H1250" s="29"/>
      <ns0:c r="I1250" s="29"/>
      <ns0:c r="J1250" s="29"/>
      <ns0:c r="K1250" s="29"/>
    </ns0:row>
    <ns0:row r="1251" ht="28" customHeight="1">
      <ns0:c r="A1251" s="29"/>
      <ns0:c r="B1251" s="30"/>
      <ns0:c r="C1251" s="28"/>
      <ns0:c r="D1251" s="29"/>
      <ns0:c r="E1251" s="31"/>
      <ns0:c r="F1251" s="32"/>
      <ns0:c r="G1251" s="29"/>
      <ns0:c r="H1251" s="29"/>
      <ns0:c r="I1251" s="29"/>
      <ns0:c r="J1251" s="29"/>
      <ns0:c r="K1251" s="29"/>
    </ns0:row>
    <ns0:row r="1252" ht="28" customHeight="1">
      <ns0:c r="A1252" s="29"/>
      <ns0:c r="B1252" s="30"/>
      <ns0:c r="C1252" s="28"/>
      <ns0:c r="D1252" s="29"/>
      <ns0:c r="E1252" s="31"/>
      <ns0:c r="F1252" s="32"/>
      <ns0:c r="G1252" s="29"/>
      <ns0:c r="H1252" s="29"/>
      <ns0:c r="I1252" s="29"/>
      <ns0:c r="J1252" s="29"/>
      <ns0:c r="K1252" s="29"/>
    </ns0:row>
    <ns0:row r="1253" ht="28" customHeight="1">
      <ns0:c r="A1253" s="29"/>
      <ns0:c r="B1253" s="30"/>
      <ns0:c r="C1253" s="28"/>
      <ns0:c r="D1253" s="29"/>
      <ns0:c r="E1253" s="31"/>
      <ns0:c r="F1253" s="32"/>
      <ns0:c r="G1253" s="29"/>
      <ns0:c r="H1253" s="29"/>
      <ns0:c r="I1253" s="29"/>
      <ns0:c r="J1253" s="29"/>
      <ns0:c r="K1253" s="29"/>
    </ns0:row>
    <ns0:row r="1254" ht="28" customHeight="1">
      <ns0:c r="A1254" s="29"/>
      <ns0:c r="B1254" s="30"/>
      <ns0:c r="C1254" s="28"/>
      <ns0:c r="D1254" s="29"/>
      <ns0:c r="E1254" s="31"/>
      <ns0:c r="F1254" s="32"/>
      <ns0:c r="G1254" s="29"/>
      <ns0:c r="H1254" s="29"/>
      <ns0:c r="I1254" s="29"/>
      <ns0:c r="J1254" s="29"/>
      <ns0:c r="K1254" s="29"/>
    </ns0:row>
    <ns0:row r="1255" ht="28" customHeight="1">
      <ns0:c r="A1255" s="29"/>
      <ns0:c r="B1255" s="30"/>
      <ns0:c r="C1255" s="28"/>
      <ns0:c r="D1255" s="29"/>
      <ns0:c r="E1255" s="31"/>
      <ns0:c r="F1255" s="32"/>
      <ns0:c r="G1255" s="29"/>
      <ns0:c r="H1255" s="29"/>
      <ns0:c r="I1255" s="29"/>
      <ns0:c r="J1255" s="29"/>
      <ns0:c r="K1255" s="29"/>
    </ns0:row>
    <ns0:row r="1256" ht="28" customHeight="1">
      <ns0:c r="A1256" s="29"/>
      <ns0:c r="B1256" s="30"/>
      <ns0:c r="C1256" s="28"/>
      <ns0:c r="D1256" s="29"/>
      <ns0:c r="E1256" s="31"/>
      <ns0:c r="F1256" s="32"/>
      <ns0:c r="G1256" s="29"/>
      <ns0:c r="H1256" s="29"/>
      <ns0:c r="I1256" s="29"/>
      <ns0:c r="J1256" s="29"/>
      <ns0:c r="K1256" s="29"/>
    </ns0:row>
    <ns0:row r="1257" ht="28" customHeight="1">
      <ns0:c r="A1257" s="29"/>
      <ns0:c r="B1257" s="30"/>
      <ns0:c r="C1257" s="28"/>
      <ns0:c r="D1257" s="29"/>
      <ns0:c r="E1257" s="31"/>
      <ns0:c r="F1257" s="32"/>
      <ns0:c r="G1257" s="29"/>
      <ns0:c r="H1257" s="29"/>
      <ns0:c r="I1257" s="29"/>
      <ns0:c r="J1257" s="29"/>
      <ns0:c r="K1257" s="29"/>
    </ns0:row>
    <ns0:row r="1258" ht="28" customHeight="1">
      <ns0:c r="A1258" s="29"/>
      <ns0:c r="B1258" s="30"/>
      <ns0:c r="C1258" s="28"/>
      <ns0:c r="D1258" s="29"/>
      <ns0:c r="E1258" s="31"/>
      <ns0:c r="F1258" s="32"/>
      <ns0:c r="G1258" s="29"/>
      <ns0:c r="H1258" s="29"/>
      <ns0:c r="I1258" s="29"/>
      <ns0:c r="J1258" s="29"/>
      <ns0:c r="K1258" s="29"/>
    </ns0:row>
    <ns0:row r="1259" ht="28" customHeight="1">
      <ns0:c r="A1259" s="29"/>
      <ns0:c r="B1259" s="30"/>
      <ns0:c r="C1259" s="28"/>
      <ns0:c r="D1259" s="29"/>
      <ns0:c r="E1259" s="31"/>
      <ns0:c r="F1259" s="32"/>
      <ns0:c r="G1259" s="29"/>
      <ns0:c r="H1259" s="29"/>
      <ns0:c r="I1259" s="29"/>
      <ns0:c r="J1259" s="29"/>
      <ns0:c r="K1259" s="29"/>
    </ns0:row>
    <ns0:row r="1260" ht="28" customHeight="1">
      <ns0:c r="A1260" s="29"/>
      <ns0:c r="B1260" s="30"/>
      <ns0:c r="C1260" s="28"/>
      <ns0:c r="D1260" s="29"/>
      <ns0:c r="E1260" s="31"/>
      <ns0:c r="F1260" s="32"/>
      <ns0:c r="G1260" s="29"/>
      <ns0:c r="H1260" s="29"/>
      <ns0:c r="I1260" s="29"/>
      <ns0:c r="J1260" s="29"/>
      <ns0:c r="K1260" s="29"/>
    </ns0:row>
    <ns0:row r="1261" ht="28" customHeight="1">
      <ns0:c r="A1261" s="29"/>
      <ns0:c r="B1261" s="30"/>
      <ns0:c r="C1261" s="28"/>
      <ns0:c r="D1261" s="29"/>
      <ns0:c r="E1261" s="31"/>
      <ns0:c r="F1261" s="32"/>
      <ns0:c r="G1261" s="29"/>
      <ns0:c r="H1261" s="29"/>
      <ns0:c r="I1261" s="29"/>
      <ns0:c r="J1261" s="29"/>
      <ns0:c r="K1261" s="29"/>
    </ns0:row>
    <ns0:row r="1262" ht="28" customHeight="1">
      <ns0:c r="A1262" s="29"/>
      <ns0:c r="B1262" s="30"/>
      <ns0:c r="C1262" s="28"/>
      <ns0:c r="D1262" s="29"/>
      <ns0:c r="E1262" s="31"/>
      <ns0:c r="F1262" s="32"/>
      <ns0:c r="G1262" s="29"/>
      <ns0:c r="H1262" s="29"/>
      <ns0:c r="I1262" s="29"/>
      <ns0:c r="J1262" s="29"/>
      <ns0:c r="K1262" s="29"/>
    </ns0:row>
    <ns0:row r="1263" ht="28" customHeight="1">
      <ns0:c r="A1263" s="29"/>
      <ns0:c r="B1263" s="30"/>
      <ns0:c r="C1263" s="28"/>
      <ns0:c r="D1263" s="29"/>
      <ns0:c r="E1263" s="31"/>
      <ns0:c r="F1263" s="32"/>
      <ns0:c r="G1263" s="29"/>
      <ns0:c r="H1263" s="29"/>
      <ns0:c r="I1263" s="29"/>
      <ns0:c r="J1263" s="29"/>
      <ns0:c r="K1263" s="29"/>
    </ns0:row>
    <ns0:row r="1264" ht="28" customHeight="1">
      <ns0:c r="A1264" s="29"/>
      <ns0:c r="B1264" s="30"/>
      <ns0:c r="C1264" s="28"/>
      <ns0:c r="D1264" s="29"/>
      <ns0:c r="E1264" s="31"/>
      <ns0:c r="F1264" s="32"/>
      <ns0:c r="G1264" s="29"/>
      <ns0:c r="H1264" s="29"/>
      <ns0:c r="I1264" s="29"/>
      <ns0:c r="J1264" s="29"/>
      <ns0:c r="K1264" s="29"/>
    </ns0:row>
    <ns0:row r="1265" ht="28" customHeight="1">
      <ns0:c r="A1265" s="29"/>
      <ns0:c r="B1265" s="30"/>
      <ns0:c r="C1265" s="28"/>
      <ns0:c r="D1265" s="29"/>
      <ns0:c r="E1265" s="31"/>
      <ns0:c r="F1265" s="32"/>
      <ns0:c r="G1265" s="29"/>
      <ns0:c r="H1265" s="29"/>
      <ns0:c r="I1265" s="29"/>
      <ns0:c r="J1265" s="29"/>
      <ns0:c r="K1265" s="29"/>
    </ns0:row>
    <ns0:row r="1266" ht="28" customHeight="1">
      <ns0:c r="A1266" s="29"/>
      <ns0:c r="B1266" s="30"/>
      <ns0:c r="C1266" s="28"/>
      <ns0:c r="D1266" s="29"/>
      <ns0:c r="E1266" s="31"/>
      <ns0:c r="F1266" s="32"/>
      <ns0:c r="G1266" s="29"/>
      <ns0:c r="H1266" s="29"/>
      <ns0:c r="I1266" s="29"/>
      <ns0:c r="J1266" s="29"/>
      <ns0:c r="K1266" s="29"/>
    </ns0:row>
    <ns0:row r="1267" ht="28" customHeight="1">
      <ns0:c r="A1267" s="29"/>
      <ns0:c r="B1267" s="30"/>
      <ns0:c r="C1267" s="28"/>
      <ns0:c r="D1267" s="29"/>
      <ns0:c r="E1267" s="31"/>
      <ns0:c r="F1267" s="32"/>
      <ns0:c r="G1267" s="29"/>
      <ns0:c r="H1267" s="29"/>
      <ns0:c r="I1267" s="29"/>
      <ns0:c r="J1267" s="29"/>
      <ns0:c r="K1267" s="29"/>
    </ns0:row>
    <ns0:row r="1268" ht="28" customHeight="1">
      <ns0:c r="A1268" s="29"/>
      <ns0:c r="B1268" s="30"/>
      <ns0:c r="C1268" s="28"/>
      <ns0:c r="D1268" s="29"/>
      <ns0:c r="E1268" s="31"/>
      <ns0:c r="F1268" s="32"/>
      <ns0:c r="G1268" s="29"/>
      <ns0:c r="H1268" s="29"/>
      <ns0:c r="I1268" s="29"/>
      <ns0:c r="J1268" s="29"/>
      <ns0:c r="K1268" s="29"/>
    </ns0:row>
    <ns0:row r="1269" ht="28" customHeight="1">
      <ns0:c r="A1269" s="29"/>
      <ns0:c r="B1269" s="30"/>
      <ns0:c r="C1269" s="28"/>
      <ns0:c r="D1269" s="29"/>
      <ns0:c r="E1269" s="31"/>
      <ns0:c r="F1269" s="32"/>
      <ns0:c r="G1269" s="29"/>
      <ns0:c r="H1269" s="29"/>
      <ns0:c r="I1269" s="29"/>
      <ns0:c r="J1269" s="29"/>
      <ns0:c r="K1269" s="29"/>
    </ns0:row>
    <ns0:row r="1270" ht="28" customHeight="1">
      <ns0:c r="A1270" s="29"/>
      <ns0:c r="B1270" s="30"/>
      <ns0:c r="C1270" s="28"/>
      <ns0:c r="D1270" s="29"/>
      <ns0:c r="E1270" s="31"/>
      <ns0:c r="F1270" s="32"/>
      <ns0:c r="G1270" s="29"/>
      <ns0:c r="H1270" s="29"/>
      <ns0:c r="I1270" s="29"/>
      <ns0:c r="J1270" s="29"/>
      <ns0:c r="K1270" s="29"/>
    </ns0:row>
    <ns0:row r="1271" ht="28" customHeight="1">
      <ns0:c r="A1271" s="29"/>
      <ns0:c r="B1271" s="30"/>
      <ns0:c r="C1271" s="28"/>
      <ns0:c r="D1271" s="29"/>
      <ns0:c r="E1271" s="31"/>
      <ns0:c r="F1271" s="32"/>
      <ns0:c r="G1271" s="29"/>
      <ns0:c r="H1271" s="29"/>
      <ns0:c r="I1271" s="29"/>
      <ns0:c r="J1271" s="29"/>
      <ns0:c r="K1271" s="29"/>
    </ns0:row>
    <ns0:row r="1272" ht="28" customHeight="1">
      <ns0:c r="A1272" s="29"/>
      <ns0:c r="B1272" s="30"/>
      <ns0:c r="C1272" s="28"/>
      <ns0:c r="D1272" s="29"/>
      <ns0:c r="E1272" s="31"/>
      <ns0:c r="F1272" s="32"/>
      <ns0:c r="G1272" s="29"/>
      <ns0:c r="H1272" s="29"/>
      <ns0:c r="I1272" s="29"/>
      <ns0:c r="J1272" s="29"/>
      <ns0:c r="K1272" s="29"/>
    </ns0:row>
    <ns0:row r="1273" ht="28" customHeight="1">
      <ns0:c r="A1273" s="29"/>
      <ns0:c r="B1273" s="30"/>
      <ns0:c r="C1273" s="28"/>
      <ns0:c r="D1273" s="29"/>
      <ns0:c r="E1273" s="31"/>
      <ns0:c r="F1273" s="32"/>
      <ns0:c r="G1273" s="29"/>
      <ns0:c r="H1273" s="29"/>
      <ns0:c r="I1273" s="29"/>
      <ns0:c r="J1273" s="29"/>
      <ns0:c r="K1273" s="29"/>
    </ns0:row>
    <ns0:row r="1274" ht="28" customHeight="1">
      <ns0:c r="A1274" s="29"/>
      <ns0:c r="B1274" s="30"/>
      <ns0:c r="C1274" s="28"/>
      <ns0:c r="D1274" s="29"/>
      <ns0:c r="E1274" s="31"/>
      <ns0:c r="F1274" s="32"/>
      <ns0:c r="G1274" s="29"/>
      <ns0:c r="H1274" s="29"/>
      <ns0:c r="I1274" s="29"/>
      <ns0:c r="J1274" s="29"/>
      <ns0:c r="K1274" s="29"/>
    </ns0:row>
    <ns0:row r="1275" ht="28" customHeight="1">
      <ns0:c r="A1275" s="29"/>
      <ns0:c r="B1275" s="30"/>
      <ns0:c r="C1275" s="28"/>
      <ns0:c r="D1275" s="29"/>
      <ns0:c r="E1275" s="31"/>
      <ns0:c r="F1275" s="32"/>
      <ns0:c r="G1275" s="29"/>
      <ns0:c r="H1275" s="29"/>
      <ns0:c r="I1275" s="29"/>
      <ns0:c r="J1275" s="29"/>
      <ns0:c r="K1275" s="29"/>
    </ns0:row>
    <ns0:row r="1276" ht="28" customHeight="1">
      <ns0:c r="A1276" s="29"/>
      <ns0:c r="B1276" s="30"/>
      <ns0:c r="C1276" s="28"/>
      <ns0:c r="D1276" s="29"/>
      <ns0:c r="E1276" s="31"/>
      <ns0:c r="F1276" s="32"/>
      <ns0:c r="G1276" s="29"/>
      <ns0:c r="H1276" s="29"/>
      <ns0:c r="I1276" s="29"/>
      <ns0:c r="J1276" s="29"/>
      <ns0:c r="K1276" s="29"/>
    </ns0:row>
    <ns0:row r="1277" ht="28" customHeight="1">
      <ns0:c r="A1277" s="29"/>
      <ns0:c r="B1277" s="30"/>
      <ns0:c r="C1277" s="28"/>
      <ns0:c r="D1277" s="29"/>
      <ns0:c r="E1277" s="31"/>
      <ns0:c r="F1277" s="32"/>
      <ns0:c r="G1277" s="29"/>
      <ns0:c r="H1277" s="29"/>
      <ns0:c r="I1277" s="29"/>
      <ns0:c r="J1277" s="29"/>
      <ns0:c r="K1277" s="29"/>
    </ns0:row>
    <ns0:row r="1278" ht="28" customHeight="1">
      <ns0:c r="A1278" s="29"/>
      <ns0:c r="B1278" s="30"/>
      <ns0:c r="C1278" s="28"/>
      <ns0:c r="D1278" s="29"/>
      <ns0:c r="E1278" s="31"/>
      <ns0:c r="F1278" s="32"/>
      <ns0:c r="G1278" s="29"/>
      <ns0:c r="H1278" s="29"/>
      <ns0:c r="I1278" s="29"/>
      <ns0:c r="J1278" s="29"/>
      <ns0:c r="K1278" s="29"/>
    </ns0:row>
    <ns0:row r="1279" ht="28" customHeight="1">
      <ns0:c r="A1279" s="29"/>
      <ns0:c r="B1279" s="30"/>
      <ns0:c r="C1279" s="28"/>
      <ns0:c r="D1279" s="29"/>
      <ns0:c r="E1279" s="31"/>
      <ns0:c r="F1279" s="32"/>
      <ns0:c r="G1279" s="29"/>
      <ns0:c r="H1279" s="29"/>
      <ns0:c r="I1279" s="29"/>
      <ns0:c r="J1279" s="29"/>
      <ns0:c r="K1279" s="29"/>
    </ns0:row>
    <ns0:row r="1280" ht="28" customHeight="1">
      <ns0:c r="A1280" s="29"/>
      <ns0:c r="B1280" s="30"/>
      <ns0:c r="C1280" s="28"/>
      <ns0:c r="D1280" s="29"/>
      <ns0:c r="E1280" s="31"/>
      <ns0:c r="F1280" s="32"/>
      <ns0:c r="G1280" s="29"/>
      <ns0:c r="H1280" s="29"/>
      <ns0:c r="I1280" s="29"/>
      <ns0:c r="J1280" s="29"/>
      <ns0:c r="K1280" s="29"/>
    </ns0:row>
    <ns0:row r="1281" ht="28" customHeight="1">
      <ns0:c r="A1281" s="29"/>
      <ns0:c r="B1281" s="30"/>
      <ns0:c r="C1281" s="28"/>
      <ns0:c r="D1281" s="29"/>
      <ns0:c r="E1281" s="31"/>
      <ns0:c r="F1281" s="32"/>
      <ns0:c r="G1281" s="29"/>
      <ns0:c r="H1281" s="29"/>
      <ns0:c r="I1281" s="29"/>
      <ns0:c r="J1281" s="29"/>
      <ns0:c r="K1281" s="29"/>
    </ns0:row>
    <ns0:row r="1282" ht="28" customHeight="1">
      <ns0:c r="A1282" s="29"/>
      <ns0:c r="B1282" s="30"/>
      <ns0:c r="C1282" s="28"/>
      <ns0:c r="D1282" s="29"/>
      <ns0:c r="E1282" s="31"/>
      <ns0:c r="F1282" s="32"/>
      <ns0:c r="G1282" s="29"/>
      <ns0:c r="H1282" s="29"/>
      <ns0:c r="I1282" s="29"/>
      <ns0:c r="J1282" s="29"/>
      <ns0:c r="K1282" s="29"/>
    </ns0:row>
    <ns0:row r="1283" ht="28" customHeight="1">
      <ns0:c r="A1283" s="29"/>
      <ns0:c r="B1283" s="30"/>
      <ns0:c r="C1283" s="28"/>
      <ns0:c r="D1283" s="29"/>
      <ns0:c r="E1283" s="31"/>
      <ns0:c r="F1283" s="32"/>
      <ns0:c r="G1283" s="29"/>
      <ns0:c r="H1283" s="29"/>
      <ns0:c r="I1283" s="29"/>
      <ns0:c r="J1283" s="29"/>
      <ns0:c r="K1283" s="29"/>
    </ns0:row>
    <ns0:row r="1284" ht="28" customHeight="1">
      <ns0:c r="A1284" s="29"/>
      <ns0:c r="B1284" s="30"/>
      <ns0:c r="C1284" s="28"/>
      <ns0:c r="D1284" s="29"/>
      <ns0:c r="E1284" s="31"/>
      <ns0:c r="F1284" s="32"/>
      <ns0:c r="G1284" s="29"/>
      <ns0:c r="H1284" s="29"/>
      <ns0:c r="I1284" s="29"/>
      <ns0:c r="J1284" s="29"/>
      <ns0:c r="K1284" s="29"/>
    </ns0:row>
    <ns0:row r="1285" ht="28" customHeight="1">
      <ns0:c r="A1285" s="29"/>
      <ns0:c r="B1285" s="30"/>
      <ns0:c r="C1285" s="28"/>
      <ns0:c r="D1285" s="29"/>
      <ns0:c r="E1285" s="31"/>
      <ns0:c r="F1285" s="32"/>
      <ns0:c r="G1285" s="29"/>
      <ns0:c r="H1285" s="29"/>
      <ns0:c r="I1285" s="29"/>
      <ns0:c r="J1285" s="29"/>
      <ns0:c r="K1285" s="29"/>
    </ns0:row>
    <ns0:row r="1286" ht="28" customHeight="1">
      <ns0:c r="A1286" s="29"/>
      <ns0:c r="B1286" s="30"/>
      <ns0:c r="C1286" s="28"/>
      <ns0:c r="D1286" s="29"/>
      <ns0:c r="E1286" s="31"/>
      <ns0:c r="F1286" s="32"/>
      <ns0:c r="G1286" s="29"/>
      <ns0:c r="H1286" s="29"/>
      <ns0:c r="I1286" s="29"/>
      <ns0:c r="J1286" s="29"/>
      <ns0:c r="K1286" s="29"/>
    </ns0:row>
    <ns0:row r="1287" ht="28" customHeight="1">
      <ns0:c r="A1287" s="29"/>
      <ns0:c r="B1287" s="30"/>
      <ns0:c r="C1287" s="28"/>
      <ns0:c r="D1287" s="29"/>
      <ns0:c r="E1287" s="31"/>
      <ns0:c r="F1287" s="32"/>
      <ns0:c r="G1287" s="29"/>
      <ns0:c r="H1287" s="29"/>
      <ns0:c r="I1287" s="29"/>
      <ns0:c r="J1287" s="29"/>
      <ns0:c r="K1287" s="29"/>
    </ns0:row>
    <ns0:row r="1288" ht="28" customHeight="1">
      <ns0:c r="A1288" s="29"/>
      <ns0:c r="B1288" s="30"/>
      <ns0:c r="C1288" s="28"/>
      <ns0:c r="D1288" s="29"/>
      <ns0:c r="E1288" s="31"/>
      <ns0:c r="F1288" s="32"/>
      <ns0:c r="G1288" s="29"/>
      <ns0:c r="H1288" s="29"/>
      <ns0:c r="I1288" s="29"/>
      <ns0:c r="J1288" s="29"/>
      <ns0:c r="K1288" s="29"/>
    </ns0:row>
    <ns0:row r="1289" ht="28" customHeight="1">
      <ns0:c r="A1289" s="29"/>
      <ns0:c r="B1289" s="30"/>
      <ns0:c r="C1289" s="28"/>
      <ns0:c r="D1289" s="29"/>
      <ns0:c r="E1289" s="31"/>
      <ns0:c r="F1289" s="32"/>
      <ns0:c r="G1289" s="29"/>
      <ns0:c r="H1289" s="29"/>
      <ns0:c r="I1289" s="29"/>
      <ns0:c r="J1289" s="29"/>
      <ns0:c r="K1289" s="29"/>
    </ns0:row>
    <ns0:row r="1290" ht="28" customHeight="1">
      <ns0:c r="A1290" s="29"/>
      <ns0:c r="B1290" s="30"/>
      <ns0:c r="C1290" s="28"/>
      <ns0:c r="D1290" s="29"/>
      <ns0:c r="E1290" s="31"/>
      <ns0:c r="F1290" s="32"/>
      <ns0:c r="G1290" s="29"/>
      <ns0:c r="H1290" s="29"/>
      <ns0:c r="I1290" s="29"/>
      <ns0:c r="J1290" s="29"/>
      <ns0:c r="K1290" s="29"/>
    </ns0:row>
    <ns0:row r="1291" ht="28" customHeight="1">
      <ns0:c r="A1291" s="29"/>
      <ns0:c r="B1291" s="30"/>
      <ns0:c r="C1291" s="28"/>
      <ns0:c r="D1291" s="29"/>
      <ns0:c r="E1291" s="31"/>
      <ns0:c r="F1291" s="32"/>
      <ns0:c r="G1291" s="29"/>
      <ns0:c r="H1291" s="29"/>
      <ns0:c r="I1291" s="29"/>
      <ns0:c r="J1291" s="29"/>
      <ns0:c r="K1291" s="29"/>
    </ns0:row>
    <ns0:row r="1292" ht="28" customHeight="1">
      <ns0:c r="A1292" s="29"/>
      <ns0:c r="B1292" s="30"/>
      <ns0:c r="C1292" s="28"/>
      <ns0:c r="D1292" s="29"/>
      <ns0:c r="E1292" s="31"/>
      <ns0:c r="F1292" s="32"/>
      <ns0:c r="G1292" s="29"/>
      <ns0:c r="H1292" s="29"/>
      <ns0:c r="I1292" s="29"/>
      <ns0:c r="J1292" s="29"/>
      <ns0:c r="K1292" s="29"/>
    </ns0:row>
    <ns0:row r="1293" ht="28" customHeight="1">
      <ns0:c r="A1293" s="29"/>
      <ns0:c r="B1293" s="30"/>
      <ns0:c r="C1293" s="28"/>
      <ns0:c r="D1293" s="29"/>
      <ns0:c r="E1293" s="31"/>
      <ns0:c r="F1293" s="32"/>
      <ns0:c r="G1293" s="29"/>
      <ns0:c r="H1293" s="29"/>
      <ns0:c r="I1293" s="29"/>
      <ns0:c r="J1293" s="29"/>
      <ns0:c r="K1293" s="29"/>
    </ns0:row>
    <ns0:row r="1294" ht="28" customHeight="1">
      <ns0:c r="A1294" s="29"/>
      <ns0:c r="B1294" s="30"/>
      <ns0:c r="C1294" s="28"/>
      <ns0:c r="D1294" s="29"/>
      <ns0:c r="E1294" s="31"/>
      <ns0:c r="F1294" s="32"/>
      <ns0:c r="G1294" s="29"/>
      <ns0:c r="H1294" s="29"/>
      <ns0:c r="I1294" s="29"/>
      <ns0:c r="J1294" s="29"/>
      <ns0:c r="K1294" s="29"/>
    </ns0:row>
    <ns0:row r="1295" ht="28" customHeight="1">
      <ns0:c r="A1295" s="29"/>
      <ns0:c r="B1295" s="30"/>
      <ns0:c r="C1295" s="28"/>
      <ns0:c r="D1295" s="29"/>
      <ns0:c r="E1295" s="31"/>
      <ns0:c r="F1295" s="32"/>
      <ns0:c r="G1295" s="29"/>
      <ns0:c r="H1295" s="29"/>
      <ns0:c r="I1295" s="29"/>
      <ns0:c r="J1295" s="29"/>
      <ns0:c r="K1295" s="29"/>
    </ns0:row>
    <ns0:row r="1296" ht="28" customHeight="1">
      <ns0:c r="A1296" s="29"/>
      <ns0:c r="B1296" s="30"/>
      <ns0:c r="C1296" s="28"/>
      <ns0:c r="D1296" s="29"/>
      <ns0:c r="E1296" s="31"/>
      <ns0:c r="F1296" s="32"/>
      <ns0:c r="G1296" s="29"/>
      <ns0:c r="H1296" s="29"/>
      <ns0:c r="I1296" s="29"/>
      <ns0:c r="J1296" s="29"/>
      <ns0:c r="K1296" s="29"/>
    </ns0:row>
    <ns0:row r="1297" ht="28" customHeight="1">
      <ns0:c r="A1297" s="29"/>
      <ns0:c r="B1297" s="30"/>
      <ns0:c r="C1297" s="28"/>
      <ns0:c r="D1297" s="29"/>
      <ns0:c r="E1297" s="31"/>
      <ns0:c r="F1297" s="32"/>
      <ns0:c r="G1297" s="29"/>
      <ns0:c r="H1297" s="29"/>
      <ns0:c r="I1297" s="29"/>
      <ns0:c r="J1297" s="29"/>
      <ns0:c r="K1297" s="29"/>
    </ns0:row>
    <ns0:row r="1298" ht="28" customHeight="1">
      <ns0:c r="A1298" s="29"/>
      <ns0:c r="B1298" s="30"/>
      <ns0:c r="C1298" s="28"/>
      <ns0:c r="D1298" s="29"/>
      <ns0:c r="E1298" s="31"/>
      <ns0:c r="F1298" s="32"/>
      <ns0:c r="G1298" s="29"/>
      <ns0:c r="H1298" s="29"/>
      <ns0:c r="I1298" s="29"/>
      <ns0:c r="J1298" s="29"/>
      <ns0:c r="K1298" s="29"/>
    </ns0:row>
    <ns0:row r="1299" ht="28" customHeight="1">
      <ns0:c r="A1299" s="29"/>
      <ns0:c r="B1299" s="30"/>
      <ns0:c r="C1299" s="28"/>
      <ns0:c r="D1299" s="29"/>
      <ns0:c r="E1299" s="31"/>
      <ns0:c r="F1299" s="32"/>
      <ns0:c r="G1299" s="29"/>
      <ns0:c r="H1299" s="29"/>
      <ns0:c r="I1299" s="29"/>
      <ns0:c r="J1299" s="29"/>
      <ns0:c r="K1299" s="29"/>
    </ns0:row>
    <ns0:row r="1300" ht="28" customHeight="1">
      <ns0:c r="A1300" s="29"/>
      <ns0:c r="B1300" s="30"/>
      <ns0:c r="C1300" s="28"/>
      <ns0:c r="D1300" s="29"/>
      <ns0:c r="E1300" s="31"/>
      <ns0:c r="F1300" s="32"/>
      <ns0:c r="G1300" s="29"/>
      <ns0:c r="H1300" s="29"/>
      <ns0:c r="I1300" s="29"/>
      <ns0:c r="J1300" s="29"/>
      <ns0:c r="K1300" s="29"/>
    </ns0:row>
    <ns0:row r="1301" ht="28" customHeight="1">
      <ns0:c r="A1301" s="29"/>
      <ns0:c r="B1301" s="30"/>
      <ns0:c r="C1301" s="28"/>
      <ns0:c r="D1301" s="29"/>
      <ns0:c r="E1301" s="31"/>
      <ns0:c r="F1301" s="32"/>
      <ns0:c r="G1301" s="29"/>
      <ns0:c r="H1301" s="29"/>
      <ns0:c r="I1301" s="29"/>
      <ns0:c r="J1301" s="29"/>
      <ns0:c r="K1301" s="29"/>
    </ns0:row>
    <ns0:row r="1302" ht="28" customHeight="1">
      <ns0:c r="A1302" s="29"/>
      <ns0:c r="B1302" s="30"/>
      <ns0:c r="C1302" s="28"/>
      <ns0:c r="D1302" s="29"/>
      <ns0:c r="E1302" s="31"/>
      <ns0:c r="F1302" s="32"/>
      <ns0:c r="G1302" s="29"/>
      <ns0:c r="H1302" s="29"/>
      <ns0:c r="I1302" s="29"/>
      <ns0:c r="J1302" s="29"/>
      <ns0:c r="K1302" s="29"/>
    </ns0:row>
    <ns0:row r="1303" ht="28" customHeight="1">
      <ns0:c r="A1303" s="29"/>
      <ns0:c r="B1303" s="30"/>
      <ns0:c r="C1303" s="28"/>
      <ns0:c r="D1303" s="29"/>
      <ns0:c r="E1303" s="31"/>
      <ns0:c r="F1303" s="32"/>
      <ns0:c r="G1303" s="29"/>
      <ns0:c r="H1303" s="29"/>
      <ns0:c r="I1303" s="29"/>
      <ns0:c r="J1303" s="29"/>
      <ns0:c r="K1303" s="29"/>
    </ns0:row>
    <ns0:row r="1304" ht="28" customHeight="1">
      <ns0:c r="A1304" s="29"/>
      <ns0:c r="B1304" s="30"/>
      <ns0:c r="C1304" s="28"/>
      <ns0:c r="D1304" s="29"/>
      <ns0:c r="E1304" s="31"/>
      <ns0:c r="F1304" s="32"/>
      <ns0:c r="G1304" s="29"/>
      <ns0:c r="H1304" s="29"/>
      <ns0:c r="I1304" s="29"/>
      <ns0:c r="J1304" s="29"/>
      <ns0:c r="K1304" s="29"/>
    </ns0:row>
    <ns0:row r="1305" ht="28" customHeight="1">
      <ns0:c r="A1305" s="29"/>
      <ns0:c r="B1305" s="30"/>
      <ns0:c r="C1305" s="28"/>
      <ns0:c r="D1305" s="29"/>
      <ns0:c r="E1305" s="31"/>
      <ns0:c r="F1305" s="32"/>
      <ns0:c r="G1305" s="29"/>
      <ns0:c r="H1305" s="29"/>
      <ns0:c r="I1305" s="29"/>
      <ns0:c r="J1305" s="29"/>
      <ns0:c r="K1305" s="29"/>
    </ns0:row>
    <ns0:row r="1306" ht="28" customHeight="1">
      <ns0:c r="A1306" s="29"/>
      <ns0:c r="B1306" s="30"/>
      <ns0:c r="C1306" s="28"/>
      <ns0:c r="D1306" s="29"/>
      <ns0:c r="E1306" s="31"/>
      <ns0:c r="F1306" s="32"/>
      <ns0:c r="G1306" s="29"/>
      <ns0:c r="H1306" s="29"/>
      <ns0:c r="I1306" s="29"/>
      <ns0:c r="J1306" s="29"/>
      <ns0:c r="K1306" s="29"/>
    </ns0:row>
    <ns0:row r="1307" ht="28" customHeight="1">
      <ns0:c r="A1307" s="29"/>
      <ns0:c r="B1307" s="30"/>
      <ns0:c r="C1307" s="28"/>
      <ns0:c r="D1307" s="29"/>
      <ns0:c r="E1307" s="31"/>
      <ns0:c r="F1307" s="32"/>
      <ns0:c r="G1307" s="29"/>
      <ns0:c r="H1307" s="29"/>
      <ns0:c r="I1307" s="29"/>
      <ns0:c r="J1307" s="29"/>
      <ns0:c r="K1307" s="29"/>
    </ns0:row>
    <ns0:row r="1308" ht="28" customHeight="1">
      <ns0:c r="A1308" s="29"/>
      <ns0:c r="B1308" s="30"/>
      <ns0:c r="C1308" s="28"/>
      <ns0:c r="D1308" s="29"/>
      <ns0:c r="E1308" s="31"/>
      <ns0:c r="F1308" s="32"/>
      <ns0:c r="G1308" s="29"/>
      <ns0:c r="H1308" s="29"/>
      <ns0:c r="I1308" s="29"/>
      <ns0:c r="J1308" s="29"/>
      <ns0:c r="K1308" s="29"/>
    </ns0:row>
    <ns0:row r="1309" ht="28" customHeight="1">
      <ns0:c r="A1309" s="29"/>
      <ns0:c r="B1309" s="30"/>
      <ns0:c r="C1309" s="28"/>
      <ns0:c r="D1309" s="29"/>
      <ns0:c r="E1309" s="31"/>
      <ns0:c r="F1309" s="32"/>
      <ns0:c r="G1309" s="29"/>
      <ns0:c r="H1309" s="29"/>
      <ns0:c r="I1309" s="29"/>
      <ns0:c r="J1309" s="29"/>
      <ns0:c r="K1309" s="29"/>
    </ns0:row>
    <ns0:row r="1310" ht="28" customHeight="1">
      <ns0:c r="A1310" s="29"/>
      <ns0:c r="B1310" s="30"/>
      <ns0:c r="C1310" s="28"/>
      <ns0:c r="D1310" s="29"/>
      <ns0:c r="E1310" s="31"/>
      <ns0:c r="F1310" s="32"/>
      <ns0:c r="G1310" s="29"/>
      <ns0:c r="H1310" s="29"/>
      <ns0:c r="I1310" s="29"/>
      <ns0:c r="J1310" s="29"/>
      <ns0:c r="K1310" s="29"/>
    </ns0:row>
    <ns0:row r="1311" ht="28" customHeight="1">
      <ns0:c r="A1311" s="29"/>
      <ns0:c r="B1311" s="30"/>
      <ns0:c r="C1311" s="28"/>
      <ns0:c r="D1311" s="29"/>
      <ns0:c r="E1311" s="31"/>
      <ns0:c r="F1311" s="32"/>
      <ns0:c r="G1311" s="29"/>
      <ns0:c r="H1311" s="29"/>
      <ns0:c r="I1311" s="29"/>
      <ns0:c r="J1311" s="29"/>
      <ns0:c r="K1311" s="29"/>
    </ns0:row>
    <ns0:row r="1312" ht="28" customHeight="1">
      <ns0:c r="A1312" s="29"/>
      <ns0:c r="B1312" s="30"/>
      <ns0:c r="C1312" s="28"/>
      <ns0:c r="D1312" s="29"/>
      <ns0:c r="E1312" s="31"/>
      <ns0:c r="F1312" s="32"/>
      <ns0:c r="G1312" s="29"/>
      <ns0:c r="H1312" s="29"/>
      <ns0:c r="I1312" s="29"/>
      <ns0:c r="J1312" s="29"/>
      <ns0:c r="K1312" s="29"/>
    </ns0:row>
    <ns0:row r="1313" ht="28" customHeight="1">
      <ns0:c r="A1313" s="29"/>
      <ns0:c r="B1313" s="30"/>
      <ns0:c r="C1313" s="28"/>
      <ns0:c r="D1313" s="29"/>
      <ns0:c r="E1313" s="31"/>
      <ns0:c r="F1313" s="32"/>
      <ns0:c r="G1313" s="29"/>
      <ns0:c r="H1313" s="29"/>
      <ns0:c r="I1313" s="29"/>
      <ns0:c r="J1313" s="29"/>
      <ns0:c r="K1313" s="29"/>
    </ns0:row>
    <ns0:row r="1314" ht="28" customHeight="1">
      <ns0:c r="A1314" s="29"/>
      <ns0:c r="B1314" s="30"/>
      <ns0:c r="C1314" s="28"/>
      <ns0:c r="D1314" s="29"/>
      <ns0:c r="E1314" s="31"/>
      <ns0:c r="F1314" s="32"/>
      <ns0:c r="G1314" s="29"/>
      <ns0:c r="H1314" s="29"/>
      <ns0:c r="I1314" s="29"/>
      <ns0:c r="J1314" s="29"/>
      <ns0:c r="K1314" s="29"/>
    </ns0:row>
    <ns0:row r="1315" ht="28" customHeight="1">
      <ns0:c r="A1315" s="29"/>
      <ns0:c r="B1315" s="30"/>
      <ns0:c r="C1315" s="28"/>
      <ns0:c r="D1315" s="29"/>
      <ns0:c r="E1315" s="31"/>
      <ns0:c r="F1315" s="32"/>
      <ns0:c r="G1315" s="29"/>
      <ns0:c r="H1315" s="29"/>
      <ns0:c r="I1315" s="29"/>
      <ns0:c r="J1315" s="29"/>
      <ns0:c r="K1315" s="29"/>
    </ns0:row>
    <ns0:row r="1316" ht="28" customHeight="1">
      <ns0:c r="A1316" s="29"/>
      <ns0:c r="B1316" s="30"/>
      <ns0:c r="C1316" s="28"/>
      <ns0:c r="D1316" s="29"/>
      <ns0:c r="E1316" s="31"/>
      <ns0:c r="F1316" s="32"/>
      <ns0:c r="G1316" s="29"/>
      <ns0:c r="H1316" s="29"/>
      <ns0:c r="I1316" s="29"/>
      <ns0:c r="J1316" s="29"/>
      <ns0:c r="K1316" s="29"/>
    </ns0:row>
    <ns0:row r="1317" ht="28" customHeight="1">
      <ns0:c r="A1317" s="29"/>
      <ns0:c r="B1317" s="30"/>
      <ns0:c r="C1317" s="28"/>
      <ns0:c r="D1317" s="29"/>
      <ns0:c r="E1317" s="31"/>
      <ns0:c r="F1317" s="32"/>
      <ns0:c r="G1317" s="29"/>
      <ns0:c r="H1317" s="29"/>
      <ns0:c r="I1317" s="29"/>
      <ns0:c r="J1317" s="29"/>
      <ns0:c r="K1317" s="29"/>
    </ns0:row>
    <ns0:row r="1318" ht="28" customHeight="1">
      <ns0:c r="A1318" s="29"/>
      <ns0:c r="B1318" s="30"/>
      <ns0:c r="C1318" s="28"/>
      <ns0:c r="D1318" s="29"/>
      <ns0:c r="E1318" s="31"/>
      <ns0:c r="F1318" s="32"/>
      <ns0:c r="G1318" s="29"/>
      <ns0:c r="H1318" s="29"/>
      <ns0:c r="I1318" s="29"/>
      <ns0:c r="J1318" s="29"/>
      <ns0:c r="K1318" s="29"/>
    </ns0:row>
    <ns0:row r="1319" ht="28" customHeight="1">
      <ns0:c r="A1319" s="29"/>
      <ns0:c r="B1319" s="30"/>
      <ns0:c r="C1319" s="28"/>
      <ns0:c r="D1319" s="29"/>
      <ns0:c r="E1319" s="31"/>
      <ns0:c r="F1319" s="32"/>
      <ns0:c r="G1319" s="29"/>
      <ns0:c r="H1319" s="29"/>
      <ns0:c r="I1319" s="29"/>
      <ns0:c r="J1319" s="29"/>
      <ns0:c r="K1319" s="29"/>
    </ns0:row>
    <ns0:row r="1320" ht="28" customHeight="1">
      <ns0:c r="A1320" s="29"/>
      <ns0:c r="B1320" s="30"/>
      <ns0:c r="C1320" s="28"/>
      <ns0:c r="D1320" s="29"/>
      <ns0:c r="E1320" s="31"/>
      <ns0:c r="F1320" s="32"/>
      <ns0:c r="G1320" s="29"/>
      <ns0:c r="H1320" s="29"/>
      <ns0:c r="I1320" s="29"/>
      <ns0:c r="J1320" s="29"/>
      <ns0:c r="K1320" s="29"/>
    </ns0:row>
    <ns0:row r="1321" ht="28" customHeight="1">
      <ns0:c r="A1321" s="29"/>
      <ns0:c r="B1321" s="30"/>
      <ns0:c r="C1321" s="28"/>
      <ns0:c r="D1321" s="29"/>
      <ns0:c r="E1321" s="31"/>
      <ns0:c r="F1321" s="32"/>
      <ns0:c r="G1321" s="29"/>
      <ns0:c r="H1321" s="29"/>
      <ns0:c r="I1321" s="29"/>
      <ns0:c r="J1321" s="29"/>
      <ns0:c r="K1321" s="29"/>
    </ns0:row>
    <ns0:row r="1322" ht="28" customHeight="1">
      <ns0:c r="A1322" s="29"/>
      <ns0:c r="B1322" s="30"/>
      <ns0:c r="C1322" s="28"/>
      <ns0:c r="D1322" s="29"/>
      <ns0:c r="E1322" s="31"/>
      <ns0:c r="F1322" s="32"/>
      <ns0:c r="G1322" s="29"/>
      <ns0:c r="H1322" s="29"/>
      <ns0:c r="I1322" s="29"/>
      <ns0:c r="J1322" s="29"/>
      <ns0:c r="K1322" s="29"/>
    </ns0:row>
    <ns0:row r="1323" ht="28" customHeight="1">
      <ns0:c r="A1323" s="29"/>
      <ns0:c r="B1323" s="30"/>
      <ns0:c r="C1323" s="28"/>
      <ns0:c r="D1323" s="29"/>
      <ns0:c r="E1323" s="31"/>
      <ns0:c r="F1323" s="32"/>
      <ns0:c r="G1323" s="29"/>
      <ns0:c r="H1323" s="29"/>
      <ns0:c r="I1323" s="29"/>
      <ns0:c r="J1323" s="29"/>
      <ns0:c r="K1323" s="29"/>
    </ns0:row>
    <ns0:row r="1324" ht="28" customHeight="1">
      <ns0:c r="A1324" s="29"/>
      <ns0:c r="B1324" s="30"/>
      <ns0:c r="C1324" s="28"/>
      <ns0:c r="D1324" s="29"/>
      <ns0:c r="E1324" s="31"/>
      <ns0:c r="F1324" s="32"/>
      <ns0:c r="G1324" s="29"/>
      <ns0:c r="H1324" s="29"/>
      <ns0:c r="I1324" s="29"/>
      <ns0:c r="J1324" s="29"/>
      <ns0:c r="K1324" s="29"/>
    </ns0:row>
    <ns0:row r="1325" ht="28" customHeight="1">
      <ns0:c r="A1325" s="29"/>
      <ns0:c r="B1325" s="30"/>
      <ns0:c r="C1325" s="28"/>
      <ns0:c r="D1325" s="29"/>
      <ns0:c r="E1325" s="31"/>
      <ns0:c r="F1325" s="32"/>
      <ns0:c r="G1325" s="29"/>
      <ns0:c r="H1325" s="29"/>
      <ns0:c r="I1325" s="29"/>
      <ns0:c r="J1325" s="29"/>
      <ns0:c r="K1325" s="29"/>
    </ns0:row>
    <ns0:row r="1326" ht="28" customHeight="1">
      <ns0:c r="A1326" s="29"/>
      <ns0:c r="B1326" s="30"/>
      <ns0:c r="C1326" s="28"/>
      <ns0:c r="D1326" s="29"/>
      <ns0:c r="E1326" s="31"/>
      <ns0:c r="F1326" s="32"/>
      <ns0:c r="G1326" s="29"/>
      <ns0:c r="H1326" s="29"/>
      <ns0:c r="I1326" s="29"/>
      <ns0:c r="J1326" s="29"/>
      <ns0:c r="K1326" s="29"/>
    </ns0:row>
    <ns0:row r="1327" ht="28" customHeight="1">
      <ns0:c r="A1327" s="29"/>
      <ns0:c r="B1327" s="30"/>
      <ns0:c r="C1327" s="28"/>
      <ns0:c r="D1327" s="29"/>
      <ns0:c r="E1327" s="31"/>
      <ns0:c r="F1327" s="32"/>
      <ns0:c r="G1327" s="29"/>
      <ns0:c r="H1327" s="29"/>
      <ns0:c r="I1327" s="29"/>
      <ns0:c r="J1327" s="29"/>
      <ns0:c r="K1327" s="29"/>
    </ns0:row>
    <ns0:row r="1328" ht="28" customHeight="1">
      <ns0:c r="A1328" s="29"/>
      <ns0:c r="B1328" s="30"/>
      <ns0:c r="C1328" s="28"/>
      <ns0:c r="D1328" s="29"/>
      <ns0:c r="E1328" s="31"/>
      <ns0:c r="F1328" s="32"/>
      <ns0:c r="G1328" s="29"/>
      <ns0:c r="H1328" s="29"/>
      <ns0:c r="I1328" s="29"/>
      <ns0:c r="J1328" s="29"/>
      <ns0:c r="K1328" s="29"/>
    </ns0:row>
    <ns0:row r="1329" ht="28" customHeight="1">
      <ns0:c r="A1329" s="29"/>
      <ns0:c r="B1329" s="30"/>
      <ns0:c r="C1329" s="28"/>
      <ns0:c r="D1329" s="29"/>
      <ns0:c r="E1329" s="31"/>
      <ns0:c r="F1329" s="32"/>
      <ns0:c r="G1329" s="29"/>
      <ns0:c r="H1329" s="29"/>
      <ns0:c r="I1329" s="29"/>
      <ns0:c r="J1329" s="29"/>
      <ns0:c r="K1329" s="29"/>
    </ns0:row>
    <ns0:row r="1330" ht="28" customHeight="1">
      <ns0:c r="A1330" s="29"/>
      <ns0:c r="B1330" s="30"/>
      <ns0:c r="C1330" s="28"/>
      <ns0:c r="D1330" s="29"/>
      <ns0:c r="E1330" s="31"/>
      <ns0:c r="F1330" s="32"/>
      <ns0:c r="G1330" s="29"/>
      <ns0:c r="H1330" s="29"/>
      <ns0:c r="I1330" s="29"/>
      <ns0:c r="J1330" s="29"/>
      <ns0:c r="K1330" s="29"/>
    </ns0:row>
    <ns0:row r="1331" ht="28" customHeight="1">
      <ns0:c r="A1331" s="29"/>
      <ns0:c r="B1331" s="30"/>
      <ns0:c r="C1331" s="28"/>
      <ns0:c r="D1331" s="29"/>
      <ns0:c r="E1331" s="31"/>
      <ns0:c r="F1331" s="32"/>
      <ns0:c r="G1331" s="29"/>
      <ns0:c r="H1331" s="29"/>
      <ns0:c r="I1331" s="29"/>
      <ns0:c r="J1331" s="29"/>
      <ns0:c r="K1331" s="29"/>
    </ns0:row>
    <ns0:row r="1332" ht="28" customHeight="1">
      <ns0:c r="A1332" s="29"/>
      <ns0:c r="B1332" s="30"/>
      <ns0:c r="C1332" s="28"/>
      <ns0:c r="D1332" s="29"/>
      <ns0:c r="E1332" s="31"/>
      <ns0:c r="F1332" s="32"/>
      <ns0:c r="G1332" s="29"/>
      <ns0:c r="H1332" s="29"/>
      <ns0:c r="I1332" s="29"/>
      <ns0:c r="J1332" s="29"/>
      <ns0:c r="K1332" s="29"/>
    </ns0:row>
    <ns0:row r="1333" ht="28" customHeight="1">
      <ns0:c r="A1333" s="29"/>
      <ns0:c r="B1333" s="30"/>
      <ns0:c r="C1333" s="28"/>
      <ns0:c r="D1333" s="29"/>
      <ns0:c r="E1333" s="31"/>
      <ns0:c r="F1333" s="32"/>
      <ns0:c r="G1333" s="29"/>
      <ns0:c r="H1333" s="29"/>
      <ns0:c r="I1333" s="29"/>
      <ns0:c r="J1333" s="29"/>
      <ns0:c r="K1333" s="29"/>
    </ns0:row>
    <ns0:row r="1334" ht="28" customHeight="1">
      <ns0:c r="A1334" s="29"/>
      <ns0:c r="B1334" s="30"/>
      <ns0:c r="C1334" s="28"/>
      <ns0:c r="D1334" s="29"/>
      <ns0:c r="E1334" s="31"/>
      <ns0:c r="F1334" s="32"/>
      <ns0:c r="G1334" s="29"/>
      <ns0:c r="H1334" s="29"/>
      <ns0:c r="I1334" s="29"/>
      <ns0:c r="J1334" s="29"/>
      <ns0:c r="K1334" s="29"/>
    </ns0:row>
    <ns0:row r="1335" ht="28" customHeight="1">
      <ns0:c r="A1335" s="29"/>
      <ns0:c r="B1335" s="30"/>
      <ns0:c r="C1335" s="28"/>
      <ns0:c r="D1335" s="29"/>
      <ns0:c r="E1335" s="31"/>
      <ns0:c r="F1335" s="32"/>
      <ns0:c r="G1335" s="29"/>
      <ns0:c r="H1335" s="29"/>
      <ns0:c r="I1335" s="29"/>
      <ns0:c r="J1335" s="29"/>
      <ns0:c r="K1335" s="29"/>
    </ns0:row>
    <ns0:row r="1336" ht="28" customHeight="1">
      <ns0:c r="A1336" s="29"/>
      <ns0:c r="B1336" s="30"/>
      <ns0:c r="C1336" s="28"/>
      <ns0:c r="D1336" s="29"/>
      <ns0:c r="E1336" s="31"/>
      <ns0:c r="F1336" s="32"/>
      <ns0:c r="G1336" s="29"/>
      <ns0:c r="H1336" s="29"/>
      <ns0:c r="I1336" s="29"/>
      <ns0:c r="J1336" s="29"/>
      <ns0:c r="K1336" s="29"/>
    </ns0:row>
    <ns0:row r="1337" ht="28" customHeight="1">
      <ns0:c r="A1337" s="29"/>
      <ns0:c r="B1337" s="30"/>
      <ns0:c r="C1337" s="28"/>
      <ns0:c r="D1337" s="29"/>
      <ns0:c r="E1337" s="31"/>
      <ns0:c r="F1337" s="32"/>
      <ns0:c r="G1337" s="29"/>
      <ns0:c r="H1337" s="29"/>
      <ns0:c r="I1337" s="29"/>
      <ns0:c r="J1337" s="29"/>
      <ns0:c r="K1337" s="29"/>
    </ns0:row>
    <ns0:row r="1338" ht="28" customHeight="1">
      <ns0:c r="A1338" s="29"/>
      <ns0:c r="B1338" s="30"/>
      <ns0:c r="C1338" s="28"/>
      <ns0:c r="D1338" s="29"/>
      <ns0:c r="E1338" s="31"/>
      <ns0:c r="F1338" s="32"/>
      <ns0:c r="G1338" s="29"/>
      <ns0:c r="H1338" s="29"/>
      <ns0:c r="I1338" s="29"/>
      <ns0:c r="J1338" s="29"/>
      <ns0:c r="K1338" s="29"/>
    </ns0:row>
    <ns0:row r="1339" ht="28" customHeight="1">
      <ns0:c r="A1339" s="29"/>
      <ns0:c r="B1339" s="30"/>
      <ns0:c r="C1339" s="28"/>
      <ns0:c r="D1339" s="29"/>
      <ns0:c r="E1339" s="31"/>
      <ns0:c r="F1339" s="32"/>
      <ns0:c r="G1339" s="29"/>
      <ns0:c r="H1339" s="29"/>
      <ns0:c r="I1339" s="29"/>
      <ns0:c r="J1339" s="29"/>
      <ns0:c r="K1339" s="29"/>
    </ns0:row>
    <ns0:row r="1340" ht="28" customHeight="1">
      <ns0:c r="A1340" s="29"/>
      <ns0:c r="B1340" s="30"/>
      <ns0:c r="C1340" s="28"/>
      <ns0:c r="D1340" s="29"/>
      <ns0:c r="E1340" s="31"/>
      <ns0:c r="F1340" s="32"/>
      <ns0:c r="G1340" s="29"/>
      <ns0:c r="H1340" s="29"/>
      <ns0:c r="I1340" s="29"/>
      <ns0:c r="J1340" s="29"/>
      <ns0:c r="K1340" s="29"/>
    </ns0:row>
    <ns0:row r="1341" ht="28" customHeight="1">
      <ns0:c r="A1341" s="29"/>
      <ns0:c r="B1341" s="30"/>
      <ns0:c r="C1341" s="28"/>
      <ns0:c r="D1341" s="29"/>
      <ns0:c r="E1341" s="31"/>
      <ns0:c r="F1341" s="32"/>
      <ns0:c r="G1341" s="29"/>
      <ns0:c r="H1341" s="29"/>
      <ns0:c r="I1341" s="29"/>
      <ns0:c r="J1341" s="29"/>
      <ns0:c r="K1341" s="29"/>
    </ns0:row>
    <ns0:row r="1342" ht="28" customHeight="1">
      <ns0:c r="A1342" s="29"/>
      <ns0:c r="B1342" s="30"/>
      <ns0:c r="C1342" s="28"/>
      <ns0:c r="D1342" s="29"/>
      <ns0:c r="E1342" s="31"/>
      <ns0:c r="F1342" s="32"/>
      <ns0:c r="G1342" s="29"/>
      <ns0:c r="H1342" s="29"/>
      <ns0:c r="I1342" s="29"/>
      <ns0:c r="J1342" s="29"/>
      <ns0:c r="K1342" s="29"/>
    </ns0:row>
    <ns0:row r="1343" ht="28" customHeight="1">
      <ns0:c r="A1343" s="29"/>
      <ns0:c r="B1343" s="30"/>
      <ns0:c r="C1343" s="28"/>
      <ns0:c r="D1343" s="29"/>
      <ns0:c r="E1343" s="31"/>
      <ns0:c r="F1343" s="32"/>
      <ns0:c r="G1343" s="29"/>
      <ns0:c r="H1343" s="29"/>
      <ns0:c r="I1343" s="29"/>
      <ns0:c r="J1343" s="29"/>
      <ns0:c r="K1343" s="29"/>
    </ns0:row>
    <ns0:row r="1344" ht="28" customHeight="1">
      <ns0:c r="A1344" s="29"/>
      <ns0:c r="B1344" s="30"/>
      <ns0:c r="C1344" s="28"/>
      <ns0:c r="D1344" s="29"/>
      <ns0:c r="E1344" s="31"/>
      <ns0:c r="F1344" s="32"/>
      <ns0:c r="G1344" s="29"/>
      <ns0:c r="H1344" s="29"/>
      <ns0:c r="I1344" s="29"/>
      <ns0:c r="J1344" s="29"/>
      <ns0:c r="K1344" s="29"/>
    </ns0:row>
    <ns0:row r="1345" ht="28" customHeight="1">
      <ns0:c r="A1345" s="29"/>
      <ns0:c r="B1345" s="30"/>
      <ns0:c r="C1345" s="28"/>
      <ns0:c r="D1345" s="29"/>
      <ns0:c r="E1345" s="31"/>
      <ns0:c r="F1345" s="32"/>
      <ns0:c r="G1345" s="29"/>
      <ns0:c r="H1345" s="29"/>
      <ns0:c r="I1345" s="29"/>
      <ns0:c r="J1345" s="29"/>
      <ns0:c r="K1345" s="29"/>
    </ns0:row>
    <ns0:row r="1346" ht="28" customHeight="1">
      <ns0:c r="A1346" s="29"/>
      <ns0:c r="B1346" s="30"/>
      <ns0:c r="C1346" s="28"/>
      <ns0:c r="D1346" s="29"/>
      <ns0:c r="E1346" s="31"/>
      <ns0:c r="F1346" s="32"/>
      <ns0:c r="G1346" s="29"/>
      <ns0:c r="H1346" s="29"/>
      <ns0:c r="I1346" s="29"/>
      <ns0:c r="J1346" s="29"/>
      <ns0:c r="K1346" s="29"/>
    </ns0:row>
    <ns0:row r="1347" ht="28" customHeight="1">
      <ns0:c r="A1347" s="29"/>
      <ns0:c r="B1347" s="30"/>
      <ns0:c r="C1347" s="28"/>
      <ns0:c r="D1347" s="29"/>
      <ns0:c r="E1347" s="31"/>
      <ns0:c r="F1347" s="32"/>
      <ns0:c r="G1347" s="29"/>
      <ns0:c r="H1347" s="29"/>
      <ns0:c r="I1347" s="29"/>
      <ns0:c r="J1347" s="29"/>
      <ns0:c r="K1347" s="29"/>
    </ns0:row>
    <ns0:row r="1348" ht="28" customHeight="1">
      <ns0:c r="A1348" s="29"/>
      <ns0:c r="B1348" s="30"/>
      <ns0:c r="C1348" s="28"/>
      <ns0:c r="D1348" s="29"/>
      <ns0:c r="E1348" s="31"/>
      <ns0:c r="F1348" s="32"/>
      <ns0:c r="G1348" s="29"/>
      <ns0:c r="H1348" s="29"/>
      <ns0:c r="I1348" s="29"/>
      <ns0:c r="J1348" s="29"/>
      <ns0:c r="K1348" s="29"/>
    </ns0:row>
    <ns0:row r="1349" ht="28" customHeight="1">
      <ns0:c r="A1349" s="29"/>
      <ns0:c r="B1349" s="30"/>
      <ns0:c r="C1349" s="28"/>
      <ns0:c r="D1349" s="29"/>
      <ns0:c r="E1349" s="31"/>
      <ns0:c r="F1349" s="32"/>
      <ns0:c r="G1349" s="29"/>
      <ns0:c r="H1349" s="29"/>
      <ns0:c r="I1349" s="29"/>
      <ns0:c r="J1349" s="29"/>
      <ns0:c r="K1349" s="29"/>
    </ns0:row>
    <ns0:row r="1350" ht="28" customHeight="1">
      <ns0:c r="A1350" s="29"/>
      <ns0:c r="B1350" s="30"/>
      <ns0:c r="C1350" s="28"/>
      <ns0:c r="D1350" s="29"/>
      <ns0:c r="E1350" s="31"/>
      <ns0:c r="F1350" s="32"/>
      <ns0:c r="G1350" s="29"/>
      <ns0:c r="H1350" s="29"/>
      <ns0:c r="I1350" s="29"/>
      <ns0:c r="J1350" s="29"/>
      <ns0:c r="K1350" s="29"/>
    </ns0:row>
    <ns0:row r="1351" ht="28" customHeight="1">
      <ns0:c r="A1351" s="29"/>
      <ns0:c r="B1351" s="30"/>
      <ns0:c r="C1351" s="28"/>
      <ns0:c r="D1351" s="29"/>
      <ns0:c r="E1351" s="31"/>
      <ns0:c r="F1351" s="32"/>
      <ns0:c r="G1351" s="29"/>
      <ns0:c r="H1351" s="29"/>
      <ns0:c r="I1351" s="29"/>
      <ns0:c r="J1351" s="29"/>
      <ns0:c r="K1351" s="29"/>
    </ns0:row>
    <ns0:row r="1352" ht="28" customHeight="1">
      <ns0:c r="A1352" s="29"/>
      <ns0:c r="B1352" s="30"/>
      <ns0:c r="C1352" s="28"/>
      <ns0:c r="D1352" s="29"/>
      <ns0:c r="E1352" s="31"/>
      <ns0:c r="F1352" s="32"/>
      <ns0:c r="G1352" s="29"/>
      <ns0:c r="H1352" s="29"/>
      <ns0:c r="I1352" s="29"/>
      <ns0:c r="J1352" s="29"/>
      <ns0:c r="K1352" s="29"/>
    </ns0:row>
    <ns0:row r="1353" ht="28" customHeight="1">
      <ns0:c r="A1353" s="29"/>
      <ns0:c r="B1353" s="30"/>
      <ns0:c r="C1353" s="28"/>
      <ns0:c r="D1353" s="29"/>
      <ns0:c r="E1353" s="31"/>
      <ns0:c r="F1353" s="32"/>
      <ns0:c r="G1353" s="29"/>
      <ns0:c r="H1353" s="29"/>
      <ns0:c r="I1353" s="29"/>
      <ns0:c r="J1353" s="29"/>
      <ns0:c r="K1353" s="29"/>
    </ns0:row>
    <ns0:row r="1354" ht="28" customHeight="1">
      <ns0:c r="A1354" s="29"/>
      <ns0:c r="B1354" s="30"/>
      <ns0:c r="C1354" s="28"/>
      <ns0:c r="D1354" s="29"/>
      <ns0:c r="E1354" s="31"/>
      <ns0:c r="F1354" s="32"/>
      <ns0:c r="G1354" s="29"/>
      <ns0:c r="H1354" s="29"/>
      <ns0:c r="I1354" s="29"/>
      <ns0:c r="J1354" s="29"/>
      <ns0:c r="K1354" s="29"/>
    </ns0:row>
    <ns0:row r="1355" ht="28" customHeight="1">
      <ns0:c r="A1355" s="29"/>
      <ns0:c r="B1355" s="30"/>
      <ns0:c r="C1355" s="28"/>
      <ns0:c r="D1355" s="29"/>
      <ns0:c r="E1355" s="31"/>
      <ns0:c r="F1355" s="32"/>
      <ns0:c r="G1355" s="29"/>
      <ns0:c r="H1355" s="29"/>
      <ns0:c r="I1355" s="29"/>
      <ns0:c r="J1355" s="29"/>
      <ns0:c r="K1355" s="29"/>
    </ns0:row>
    <ns0:row r="1356" ht="28" customHeight="1">
      <ns0:c r="A1356" s="29"/>
      <ns0:c r="B1356" s="30"/>
      <ns0:c r="C1356" s="28"/>
      <ns0:c r="D1356" s="29"/>
      <ns0:c r="E1356" s="31"/>
      <ns0:c r="F1356" s="32"/>
      <ns0:c r="G1356" s="29"/>
      <ns0:c r="H1356" s="29"/>
      <ns0:c r="I1356" s="29"/>
      <ns0:c r="J1356" s="29"/>
      <ns0:c r="K1356" s="29"/>
    </ns0:row>
    <ns0:row r="1357" ht="28" customHeight="1">
      <ns0:c r="A1357" s="29"/>
      <ns0:c r="B1357" s="30"/>
      <ns0:c r="C1357" s="28"/>
      <ns0:c r="D1357" s="29"/>
      <ns0:c r="E1357" s="31"/>
      <ns0:c r="F1357" s="32"/>
      <ns0:c r="G1357" s="29"/>
      <ns0:c r="H1357" s="29"/>
      <ns0:c r="I1357" s="29"/>
      <ns0:c r="J1357" s="29"/>
      <ns0:c r="K1357" s="29"/>
    </ns0:row>
    <ns0:row r="1358" ht="28" customHeight="1">
      <ns0:c r="A1358" s="29"/>
      <ns0:c r="B1358" s="30"/>
      <ns0:c r="C1358" s="28"/>
      <ns0:c r="D1358" s="29"/>
      <ns0:c r="E1358" s="31"/>
      <ns0:c r="F1358" s="32"/>
      <ns0:c r="G1358" s="29"/>
      <ns0:c r="H1358" s="29"/>
      <ns0:c r="I1358" s="29"/>
      <ns0:c r="J1358" s="29"/>
      <ns0:c r="K1358" s="29"/>
    </ns0:row>
    <ns0:row r="1359" ht="28" customHeight="1">
      <ns0:c r="A1359" s="29"/>
      <ns0:c r="B1359" s="30"/>
      <ns0:c r="C1359" s="28"/>
      <ns0:c r="D1359" s="29"/>
      <ns0:c r="E1359" s="31"/>
      <ns0:c r="F1359" s="32"/>
      <ns0:c r="G1359" s="29"/>
      <ns0:c r="H1359" s="29"/>
      <ns0:c r="I1359" s="29"/>
      <ns0:c r="J1359" s="29"/>
      <ns0:c r="K1359" s="29"/>
    </ns0:row>
    <ns0:row r="1360" ht="28" customHeight="1">
      <ns0:c r="A1360" s="29"/>
      <ns0:c r="B1360" s="30"/>
      <ns0:c r="C1360" s="28"/>
      <ns0:c r="D1360" s="29"/>
      <ns0:c r="E1360" s="31"/>
      <ns0:c r="F1360" s="32"/>
      <ns0:c r="G1360" s="29"/>
      <ns0:c r="H1360" s="29"/>
      <ns0:c r="I1360" s="29"/>
      <ns0:c r="J1360" s="29"/>
      <ns0:c r="K1360" s="29"/>
    </ns0:row>
    <ns0:row r="1361" ht="28" customHeight="1">
      <ns0:c r="A1361" s="29"/>
      <ns0:c r="B1361" s="30"/>
      <ns0:c r="C1361" s="28"/>
      <ns0:c r="D1361" s="29"/>
      <ns0:c r="E1361" s="31"/>
      <ns0:c r="F1361" s="32"/>
      <ns0:c r="G1361" s="29"/>
      <ns0:c r="H1361" s="29"/>
      <ns0:c r="I1361" s="29"/>
      <ns0:c r="J1361" s="29"/>
      <ns0:c r="K1361" s="29"/>
    </ns0:row>
    <ns0:row r="1362" ht="28" customHeight="1">
      <ns0:c r="A1362" s="29"/>
      <ns0:c r="B1362" s="30"/>
      <ns0:c r="C1362" s="28"/>
      <ns0:c r="D1362" s="29"/>
      <ns0:c r="E1362" s="31"/>
      <ns0:c r="F1362" s="32"/>
      <ns0:c r="G1362" s="29"/>
      <ns0:c r="H1362" s="29"/>
      <ns0:c r="I1362" s="29"/>
      <ns0:c r="J1362" s="29"/>
      <ns0:c r="K1362" s="29"/>
    </ns0:row>
    <ns0:row r="1363" ht="28" customHeight="1">
      <ns0:c r="A1363" s="29"/>
      <ns0:c r="B1363" s="30"/>
      <ns0:c r="C1363" s="28"/>
      <ns0:c r="D1363" s="29"/>
      <ns0:c r="E1363" s="31"/>
      <ns0:c r="F1363" s="32"/>
      <ns0:c r="G1363" s="29"/>
      <ns0:c r="H1363" s="29"/>
      <ns0:c r="I1363" s="29"/>
      <ns0:c r="J1363" s="29"/>
      <ns0:c r="K1363" s="29"/>
    </ns0:row>
    <ns0:row r="1364" ht="28" customHeight="1">
      <ns0:c r="A1364" s="29"/>
      <ns0:c r="B1364" s="30"/>
      <ns0:c r="C1364" s="28"/>
      <ns0:c r="D1364" s="29"/>
      <ns0:c r="E1364" s="31"/>
      <ns0:c r="F1364" s="32"/>
      <ns0:c r="G1364" s="29"/>
      <ns0:c r="H1364" s="29"/>
      <ns0:c r="I1364" s="29"/>
      <ns0:c r="J1364" s="29"/>
      <ns0:c r="K1364" s="29"/>
    </ns0:row>
    <ns0:row r="1365" ht="28" customHeight="1">
      <ns0:c r="A1365" s="29"/>
      <ns0:c r="B1365" s="30"/>
      <ns0:c r="C1365" s="28"/>
      <ns0:c r="D1365" s="29"/>
      <ns0:c r="E1365" s="31"/>
      <ns0:c r="F1365" s="32"/>
      <ns0:c r="G1365" s="29"/>
      <ns0:c r="H1365" s="29"/>
      <ns0:c r="I1365" s="29"/>
      <ns0:c r="J1365" s="29"/>
      <ns0:c r="K1365" s="29"/>
    </ns0:row>
    <ns0:row r="1366" ht="28" customHeight="1">
      <ns0:c r="A1366" s="29"/>
      <ns0:c r="B1366" s="30"/>
      <ns0:c r="C1366" s="28"/>
      <ns0:c r="D1366" s="29"/>
      <ns0:c r="E1366" s="31"/>
      <ns0:c r="F1366" s="32"/>
      <ns0:c r="G1366" s="29"/>
      <ns0:c r="H1366" s="29"/>
      <ns0:c r="I1366" s="29"/>
      <ns0:c r="J1366" s="29"/>
      <ns0:c r="K1366" s="29"/>
    </ns0:row>
    <ns0:row r="1367" ht="28" customHeight="1">
      <ns0:c r="A1367" s="29"/>
      <ns0:c r="B1367" s="30"/>
      <ns0:c r="C1367" s="28"/>
      <ns0:c r="D1367" s="29"/>
      <ns0:c r="E1367" s="31"/>
      <ns0:c r="F1367" s="32"/>
      <ns0:c r="G1367" s="29"/>
      <ns0:c r="H1367" s="29"/>
      <ns0:c r="I1367" s="29"/>
      <ns0:c r="J1367" s="29"/>
      <ns0:c r="K1367" s="29"/>
    </ns0:row>
    <ns0:row r="1368" ht="28" customHeight="1">
      <ns0:c r="A1368" s="29"/>
      <ns0:c r="B1368" s="30"/>
      <ns0:c r="C1368" s="28"/>
      <ns0:c r="D1368" s="29"/>
      <ns0:c r="E1368" s="31"/>
      <ns0:c r="F1368" s="32"/>
      <ns0:c r="G1368" s="29"/>
      <ns0:c r="H1368" s="29"/>
      <ns0:c r="I1368" s="29"/>
      <ns0:c r="J1368" s="29"/>
      <ns0:c r="K1368" s="29"/>
    </ns0:row>
    <ns0:row r="1369" ht="28" customHeight="1">
      <ns0:c r="A1369" s="29"/>
      <ns0:c r="B1369" s="30"/>
      <ns0:c r="C1369" s="28"/>
      <ns0:c r="D1369" s="29"/>
      <ns0:c r="E1369" s="31"/>
      <ns0:c r="F1369" s="32"/>
      <ns0:c r="G1369" s="29"/>
      <ns0:c r="H1369" s="29"/>
      <ns0:c r="I1369" s="29"/>
      <ns0:c r="J1369" s="29"/>
      <ns0:c r="K1369" s="29"/>
    </ns0:row>
    <ns0:row r="1370" ht="28" customHeight="1">
      <ns0:c r="A1370" s="29"/>
      <ns0:c r="B1370" s="30"/>
      <ns0:c r="C1370" s="28"/>
      <ns0:c r="D1370" s="29"/>
      <ns0:c r="E1370" s="31"/>
      <ns0:c r="F1370" s="32"/>
      <ns0:c r="G1370" s="29"/>
      <ns0:c r="H1370" s="29"/>
      <ns0:c r="I1370" s="29"/>
      <ns0:c r="J1370" s="29"/>
      <ns0:c r="K1370" s="29"/>
    </ns0:row>
    <ns0:row r="1371" ht="28" customHeight="1">
      <ns0:c r="A1371" s="29"/>
      <ns0:c r="B1371" s="30"/>
      <ns0:c r="C1371" s="28"/>
      <ns0:c r="D1371" s="29"/>
      <ns0:c r="E1371" s="31"/>
      <ns0:c r="F1371" s="32"/>
      <ns0:c r="G1371" s="29"/>
      <ns0:c r="H1371" s="29"/>
      <ns0:c r="I1371" s="29"/>
      <ns0:c r="J1371" s="29"/>
      <ns0:c r="K1371" s="29"/>
    </ns0:row>
    <ns0:row r="1372" ht="28" customHeight="1">
      <ns0:c r="A1372" s="29"/>
      <ns0:c r="B1372" s="30"/>
      <ns0:c r="C1372" s="28"/>
      <ns0:c r="D1372" s="29"/>
      <ns0:c r="E1372" s="31"/>
      <ns0:c r="F1372" s="32"/>
      <ns0:c r="G1372" s="29"/>
      <ns0:c r="H1372" s="29"/>
      <ns0:c r="I1372" s="29"/>
      <ns0:c r="J1372" s="29"/>
      <ns0:c r="K1372" s="29"/>
    </ns0:row>
    <ns0:row r="1373" ht="28" customHeight="1">
      <ns0:c r="A1373" s="29"/>
      <ns0:c r="B1373" s="30"/>
      <ns0:c r="C1373" s="28"/>
      <ns0:c r="D1373" s="29"/>
      <ns0:c r="E1373" s="31"/>
      <ns0:c r="F1373" s="32"/>
      <ns0:c r="G1373" s="29"/>
      <ns0:c r="H1373" s="29"/>
      <ns0:c r="I1373" s="29"/>
      <ns0:c r="J1373" s="29"/>
      <ns0:c r="K1373" s="29"/>
    </ns0:row>
    <ns0:row r="1374" ht="28" customHeight="1">
      <ns0:c r="A1374" s="29"/>
      <ns0:c r="B1374" s="30"/>
      <ns0:c r="C1374" s="28"/>
      <ns0:c r="D1374" s="29"/>
      <ns0:c r="E1374" s="31"/>
      <ns0:c r="F1374" s="32"/>
      <ns0:c r="G1374" s="29"/>
      <ns0:c r="H1374" s="29"/>
      <ns0:c r="I1374" s="29"/>
      <ns0:c r="J1374" s="29"/>
      <ns0:c r="K1374" s="29"/>
    </ns0:row>
    <ns0:row r="1375" ht="28" customHeight="1">
      <ns0:c r="A1375" s="29"/>
      <ns0:c r="B1375" s="30"/>
      <ns0:c r="C1375" s="28"/>
      <ns0:c r="D1375" s="29"/>
      <ns0:c r="E1375" s="31"/>
      <ns0:c r="F1375" s="32"/>
      <ns0:c r="G1375" s="29"/>
      <ns0:c r="H1375" s="29"/>
      <ns0:c r="I1375" s="29"/>
      <ns0:c r="J1375" s="29"/>
      <ns0:c r="K1375" s="29"/>
    </ns0:row>
    <ns0:row r="1376" ht="28" customHeight="1">
      <ns0:c r="A1376" s="29"/>
      <ns0:c r="B1376" s="30"/>
      <ns0:c r="C1376" s="28"/>
      <ns0:c r="D1376" s="29"/>
      <ns0:c r="E1376" s="31"/>
      <ns0:c r="F1376" s="32"/>
      <ns0:c r="G1376" s="29"/>
      <ns0:c r="H1376" s="29"/>
      <ns0:c r="I1376" s="29"/>
      <ns0:c r="J1376" s="29"/>
      <ns0:c r="K1376" s="29"/>
    </ns0:row>
    <ns0:row r="1377" ht="28" customHeight="1">
      <ns0:c r="A1377" s="29"/>
      <ns0:c r="B1377" s="30"/>
      <ns0:c r="C1377" s="28"/>
      <ns0:c r="D1377" s="29"/>
      <ns0:c r="E1377" s="31"/>
      <ns0:c r="F1377" s="32"/>
      <ns0:c r="G1377" s="29"/>
      <ns0:c r="H1377" s="29"/>
      <ns0:c r="I1377" s="29"/>
      <ns0:c r="J1377" s="29"/>
      <ns0:c r="K1377" s="29"/>
    </ns0:row>
    <ns0:row r="1378" ht="28" customHeight="1">
      <ns0:c r="A1378" s="29"/>
      <ns0:c r="B1378" s="30"/>
      <ns0:c r="C1378" s="28"/>
      <ns0:c r="D1378" s="29"/>
      <ns0:c r="E1378" s="31"/>
      <ns0:c r="F1378" s="32"/>
      <ns0:c r="G1378" s="29"/>
      <ns0:c r="H1378" s="29"/>
      <ns0:c r="I1378" s="29"/>
      <ns0:c r="J1378" s="29"/>
      <ns0:c r="K1378" s="29"/>
    </ns0:row>
    <ns0:row r="1379" ht="28" customHeight="1">
      <ns0:c r="A1379" s="29"/>
      <ns0:c r="B1379" s="30"/>
      <ns0:c r="C1379" s="28"/>
      <ns0:c r="D1379" s="29"/>
      <ns0:c r="E1379" s="31"/>
      <ns0:c r="F1379" s="32"/>
      <ns0:c r="G1379" s="29"/>
      <ns0:c r="H1379" s="29"/>
      <ns0:c r="I1379" s="29"/>
      <ns0:c r="J1379" s="29"/>
      <ns0:c r="K1379" s="29"/>
    </ns0:row>
    <ns0:row r="1380" ht="28" customHeight="1">
      <ns0:c r="A1380" s="29"/>
      <ns0:c r="B1380" s="30"/>
      <ns0:c r="C1380" s="28"/>
      <ns0:c r="D1380" s="29"/>
      <ns0:c r="E1380" s="31"/>
      <ns0:c r="F1380" s="32"/>
      <ns0:c r="G1380" s="29"/>
      <ns0:c r="H1380" s="29"/>
      <ns0:c r="I1380" s="29"/>
      <ns0:c r="J1380" s="29"/>
      <ns0:c r="K1380" s="29"/>
    </ns0:row>
    <ns0:row r="1381" ht="28" customHeight="1">
      <ns0:c r="A1381" s="29"/>
      <ns0:c r="B1381" s="30"/>
      <ns0:c r="C1381" s="28"/>
      <ns0:c r="D1381" s="29"/>
      <ns0:c r="E1381" s="31"/>
      <ns0:c r="F1381" s="32"/>
      <ns0:c r="G1381" s="29"/>
      <ns0:c r="H1381" s="29"/>
      <ns0:c r="I1381" s="29"/>
      <ns0:c r="J1381" s="29"/>
      <ns0:c r="K1381" s="29"/>
    </ns0:row>
    <ns0:row r="1382" ht="28" customHeight="1">
      <ns0:c r="A1382" s="29"/>
      <ns0:c r="B1382" s="30"/>
      <ns0:c r="C1382" s="28"/>
      <ns0:c r="D1382" s="29"/>
      <ns0:c r="E1382" s="31"/>
      <ns0:c r="F1382" s="32"/>
      <ns0:c r="G1382" s="29"/>
      <ns0:c r="H1382" s="29"/>
      <ns0:c r="I1382" s="29"/>
      <ns0:c r="J1382" s="29"/>
      <ns0:c r="K1382" s="29"/>
    </ns0:row>
    <ns0:row r="1383" ht="28" customHeight="1">
      <ns0:c r="A1383" s="29"/>
      <ns0:c r="B1383" s="30"/>
      <ns0:c r="C1383" s="28"/>
      <ns0:c r="D1383" s="29"/>
      <ns0:c r="E1383" s="31"/>
      <ns0:c r="F1383" s="32"/>
      <ns0:c r="G1383" s="29"/>
      <ns0:c r="H1383" s="29"/>
      <ns0:c r="I1383" s="29"/>
      <ns0:c r="J1383" s="29"/>
      <ns0:c r="K1383" s="29"/>
    </ns0:row>
    <ns0:row r="1384" ht="28" customHeight="1">
      <ns0:c r="A1384" s="29"/>
      <ns0:c r="B1384" s="30"/>
      <ns0:c r="C1384" s="28"/>
      <ns0:c r="D1384" s="29"/>
      <ns0:c r="E1384" s="31"/>
      <ns0:c r="F1384" s="32"/>
      <ns0:c r="G1384" s="29"/>
      <ns0:c r="H1384" s="29"/>
      <ns0:c r="I1384" s="29"/>
      <ns0:c r="J1384" s="29"/>
      <ns0:c r="K1384" s="29"/>
    </ns0:row>
    <ns0:row r="1385" ht="28" customHeight="1">
      <ns0:c r="A1385" s="29"/>
      <ns0:c r="B1385" s="30"/>
      <ns0:c r="C1385" s="28"/>
      <ns0:c r="D1385" s="29"/>
      <ns0:c r="E1385" s="31"/>
      <ns0:c r="F1385" s="32"/>
      <ns0:c r="G1385" s="29"/>
      <ns0:c r="H1385" s="29"/>
      <ns0:c r="I1385" s="29"/>
      <ns0:c r="J1385" s="29"/>
      <ns0:c r="K1385" s="29"/>
    </ns0:row>
    <ns0:row r="1386" ht="28" customHeight="1">
      <ns0:c r="A1386" s="29"/>
      <ns0:c r="B1386" s="30"/>
      <ns0:c r="C1386" s="28"/>
      <ns0:c r="D1386" s="29"/>
      <ns0:c r="E1386" s="31"/>
      <ns0:c r="F1386" s="32"/>
      <ns0:c r="G1386" s="29"/>
      <ns0:c r="H1386" s="29"/>
      <ns0:c r="I1386" s="29"/>
      <ns0:c r="J1386" s="29"/>
      <ns0:c r="K1386" s="29"/>
    </ns0:row>
    <ns0:row r="1387" ht="28" customHeight="1">
      <ns0:c r="A1387" s="29"/>
      <ns0:c r="B1387" s="30"/>
      <ns0:c r="C1387" s="28"/>
      <ns0:c r="D1387" s="29"/>
      <ns0:c r="E1387" s="31"/>
      <ns0:c r="F1387" s="32"/>
      <ns0:c r="G1387" s="29"/>
      <ns0:c r="H1387" s="29"/>
      <ns0:c r="I1387" s="29"/>
      <ns0:c r="J1387" s="29"/>
      <ns0:c r="K1387" s="29"/>
    </ns0:row>
    <ns0:row r="1388" ht="28" customHeight="1">
      <ns0:c r="A1388" s="29"/>
      <ns0:c r="B1388" s="30"/>
      <ns0:c r="C1388" s="28"/>
      <ns0:c r="D1388" s="29"/>
      <ns0:c r="E1388" s="31"/>
      <ns0:c r="F1388" s="32"/>
      <ns0:c r="G1388" s="29"/>
      <ns0:c r="H1388" s="29"/>
      <ns0:c r="I1388" s="29"/>
      <ns0:c r="J1388" s="29"/>
      <ns0:c r="K1388" s="29"/>
    </ns0:row>
    <ns0:row r="1389" ht="28" customHeight="1">
      <ns0:c r="A1389" s="29"/>
      <ns0:c r="B1389" s="30"/>
      <ns0:c r="C1389" s="28"/>
      <ns0:c r="D1389" s="29"/>
      <ns0:c r="E1389" s="31"/>
      <ns0:c r="F1389" s="32"/>
      <ns0:c r="G1389" s="29"/>
      <ns0:c r="H1389" s="29"/>
      <ns0:c r="I1389" s="29"/>
      <ns0:c r="J1389" s="29"/>
      <ns0:c r="K1389" s="29"/>
    </ns0:row>
    <ns0:row r="1390" ht="28" customHeight="1">
      <ns0:c r="A1390" s="29"/>
      <ns0:c r="B1390" s="30"/>
      <ns0:c r="C1390" s="28"/>
      <ns0:c r="D1390" s="29"/>
      <ns0:c r="E1390" s="31"/>
      <ns0:c r="F1390" s="32"/>
      <ns0:c r="G1390" s="29"/>
      <ns0:c r="H1390" s="29"/>
      <ns0:c r="I1390" s="29"/>
      <ns0:c r="J1390" s="29"/>
      <ns0:c r="K1390" s="29"/>
    </ns0:row>
    <ns0:row r="1391" ht="28" customHeight="1">
      <ns0:c r="A1391" s="29"/>
      <ns0:c r="B1391" s="30"/>
      <ns0:c r="C1391" s="28"/>
      <ns0:c r="D1391" s="29"/>
      <ns0:c r="E1391" s="31"/>
      <ns0:c r="F1391" s="32"/>
      <ns0:c r="G1391" s="29"/>
      <ns0:c r="H1391" s="29"/>
      <ns0:c r="I1391" s="29"/>
      <ns0:c r="J1391" s="29"/>
      <ns0:c r="K1391" s="29"/>
    </ns0:row>
    <ns0:row r="1392" ht="28" customHeight="1">
      <ns0:c r="A1392" s="29"/>
      <ns0:c r="B1392" s="30"/>
      <ns0:c r="C1392" s="28"/>
      <ns0:c r="D1392" s="29"/>
      <ns0:c r="E1392" s="31"/>
      <ns0:c r="F1392" s="32"/>
      <ns0:c r="G1392" s="29"/>
      <ns0:c r="H1392" s="29"/>
      <ns0:c r="I1392" s="29"/>
      <ns0:c r="J1392" s="29"/>
      <ns0:c r="K1392" s="29"/>
    </ns0:row>
    <ns0:row r="1393" ht="28" customHeight="1">
      <ns0:c r="A1393" s="29"/>
      <ns0:c r="B1393" s="30"/>
      <ns0:c r="C1393" s="28"/>
      <ns0:c r="D1393" s="29"/>
      <ns0:c r="E1393" s="31"/>
      <ns0:c r="F1393" s="32"/>
      <ns0:c r="G1393" s="29"/>
      <ns0:c r="H1393" s="29"/>
      <ns0:c r="I1393" s="29"/>
      <ns0:c r="J1393" s="29"/>
      <ns0:c r="K1393" s="29"/>
    </ns0:row>
    <ns0:row r="1394" ht="28" customHeight="1">
      <ns0:c r="A1394" s="29"/>
      <ns0:c r="B1394" s="30"/>
      <ns0:c r="C1394" s="28"/>
      <ns0:c r="D1394" s="29"/>
      <ns0:c r="E1394" s="31"/>
      <ns0:c r="F1394" s="32"/>
      <ns0:c r="G1394" s="29"/>
      <ns0:c r="H1394" s="29"/>
      <ns0:c r="I1394" s="29"/>
      <ns0:c r="J1394" s="29"/>
      <ns0:c r="K1394" s="29"/>
    </ns0:row>
    <ns0:row r="1395" ht="28" customHeight="1">
      <ns0:c r="A1395" s="29"/>
      <ns0:c r="B1395" s="30"/>
      <ns0:c r="C1395" s="28"/>
      <ns0:c r="D1395" s="29"/>
      <ns0:c r="E1395" s="31"/>
      <ns0:c r="F1395" s="32"/>
      <ns0:c r="G1395" s="29"/>
      <ns0:c r="H1395" s="29"/>
      <ns0:c r="I1395" s="29"/>
      <ns0:c r="J1395" s="29"/>
      <ns0:c r="K1395" s="29"/>
    </ns0:row>
    <ns0:row r="1396" ht="28" customHeight="1">
      <ns0:c r="A1396" s="29"/>
      <ns0:c r="B1396" s="30"/>
      <ns0:c r="C1396" s="28"/>
      <ns0:c r="D1396" s="29"/>
      <ns0:c r="E1396" s="31"/>
      <ns0:c r="F1396" s="32"/>
      <ns0:c r="G1396" s="29"/>
      <ns0:c r="H1396" s="29"/>
      <ns0:c r="I1396" s="29"/>
      <ns0:c r="J1396" s="29"/>
      <ns0:c r="K1396" s="29"/>
    </ns0:row>
    <ns0:row r="1397" ht="28" customHeight="1">
      <ns0:c r="A1397" s="29"/>
      <ns0:c r="B1397" s="30"/>
      <ns0:c r="C1397" s="28"/>
      <ns0:c r="D1397" s="29"/>
      <ns0:c r="E1397" s="31"/>
      <ns0:c r="F1397" s="32"/>
      <ns0:c r="G1397" s="29"/>
      <ns0:c r="H1397" s="29"/>
      <ns0:c r="I1397" s="29"/>
      <ns0:c r="J1397" s="29"/>
      <ns0:c r="K1397" s="29"/>
    </ns0:row>
    <ns0:row r="1398" ht="28" customHeight="1">
      <ns0:c r="A1398" s="29"/>
      <ns0:c r="B1398" s="30"/>
      <ns0:c r="C1398" s="28"/>
      <ns0:c r="D1398" s="29"/>
      <ns0:c r="E1398" s="31"/>
      <ns0:c r="F1398" s="32"/>
      <ns0:c r="G1398" s="29"/>
      <ns0:c r="H1398" s="29"/>
      <ns0:c r="I1398" s="29"/>
      <ns0:c r="J1398" s="29"/>
      <ns0:c r="K1398" s="29"/>
    </ns0:row>
    <ns0:row r="1399" ht="28" customHeight="1">
      <ns0:c r="A1399" s="29"/>
      <ns0:c r="B1399" s="30"/>
      <ns0:c r="C1399" s="28"/>
      <ns0:c r="D1399" s="29"/>
      <ns0:c r="E1399" s="31"/>
      <ns0:c r="F1399" s="32"/>
      <ns0:c r="G1399" s="29"/>
      <ns0:c r="H1399" s="29"/>
      <ns0:c r="I1399" s="29"/>
      <ns0:c r="J1399" s="29"/>
      <ns0:c r="K1399" s="29"/>
    </ns0:row>
    <ns0:row r="1400" ht="28" customHeight="1">
      <ns0:c r="A1400" s="29"/>
      <ns0:c r="B1400" s="30"/>
      <ns0:c r="C1400" s="28"/>
      <ns0:c r="D1400" s="29"/>
      <ns0:c r="E1400" s="31"/>
      <ns0:c r="F1400" s="32"/>
      <ns0:c r="G1400" s="29"/>
      <ns0:c r="H1400" s="29"/>
      <ns0:c r="I1400" s="29"/>
      <ns0:c r="J1400" s="29"/>
      <ns0:c r="K1400" s="29"/>
    </ns0:row>
    <ns0:row r="1401" ht="28" customHeight="1">
      <ns0:c r="A1401" s="29"/>
      <ns0:c r="B1401" s="30"/>
      <ns0:c r="C1401" s="28"/>
      <ns0:c r="D1401" s="29"/>
      <ns0:c r="E1401" s="31"/>
      <ns0:c r="F1401" s="32"/>
      <ns0:c r="G1401" s="29"/>
      <ns0:c r="H1401" s="29"/>
      <ns0:c r="I1401" s="29"/>
      <ns0:c r="J1401" s="29"/>
      <ns0:c r="K1401" s="29"/>
    </ns0:row>
    <ns0:row r="1402" ht="28" customHeight="1">
      <ns0:c r="A1402" s="29"/>
      <ns0:c r="B1402" s="30"/>
      <ns0:c r="C1402" s="28"/>
      <ns0:c r="D1402" s="29"/>
      <ns0:c r="E1402" s="31"/>
      <ns0:c r="F1402" s="32"/>
      <ns0:c r="G1402" s="29"/>
      <ns0:c r="H1402" s="29"/>
      <ns0:c r="I1402" s="29"/>
      <ns0:c r="J1402" s="29"/>
      <ns0:c r="K1402" s="29"/>
    </ns0:row>
    <ns0:row r="1403" ht="28" customHeight="1">
      <ns0:c r="A1403" s="29"/>
      <ns0:c r="B1403" s="30"/>
      <ns0:c r="C1403" s="28"/>
      <ns0:c r="D1403" s="29"/>
      <ns0:c r="E1403" s="31"/>
      <ns0:c r="F1403" s="32"/>
      <ns0:c r="G1403" s="29"/>
      <ns0:c r="H1403" s="29"/>
      <ns0:c r="I1403" s="29"/>
      <ns0:c r="J1403" s="29"/>
      <ns0:c r="K1403" s="29"/>
    </ns0:row>
    <ns0:row r="1404" ht="28" customHeight="1">
      <ns0:c r="A1404" s="29"/>
      <ns0:c r="B1404" s="30"/>
      <ns0:c r="C1404" s="28"/>
      <ns0:c r="D1404" s="29"/>
      <ns0:c r="E1404" s="31"/>
      <ns0:c r="F1404" s="32"/>
      <ns0:c r="G1404" s="29"/>
      <ns0:c r="H1404" s="29"/>
      <ns0:c r="I1404" s="29"/>
      <ns0:c r="J1404" s="29"/>
      <ns0:c r="K1404" s="29"/>
    </ns0:row>
    <ns0:row r="1405" ht="28" customHeight="1">
      <ns0:c r="A1405" s="29"/>
      <ns0:c r="B1405" s="30"/>
      <ns0:c r="C1405" s="28"/>
      <ns0:c r="D1405" s="29"/>
      <ns0:c r="E1405" s="31"/>
      <ns0:c r="F1405" s="32"/>
      <ns0:c r="G1405" s="29"/>
      <ns0:c r="H1405" s="29"/>
      <ns0:c r="I1405" s="29"/>
      <ns0:c r="J1405" s="29"/>
      <ns0:c r="K1405" s="29"/>
    </ns0:row>
    <ns0:row r="1406" ht="28" customHeight="1">
      <ns0:c r="A1406" s="29"/>
      <ns0:c r="B1406" s="30"/>
      <ns0:c r="C1406" s="28"/>
      <ns0:c r="D1406" s="29"/>
      <ns0:c r="E1406" s="31"/>
      <ns0:c r="F1406" s="32"/>
      <ns0:c r="G1406" s="29"/>
      <ns0:c r="H1406" s="29"/>
      <ns0:c r="I1406" s="29"/>
      <ns0:c r="J1406" s="29"/>
      <ns0:c r="K1406" s="29"/>
    </ns0:row>
    <ns0:row r="1407" ht="28" customHeight="1">
      <ns0:c r="A1407" s="29"/>
      <ns0:c r="B1407" s="30"/>
      <ns0:c r="C1407" s="28"/>
      <ns0:c r="D1407" s="29"/>
      <ns0:c r="E1407" s="31"/>
      <ns0:c r="F1407" s="32"/>
      <ns0:c r="G1407" s="29"/>
      <ns0:c r="H1407" s="29"/>
      <ns0:c r="I1407" s="29"/>
      <ns0:c r="J1407" s="29"/>
      <ns0:c r="K1407" s="29"/>
    </ns0:row>
    <ns0:row r="1408" ht="28" customHeight="1">
      <ns0:c r="A1408" s="29"/>
      <ns0:c r="B1408" s="30"/>
      <ns0:c r="C1408" s="28"/>
      <ns0:c r="D1408" s="29"/>
      <ns0:c r="E1408" s="31"/>
      <ns0:c r="F1408" s="32"/>
      <ns0:c r="G1408" s="29"/>
      <ns0:c r="H1408" s="29"/>
      <ns0:c r="I1408" s="29"/>
      <ns0:c r="J1408" s="29"/>
      <ns0:c r="K1408" s="29"/>
    </ns0:row>
    <ns0:row r="1409" ht="28" customHeight="1">
      <ns0:c r="A1409" s="29"/>
      <ns0:c r="B1409" s="30"/>
      <ns0:c r="C1409" s="28"/>
      <ns0:c r="D1409" s="29"/>
      <ns0:c r="E1409" s="31"/>
      <ns0:c r="F1409" s="32"/>
      <ns0:c r="G1409" s="29"/>
      <ns0:c r="H1409" s="29"/>
      <ns0:c r="I1409" s="29"/>
      <ns0:c r="J1409" s="29"/>
      <ns0:c r="K1409" s="29"/>
    </ns0:row>
    <ns0:row r="1410" ht="28" customHeight="1">
      <ns0:c r="A1410" s="29"/>
      <ns0:c r="B1410" s="30"/>
      <ns0:c r="C1410" s="28"/>
      <ns0:c r="D1410" s="29"/>
      <ns0:c r="E1410" s="31"/>
      <ns0:c r="F1410" s="32"/>
      <ns0:c r="G1410" s="29"/>
      <ns0:c r="H1410" s="29"/>
      <ns0:c r="I1410" s="29"/>
      <ns0:c r="J1410" s="29"/>
      <ns0:c r="K1410" s="29"/>
    </ns0:row>
    <ns0:row r="1411" ht="28" customHeight="1">
      <ns0:c r="A1411" s="29"/>
      <ns0:c r="B1411" s="30"/>
      <ns0:c r="C1411" s="28"/>
      <ns0:c r="D1411" s="29"/>
      <ns0:c r="E1411" s="31"/>
      <ns0:c r="F1411" s="32"/>
      <ns0:c r="G1411" s="29"/>
      <ns0:c r="H1411" s="29"/>
      <ns0:c r="I1411" s="29"/>
      <ns0:c r="J1411" s="29"/>
      <ns0:c r="K1411" s="29"/>
    </ns0:row>
    <ns0:row r="1412" ht="28" customHeight="1">
      <ns0:c r="A1412" s="29"/>
      <ns0:c r="B1412" s="30"/>
      <ns0:c r="C1412" s="28"/>
      <ns0:c r="D1412" s="29"/>
      <ns0:c r="E1412" s="31"/>
      <ns0:c r="F1412" s="32"/>
      <ns0:c r="G1412" s="29"/>
      <ns0:c r="H1412" s="29"/>
      <ns0:c r="I1412" s="29"/>
      <ns0:c r="J1412" s="29"/>
      <ns0:c r="K1412" s="29"/>
    </ns0:row>
    <ns0:row r="1413" ht="28" customHeight="1">
      <ns0:c r="A1413" s="29"/>
      <ns0:c r="B1413" s="30"/>
      <ns0:c r="C1413" s="28"/>
      <ns0:c r="D1413" s="29"/>
      <ns0:c r="E1413" s="31"/>
      <ns0:c r="F1413" s="32"/>
      <ns0:c r="G1413" s="29"/>
      <ns0:c r="H1413" s="29"/>
      <ns0:c r="I1413" s="29"/>
      <ns0:c r="J1413" s="29"/>
      <ns0:c r="K1413" s="29"/>
    </ns0:row>
    <ns0:row r="1414" ht="28" customHeight="1">
      <ns0:c r="A1414" s="29"/>
      <ns0:c r="B1414" s="30"/>
      <ns0:c r="C1414" s="28"/>
      <ns0:c r="D1414" s="29"/>
      <ns0:c r="E1414" s="31"/>
      <ns0:c r="F1414" s="32"/>
      <ns0:c r="G1414" s="29"/>
      <ns0:c r="H1414" s="29"/>
      <ns0:c r="I1414" s="29"/>
      <ns0:c r="J1414" s="29"/>
      <ns0:c r="K1414" s="29"/>
    </ns0:row>
    <ns0:row r="1415" ht="28" customHeight="1">
      <ns0:c r="A1415" s="29"/>
      <ns0:c r="B1415" s="30"/>
      <ns0:c r="C1415" s="28"/>
      <ns0:c r="D1415" s="29"/>
      <ns0:c r="E1415" s="31"/>
      <ns0:c r="F1415" s="32"/>
      <ns0:c r="G1415" s="29"/>
      <ns0:c r="H1415" s="29"/>
      <ns0:c r="I1415" s="29"/>
      <ns0:c r="J1415" s="29"/>
      <ns0:c r="K1415" s="29"/>
    </ns0:row>
    <ns0:row r="1416" ht="28" customHeight="1">
      <ns0:c r="A1416" s="29"/>
      <ns0:c r="B1416" s="30"/>
      <ns0:c r="C1416" s="28"/>
      <ns0:c r="D1416" s="29"/>
      <ns0:c r="E1416" s="31"/>
      <ns0:c r="F1416" s="32"/>
      <ns0:c r="G1416" s="29"/>
      <ns0:c r="H1416" s="29"/>
      <ns0:c r="I1416" s="29"/>
      <ns0:c r="J1416" s="29"/>
      <ns0:c r="K1416" s="29"/>
    </ns0:row>
    <ns0:row r="1417" ht="28" customHeight="1">
      <ns0:c r="A1417" s="29"/>
      <ns0:c r="B1417" s="30"/>
      <ns0:c r="C1417" s="28"/>
      <ns0:c r="D1417" s="29"/>
      <ns0:c r="E1417" s="31"/>
      <ns0:c r="F1417" s="32"/>
      <ns0:c r="G1417" s="29"/>
      <ns0:c r="H1417" s="29"/>
      <ns0:c r="I1417" s="29"/>
      <ns0:c r="J1417" s="29"/>
      <ns0:c r="K1417" s="29"/>
    </ns0:row>
    <ns0:row r="1418" ht="28" customHeight="1">
      <ns0:c r="A1418" s="29"/>
      <ns0:c r="B1418" s="30"/>
      <ns0:c r="C1418" s="28"/>
      <ns0:c r="D1418" s="29"/>
      <ns0:c r="E1418" s="31"/>
      <ns0:c r="F1418" s="32"/>
      <ns0:c r="G1418" s="29"/>
      <ns0:c r="H1418" s="29"/>
      <ns0:c r="I1418" s="29"/>
      <ns0:c r="J1418" s="29"/>
      <ns0:c r="K1418" s="29"/>
    </ns0:row>
    <ns0:row r="1419" ht="28" customHeight="1">
      <ns0:c r="A1419" s="29"/>
      <ns0:c r="B1419" s="30"/>
      <ns0:c r="C1419" s="28"/>
      <ns0:c r="D1419" s="29"/>
      <ns0:c r="E1419" s="31"/>
      <ns0:c r="F1419" s="32"/>
      <ns0:c r="G1419" s="29"/>
      <ns0:c r="H1419" s="29"/>
      <ns0:c r="I1419" s="29"/>
      <ns0:c r="J1419" s="29"/>
      <ns0:c r="K1419" s="29"/>
    </ns0:row>
    <ns0:row r="1420" ht="28" customHeight="1">
      <ns0:c r="A1420" s="29"/>
      <ns0:c r="B1420" s="30"/>
      <ns0:c r="C1420" s="28"/>
      <ns0:c r="D1420" s="29"/>
      <ns0:c r="E1420" s="31"/>
      <ns0:c r="F1420" s="32"/>
      <ns0:c r="G1420" s="29"/>
      <ns0:c r="H1420" s="29"/>
      <ns0:c r="I1420" s="29"/>
      <ns0:c r="J1420" s="29"/>
      <ns0:c r="K1420" s="29"/>
    </ns0:row>
    <ns0:row r="1421" ht="28" customHeight="1">
      <ns0:c r="A1421" s="29"/>
      <ns0:c r="B1421" s="30"/>
      <ns0:c r="C1421" s="28"/>
      <ns0:c r="D1421" s="29"/>
      <ns0:c r="E1421" s="31"/>
      <ns0:c r="F1421" s="32"/>
      <ns0:c r="G1421" s="29"/>
      <ns0:c r="H1421" s="29"/>
      <ns0:c r="I1421" s="29"/>
      <ns0:c r="J1421" s="29"/>
      <ns0:c r="K1421" s="29"/>
    </ns0:row>
    <ns0:row r="1422" ht="28" customHeight="1">
      <ns0:c r="A1422" s="29"/>
      <ns0:c r="B1422" s="30"/>
      <ns0:c r="C1422" s="28"/>
      <ns0:c r="D1422" s="29"/>
      <ns0:c r="E1422" s="31"/>
      <ns0:c r="F1422" s="32"/>
      <ns0:c r="G1422" s="29"/>
      <ns0:c r="H1422" s="29"/>
      <ns0:c r="I1422" s="29"/>
      <ns0:c r="J1422" s="29"/>
      <ns0:c r="K1422" s="29"/>
    </ns0:row>
    <ns0:row r="1423" ht="28" customHeight="1">
      <ns0:c r="A1423" s="29"/>
      <ns0:c r="B1423" s="30"/>
      <ns0:c r="C1423" s="28"/>
      <ns0:c r="D1423" s="29"/>
      <ns0:c r="E1423" s="31"/>
      <ns0:c r="F1423" s="32"/>
      <ns0:c r="G1423" s="29"/>
      <ns0:c r="H1423" s="29"/>
      <ns0:c r="I1423" s="29"/>
      <ns0:c r="J1423" s="29"/>
      <ns0:c r="K1423" s="29"/>
    </ns0:row>
    <ns0:row r="1424" ht="28" customHeight="1">
      <ns0:c r="A1424" s="29"/>
      <ns0:c r="B1424" s="30"/>
      <ns0:c r="C1424" s="28"/>
      <ns0:c r="D1424" s="29"/>
      <ns0:c r="E1424" s="31"/>
      <ns0:c r="F1424" s="32"/>
      <ns0:c r="G1424" s="29"/>
      <ns0:c r="H1424" s="29"/>
      <ns0:c r="I1424" s="29"/>
      <ns0:c r="J1424" s="29"/>
      <ns0:c r="K1424" s="29"/>
    </ns0:row>
    <ns0:row r="1425" ht="28" customHeight="1">
      <ns0:c r="A1425" s="29"/>
      <ns0:c r="B1425" s="30"/>
      <ns0:c r="C1425" s="28"/>
      <ns0:c r="D1425" s="29"/>
      <ns0:c r="E1425" s="31"/>
      <ns0:c r="F1425" s="32"/>
      <ns0:c r="G1425" s="29"/>
      <ns0:c r="H1425" s="29"/>
      <ns0:c r="I1425" s="29"/>
      <ns0:c r="J1425" s="29"/>
      <ns0:c r="K1425" s="29"/>
    </ns0:row>
    <ns0:row r="1426" ht="28" customHeight="1">
      <ns0:c r="A1426" s="29"/>
      <ns0:c r="B1426" s="30"/>
      <ns0:c r="C1426" s="28"/>
      <ns0:c r="D1426" s="29"/>
      <ns0:c r="E1426" s="31"/>
      <ns0:c r="F1426" s="32"/>
      <ns0:c r="G1426" s="29"/>
      <ns0:c r="H1426" s="29"/>
      <ns0:c r="I1426" s="29"/>
      <ns0:c r="J1426" s="29"/>
      <ns0:c r="K1426" s="29"/>
    </ns0:row>
    <ns0:row r="1427" ht="28" customHeight="1">
      <ns0:c r="A1427" s="29"/>
      <ns0:c r="B1427" s="30"/>
      <ns0:c r="C1427" s="28"/>
      <ns0:c r="D1427" s="29"/>
      <ns0:c r="E1427" s="31"/>
      <ns0:c r="F1427" s="32"/>
      <ns0:c r="G1427" s="29"/>
      <ns0:c r="H1427" s="29"/>
      <ns0:c r="I1427" s="29"/>
      <ns0:c r="J1427" s="29"/>
      <ns0:c r="K1427" s="29"/>
    </ns0:row>
    <ns0:row r="1428" ht="28" customHeight="1">
      <ns0:c r="A1428" s="29"/>
      <ns0:c r="B1428" s="30"/>
      <ns0:c r="C1428" s="28"/>
      <ns0:c r="D1428" s="29"/>
      <ns0:c r="E1428" s="31"/>
      <ns0:c r="F1428" s="32"/>
      <ns0:c r="G1428" s="29"/>
      <ns0:c r="H1428" s="29"/>
      <ns0:c r="I1428" s="29"/>
      <ns0:c r="J1428" s="29"/>
      <ns0:c r="K1428" s="29"/>
    </ns0:row>
    <ns0:row r="1429" ht="28" customHeight="1">
      <ns0:c r="A1429" s="29"/>
      <ns0:c r="B1429" s="30"/>
      <ns0:c r="C1429" s="28"/>
      <ns0:c r="D1429" s="29"/>
      <ns0:c r="E1429" s="31"/>
      <ns0:c r="F1429" s="32"/>
      <ns0:c r="G1429" s="29"/>
      <ns0:c r="H1429" s="29"/>
      <ns0:c r="I1429" s="29"/>
      <ns0:c r="J1429" s="29"/>
      <ns0:c r="K1429" s="29"/>
    </ns0:row>
    <ns0:row r="1430" ht="28" customHeight="1">
      <ns0:c r="A1430" s="29"/>
      <ns0:c r="B1430" s="30"/>
      <ns0:c r="C1430" s="28"/>
      <ns0:c r="D1430" s="29"/>
      <ns0:c r="E1430" s="31"/>
      <ns0:c r="F1430" s="32"/>
      <ns0:c r="G1430" s="29"/>
      <ns0:c r="H1430" s="29"/>
      <ns0:c r="I1430" s="29"/>
      <ns0:c r="J1430" s="29"/>
      <ns0:c r="K1430" s="29"/>
    </ns0:row>
    <ns0:row r="1431" ht="28" customHeight="1">
      <ns0:c r="A1431" s="29"/>
      <ns0:c r="B1431" s="30"/>
      <ns0:c r="C1431" s="28"/>
      <ns0:c r="D1431" s="29"/>
      <ns0:c r="E1431" s="31"/>
      <ns0:c r="F1431" s="32"/>
      <ns0:c r="G1431" s="29"/>
      <ns0:c r="H1431" s="29"/>
      <ns0:c r="I1431" s="29"/>
      <ns0:c r="J1431" s="29"/>
      <ns0:c r="K1431" s="29"/>
    </ns0:row>
    <ns0:row r="1432" ht="28" customHeight="1">
      <ns0:c r="A1432" s="29"/>
      <ns0:c r="B1432" s="30"/>
      <ns0:c r="C1432" s="28"/>
      <ns0:c r="D1432" s="29"/>
      <ns0:c r="E1432" s="31"/>
      <ns0:c r="F1432" s="32"/>
      <ns0:c r="G1432" s="29"/>
      <ns0:c r="H1432" s="29"/>
      <ns0:c r="I1432" s="29"/>
      <ns0:c r="J1432" s="29"/>
      <ns0:c r="K1432" s="29"/>
    </ns0:row>
    <ns0:row r="1433" ht="28" customHeight="1">
      <ns0:c r="A1433" s="29"/>
      <ns0:c r="B1433" s="30"/>
      <ns0:c r="C1433" s="28"/>
      <ns0:c r="D1433" s="29"/>
      <ns0:c r="E1433" s="31"/>
      <ns0:c r="F1433" s="32"/>
      <ns0:c r="G1433" s="29"/>
      <ns0:c r="H1433" s="29"/>
      <ns0:c r="I1433" s="29"/>
      <ns0:c r="J1433" s="29"/>
      <ns0:c r="K1433" s="29"/>
    </ns0:row>
    <ns0:row r="1434" ht="28" customHeight="1">
      <ns0:c r="A1434" s="29"/>
      <ns0:c r="B1434" s="30"/>
      <ns0:c r="C1434" s="28"/>
      <ns0:c r="D1434" s="29"/>
      <ns0:c r="E1434" s="31"/>
      <ns0:c r="F1434" s="32"/>
      <ns0:c r="G1434" s="29"/>
      <ns0:c r="H1434" s="29"/>
      <ns0:c r="I1434" s="29"/>
      <ns0:c r="J1434" s="29"/>
      <ns0:c r="K1434" s="29"/>
    </ns0:row>
    <ns0:row r="1435" ht="28" customHeight="1">
      <ns0:c r="A1435" s="29"/>
      <ns0:c r="B1435" s="30"/>
      <ns0:c r="C1435" s="28"/>
      <ns0:c r="D1435" s="29"/>
      <ns0:c r="E1435" s="31"/>
      <ns0:c r="F1435" s="32"/>
      <ns0:c r="G1435" s="29"/>
      <ns0:c r="H1435" s="29"/>
      <ns0:c r="I1435" s="29"/>
      <ns0:c r="J1435" s="29"/>
      <ns0:c r="K1435" s="29"/>
    </ns0:row>
    <ns0:row r="1436" ht="28" customHeight="1">
      <ns0:c r="A1436" s="29"/>
      <ns0:c r="B1436" s="30"/>
      <ns0:c r="C1436" s="28"/>
      <ns0:c r="D1436" s="29"/>
      <ns0:c r="E1436" s="31"/>
      <ns0:c r="F1436" s="32"/>
      <ns0:c r="G1436" s="29"/>
      <ns0:c r="H1436" s="29"/>
      <ns0:c r="I1436" s="29"/>
      <ns0:c r="J1436" s="29"/>
      <ns0:c r="K1436" s="29"/>
    </ns0:row>
    <ns0:row r="1437" ht="28" customHeight="1">
      <ns0:c r="A1437" s="29"/>
      <ns0:c r="B1437" s="30"/>
      <ns0:c r="C1437" s="28"/>
      <ns0:c r="D1437" s="29"/>
      <ns0:c r="E1437" s="31"/>
      <ns0:c r="F1437" s="32"/>
      <ns0:c r="G1437" s="29"/>
      <ns0:c r="H1437" s="29"/>
      <ns0:c r="I1437" s="29"/>
      <ns0:c r="J1437" s="29"/>
      <ns0:c r="K1437" s="29"/>
    </ns0:row>
    <ns0:row r="1438" ht="28" customHeight="1">
      <ns0:c r="A1438" s="29"/>
      <ns0:c r="B1438" s="30"/>
      <ns0:c r="C1438" s="28"/>
      <ns0:c r="D1438" s="29"/>
      <ns0:c r="E1438" s="31"/>
      <ns0:c r="F1438" s="32"/>
      <ns0:c r="G1438" s="29"/>
      <ns0:c r="H1438" s="29"/>
      <ns0:c r="I1438" s="29"/>
      <ns0:c r="J1438" s="29"/>
      <ns0:c r="K1438" s="29"/>
    </ns0:row>
    <ns0:row r="1439" ht="28" customHeight="1">
      <ns0:c r="A1439" s="29"/>
      <ns0:c r="B1439" s="30"/>
      <ns0:c r="C1439" s="28"/>
      <ns0:c r="D1439" s="29"/>
      <ns0:c r="E1439" s="31"/>
      <ns0:c r="F1439" s="32"/>
      <ns0:c r="G1439" s="29"/>
      <ns0:c r="H1439" s="29"/>
      <ns0:c r="I1439" s="29"/>
      <ns0:c r="J1439" s="29"/>
      <ns0:c r="K1439" s="29"/>
    </ns0:row>
    <ns0:row r="1440" ht="28" customHeight="1">
      <ns0:c r="A1440" s="29"/>
      <ns0:c r="B1440" s="30"/>
      <ns0:c r="C1440" s="28"/>
      <ns0:c r="D1440" s="29"/>
      <ns0:c r="E1440" s="31"/>
      <ns0:c r="F1440" s="32"/>
      <ns0:c r="G1440" s="29"/>
      <ns0:c r="H1440" s="29"/>
      <ns0:c r="I1440" s="29"/>
      <ns0:c r="J1440" s="29"/>
      <ns0:c r="K1440" s="29"/>
    </ns0:row>
    <ns0:row r="1441" ht="28" customHeight="1">
      <ns0:c r="A1441" s="29"/>
      <ns0:c r="B1441" s="30"/>
      <ns0:c r="C1441" s="28"/>
      <ns0:c r="D1441" s="29"/>
      <ns0:c r="E1441" s="31"/>
      <ns0:c r="F1441" s="32"/>
      <ns0:c r="G1441" s="29"/>
      <ns0:c r="H1441" s="29"/>
      <ns0:c r="I1441" s="29"/>
      <ns0:c r="J1441" s="29"/>
      <ns0:c r="K1441" s="29"/>
    </ns0:row>
    <ns0:row r="1442" ht="28" customHeight="1">
      <ns0:c r="A1442" s="29"/>
      <ns0:c r="B1442" s="30"/>
      <ns0:c r="C1442" s="28"/>
      <ns0:c r="D1442" s="29"/>
      <ns0:c r="E1442" s="31"/>
      <ns0:c r="F1442" s="32"/>
      <ns0:c r="G1442" s="29"/>
      <ns0:c r="H1442" s="29"/>
      <ns0:c r="I1442" s="29"/>
      <ns0:c r="J1442" s="29"/>
      <ns0:c r="K1442" s="29"/>
    </ns0:row>
    <ns0:row r="1443" ht="28" customHeight="1">
      <ns0:c r="A1443" s="29"/>
      <ns0:c r="B1443" s="30"/>
      <ns0:c r="C1443" s="28"/>
      <ns0:c r="D1443" s="29"/>
      <ns0:c r="E1443" s="31"/>
      <ns0:c r="F1443" s="32"/>
      <ns0:c r="G1443" s="29"/>
      <ns0:c r="H1443" s="29"/>
      <ns0:c r="I1443" s="29"/>
      <ns0:c r="J1443" s="29"/>
      <ns0:c r="K1443" s="29"/>
    </ns0:row>
    <ns0:row r="1444" ht="28" customHeight="1">
      <ns0:c r="A1444" s="29"/>
      <ns0:c r="B1444" s="30"/>
      <ns0:c r="C1444" s="28"/>
      <ns0:c r="D1444" s="29"/>
      <ns0:c r="E1444" s="31"/>
      <ns0:c r="F1444" s="32"/>
      <ns0:c r="G1444" s="29"/>
      <ns0:c r="H1444" s="29"/>
      <ns0:c r="I1444" s="29"/>
      <ns0:c r="J1444" s="29"/>
      <ns0:c r="K1444" s="29"/>
    </ns0:row>
    <ns0:row r="1445" ht="28" customHeight="1">
      <ns0:c r="A1445" s="29"/>
      <ns0:c r="B1445" s="30"/>
      <ns0:c r="C1445" s="28"/>
      <ns0:c r="D1445" s="29"/>
      <ns0:c r="E1445" s="31"/>
      <ns0:c r="F1445" s="32"/>
      <ns0:c r="G1445" s="29"/>
      <ns0:c r="H1445" s="29"/>
      <ns0:c r="I1445" s="29"/>
      <ns0:c r="J1445" s="29"/>
      <ns0:c r="K1445" s="29"/>
    </ns0:row>
    <ns0:row r="1446" ht="28" customHeight="1">
      <ns0:c r="A1446" s="29"/>
      <ns0:c r="B1446" s="30"/>
      <ns0:c r="C1446" s="28"/>
      <ns0:c r="D1446" s="29"/>
      <ns0:c r="E1446" s="31"/>
      <ns0:c r="F1446" s="32"/>
      <ns0:c r="G1446" s="29"/>
      <ns0:c r="H1446" s="29"/>
      <ns0:c r="I1446" s="29"/>
      <ns0:c r="J1446" s="29"/>
      <ns0:c r="K1446" s="29"/>
    </ns0:row>
    <ns0:row r="1447" ht="28" customHeight="1">
      <ns0:c r="A1447" s="29"/>
      <ns0:c r="B1447" s="30"/>
      <ns0:c r="C1447" s="28"/>
      <ns0:c r="D1447" s="29"/>
      <ns0:c r="E1447" s="31"/>
      <ns0:c r="F1447" s="32"/>
      <ns0:c r="G1447" s="29"/>
      <ns0:c r="H1447" s="29"/>
      <ns0:c r="I1447" s="29"/>
      <ns0:c r="J1447" s="29"/>
      <ns0:c r="K1447" s="29"/>
    </ns0:row>
    <ns0:row r="1448" ht="28" customHeight="1">
      <ns0:c r="A1448" s="29"/>
      <ns0:c r="B1448" s="30"/>
      <ns0:c r="C1448" s="28"/>
      <ns0:c r="D1448" s="29"/>
      <ns0:c r="E1448" s="31"/>
      <ns0:c r="F1448" s="32"/>
      <ns0:c r="G1448" s="29"/>
      <ns0:c r="H1448" s="29"/>
      <ns0:c r="I1448" s="29"/>
      <ns0:c r="J1448" s="29"/>
      <ns0:c r="K1448" s="29"/>
    </ns0:row>
    <ns0:row r="1449" ht="28" customHeight="1">
      <ns0:c r="A1449" s="29"/>
      <ns0:c r="B1449" s="30"/>
      <ns0:c r="C1449" s="28"/>
      <ns0:c r="D1449" s="29"/>
      <ns0:c r="E1449" s="31"/>
      <ns0:c r="F1449" s="32"/>
      <ns0:c r="G1449" s="29"/>
      <ns0:c r="H1449" s="29"/>
      <ns0:c r="I1449" s="29"/>
      <ns0:c r="J1449" s="29"/>
      <ns0:c r="K1449" s="29"/>
    </ns0:row>
    <ns0:row r="1450" ht="28" customHeight="1">
      <ns0:c r="A1450" s="29"/>
      <ns0:c r="B1450" s="30"/>
      <ns0:c r="C1450" s="28"/>
      <ns0:c r="D1450" s="29"/>
      <ns0:c r="E1450" s="31"/>
      <ns0:c r="F1450" s="32"/>
      <ns0:c r="G1450" s="29"/>
      <ns0:c r="H1450" s="29"/>
      <ns0:c r="I1450" s="29"/>
      <ns0:c r="J1450" s="29"/>
      <ns0:c r="K1450" s="29"/>
    </ns0:row>
    <ns0:row r="1451" ht="28" customHeight="1">
      <ns0:c r="A1451" s="29"/>
      <ns0:c r="B1451" s="30"/>
      <ns0:c r="C1451" s="28"/>
      <ns0:c r="D1451" s="29"/>
      <ns0:c r="E1451" s="31"/>
      <ns0:c r="F1451" s="32"/>
      <ns0:c r="G1451" s="29"/>
      <ns0:c r="H1451" s="29"/>
      <ns0:c r="I1451" s="29"/>
      <ns0:c r="J1451" s="29"/>
      <ns0:c r="K1451" s="29"/>
    </ns0:row>
    <ns0:row r="1452" ht="28" customHeight="1">
      <ns0:c r="A1452" s="29"/>
      <ns0:c r="B1452" s="30"/>
      <ns0:c r="C1452" s="28"/>
      <ns0:c r="D1452" s="29"/>
      <ns0:c r="E1452" s="31"/>
      <ns0:c r="F1452" s="32"/>
      <ns0:c r="G1452" s="29"/>
      <ns0:c r="H1452" s="29"/>
      <ns0:c r="I1452" s="29"/>
      <ns0:c r="J1452" s="29"/>
      <ns0:c r="K1452" s="29"/>
    </ns0:row>
    <ns0:row r="1453" ht="28" customHeight="1">
      <ns0:c r="A1453" s="29"/>
      <ns0:c r="B1453" s="30"/>
      <ns0:c r="C1453" s="28"/>
      <ns0:c r="D1453" s="29"/>
      <ns0:c r="E1453" s="31"/>
      <ns0:c r="F1453" s="32"/>
      <ns0:c r="G1453" s="29"/>
      <ns0:c r="H1453" s="29"/>
      <ns0:c r="I1453" s="29"/>
      <ns0:c r="J1453" s="29"/>
      <ns0:c r="K1453" s="29"/>
    </ns0:row>
    <ns0:row r="1454" ht="28" customHeight="1">
      <ns0:c r="A1454" s="29"/>
      <ns0:c r="B1454" s="30"/>
      <ns0:c r="C1454" s="28"/>
      <ns0:c r="D1454" s="29"/>
      <ns0:c r="E1454" s="31"/>
      <ns0:c r="F1454" s="32"/>
      <ns0:c r="G1454" s="29"/>
      <ns0:c r="H1454" s="29"/>
      <ns0:c r="I1454" s="29"/>
      <ns0:c r="J1454" s="29"/>
      <ns0:c r="K1454" s="29"/>
    </ns0:row>
    <ns0:row r="1455" ht="28" customHeight="1">
      <ns0:c r="A1455" s="29"/>
      <ns0:c r="B1455" s="30"/>
      <ns0:c r="C1455" s="28"/>
      <ns0:c r="D1455" s="29"/>
      <ns0:c r="E1455" s="31"/>
      <ns0:c r="F1455" s="32"/>
      <ns0:c r="G1455" s="29"/>
      <ns0:c r="H1455" s="29"/>
      <ns0:c r="I1455" s="29"/>
      <ns0:c r="J1455" s="29"/>
      <ns0:c r="K1455" s="29"/>
    </ns0:row>
    <ns0:row r="1456" ht="28" customHeight="1">
      <ns0:c r="A1456" s="29"/>
      <ns0:c r="B1456" s="30"/>
      <ns0:c r="C1456" s="28"/>
      <ns0:c r="D1456" s="29"/>
      <ns0:c r="E1456" s="31"/>
      <ns0:c r="F1456" s="32"/>
      <ns0:c r="G1456" s="29"/>
      <ns0:c r="H1456" s="29"/>
      <ns0:c r="I1456" s="29"/>
      <ns0:c r="J1456" s="29"/>
      <ns0:c r="K1456" s="29"/>
    </ns0:row>
    <ns0:row r="1457" ht="28" customHeight="1">
      <ns0:c r="A1457" s="29"/>
      <ns0:c r="B1457" s="30"/>
      <ns0:c r="C1457" s="28"/>
      <ns0:c r="D1457" s="29"/>
      <ns0:c r="E1457" s="31"/>
      <ns0:c r="F1457" s="32"/>
      <ns0:c r="G1457" s="29"/>
      <ns0:c r="H1457" s="29"/>
      <ns0:c r="I1457" s="29"/>
      <ns0:c r="J1457" s="29"/>
      <ns0:c r="K1457" s="29"/>
    </ns0:row>
    <ns0:row r="1458" ht="28" customHeight="1">
      <ns0:c r="A1458" s="29"/>
      <ns0:c r="B1458" s="30"/>
      <ns0:c r="C1458" s="28"/>
      <ns0:c r="D1458" s="29"/>
      <ns0:c r="E1458" s="31"/>
      <ns0:c r="F1458" s="32"/>
      <ns0:c r="G1458" s="29"/>
      <ns0:c r="H1458" s="29"/>
      <ns0:c r="I1458" s="29"/>
      <ns0:c r="J1458" s="29"/>
      <ns0:c r="K1458" s="29"/>
    </ns0:row>
    <ns0:row r="1459" ht="28" customHeight="1">
      <ns0:c r="A1459" s="29"/>
      <ns0:c r="B1459" s="30"/>
      <ns0:c r="C1459" s="28"/>
      <ns0:c r="D1459" s="29"/>
      <ns0:c r="E1459" s="31"/>
      <ns0:c r="F1459" s="32"/>
      <ns0:c r="G1459" s="29"/>
      <ns0:c r="H1459" s="29"/>
      <ns0:c r="I1459" s="29"/>
      <ns0:c r="J1459" s="29"/>
      <ns0:c r="K1459" s="29"/>
    </ns0:row>
    <ns0:row r="1460" ht="28" customHeight="1">
      <ns0:c r="A1460" s="29"/>
      <ns0:c r="B1460" s="30"/>
      <ns0:c r="C1460" s="28"/>
      <ns0:c r="D1460" s="29"/>
      <ns0:c r="E1460" s="31"/>
      <ns0:c r="F1460" s="32"/>
      <ns0:c r="G1460" s="29"/>
      <ns0:c r="H1460" s="29"/>
      <ns0:c r="I1460" s="29"/>
      <ns0:c r="J1460" s="29"/>
      <ns0:c r="K1460" s="29"/>
    </ns0:row>
    <ns0:row r="1461" ht="28" customHeight="1">
      <ns0:c r="A1461" s="29"/>
      <ns0:c r="B1461" s="30"/>
      <ns0:c r="C1461" s="28"/>
      <ns0:c r="D1461" s="29"/>
      <ns0:c r="E1461" s="31"/>
      <ns0:c r="F1461" s="32"/>
      <ns0:c r="G1461" s="29"/>
      <ns0:c r="H1461" s="29"/>
      <ns0:c r="I1461" s="29"/>
      <ns0:c r="J1461" s="29"/>
      <ns0:c r="K1461" s="29"/>
    </ns0:row>
    <ns0:row r="1462" ht="28" customHeight="1">
      <ns0:c r="A1462" s="29"/>
      <ns0:c r="B1462" s="30"/>
      <ns0:c r="C1462" s="28"/>
      <ns0:c r="D1462" s="29"/>
      <ns0:c r="E1462" s="31"/>
      <ns0:c r="F1462" s="32"/>
      <ns0:c r="G1462" s="29"/>
      <ns0:c r="H1462" s="29"/>
      <ns0:c r="I1462" s="29"/>
      <ns0:c r="J1462" s="29"/>
      <ns0:c r="K1462" s="29"/>
    </ns0:row>
    <ns0:row r="1463" ht="28" customHeight="1">
      <ns0:c r="A1463" s="29"/>
      <ns0:c r="B1463" s="30"/>
      <ns0:c r="C1463" s="28"/>
      <ns0:c r="D1463" s="29"/>
      <ns0:c r="E1463" s="31"/>
      <ns0:c r="F1463" s="32"/>
      <ns0:c r="G1463" s="29"/>
      <ns0:c r="H1463" s="29"/>
      <ns0:c r="I1463" s="29"/>
      <ns0:c r="J1463" s="29"/>
      <ns0:c r="K1463" s="29"/>
    </ns0:row>
    <ns0:row r="1464" ht="28" customHeight="1">
      <ns0:c r="A1464" s="29"/>
      <ns0:c r="B1464" s="30"/>
      <ns0:c r="C1464" s="28"/>
      <ns0:c r="D1464" s="29"/>
      <ns0:c r="E1464" s="31"/>
      <ns0:c r="F1464" s="32"/>
      <ns0:c r="G1464" s="29"/>
      <ns0:c r="H1464" s="29"/>
      <ns0:c r="I1464" s="29"/>
      <ns0:c r="J1464" s="29"/>
      <ns0:c r="K1464" s="29"/>
    </ns0:row>
    <ns0:row r="1465" ht="28" customHeight="1">
      <ns0:c r="A1465" s="29"/>
      <ns0:c r="B1465" s="30"/>
      <ns0:c r="C1465" s="28"/>
      <ns0:c r="D1465" s="29"/>
      <ns0:c r="E1465" s="31"/>
      <ns0:c r="F1465" s="32"/>
      <ns0:c r="G1465" s="29"/>
      <ns0:c r="H1465" s="29"/>
      <ns0:c r="I1465" s="29"/>
      <ns0:c r="J1465" s="29"/>
      <ns0:c r="K1465" s="29"/>
    </ns0:row>
    <ns0:row r="1466" ht="28" customHeight="1">
      <ns0:c r="A1466" s="29"/>
      <ns0:c r="B1466" s="30"/>
      <ns0:c r="C1466" s="28"/>
      <ns0:c r="D1466" s="29"/>
      <ns0:c r="E1466" s="31"/>
      <ns0:c r="F1466" s="32"/>
      <ns0:c r="G1466" s="29"/>
      <ns0:c r="H1466" s="29"/>
      <ns0:c r="I1466" s="29"/>
      <ns0:c r="J1466" s="29"/>
      <ns0:c r="K1466" s="29"/>
    </ns0:row>
    <ns0:row r="1467" ht="28" customHeight="1">
      <ns0:c r="A1467" s="29"/>
      <ns0:c r="B1467" s="30"/>
      <ns0:c r="C1467" s="28"/>
      <ns0:c r="D1467" s="29"/>
      <ns0:c r="E1467" s="31"/>
      <ns0:c r="F1467" s="32"/>
      <ns0:c r="G1467" s="29"/>
      <ns0:c r="H1467" s="29"/>
      <ns0:c r="I1467" s="29"/>
      <ns0:c r="J1467" s="29"/>
      <ns0:c r="K1467" s="29"/>
    </ns0:row>
    <ns0:row r="1468" ht="28" customHeight="1">
      <ns0:c r="A1468" s="29"/>
      <ns0:c r="B1468" s="30"/>
      <ns0:c r="C1468" s="28"/>
      <ns0:c r="D1468" s="29"/>
      <ns0:c r="E1468" s="31"/>
      <ns0:c r="F1468" s="32"/>
      <ns0:c r="G1468" s="29"/>
      <ns0:c r="H1468" s="29"/>
      <ns0:c r="I1468" s="29"/>
      <ns0:c r="J1468" s="29"/>
      <ns0:c r="K1468" s="29"/>
    </ns0:row>
    <ns0:row r="1469" ht="28" customHeight="1">
      <ns0:c r="A1469" s="29"/>
      <ns0:c r="B1469" s="30"/>
      <ns0:c r="C1469" s="28"/>
      <ns0:c r="D1469" s="29"/>
      <ns0:c r="E1469" s="31"/>
      <ns0:c r="F1469" s="32"/>
      <ns0:c r="G1469" s="29"/>
      <ns0:c r="H1469" s="29"/>
      <ns0:c r="I1469" s="29"/>
      <ns0:c r="J1469" s="29"/>
      <ns0:c r="K1469" s="29"/>
    </ns0:row>
    <ns0:row r="1470" ht="28" customHeight="1">
      <ns0:c r="A1470" s="29"/>
      <ns0:c r="B1470" s="30"/>
      <ns0:c r="C1470" s="28"/>
      <ns0:c r="D1470" s="29"/>
      <ns0:c r="E1470" s="31"/>
      <ns0:c r="F1470" s="32"/>
      <ns0:c r="G1470" s="29"/>
      <ns0:c r="H1470" s="29"/>
      <ns0:c r="I1470" s="29"/>
      <ns0:c r="J1470" s="29"/>
      <ns0:c r="K1470" s="29"/>
    </ns0:row>
    <ns0:row r="1471" ht="28" customHeight="1">
      <ns0:c r="A1471" s="29"/>
      <ns0:c r="B1471" s="30"/>
      <ns0:c r="C1471" s="28"/>
      <ns0:c r="D1471" s="29"/>
      <ns0:c r="E1471" s="31"/>
      <ns0:c r="F1471" s="32"/>
      <ns0:c r="G1471" s="29"/>
      <ns0:c r="H1471" s="29"/>
      <ns0:c r="I1471" s="29"/>
      <ns0:c r="J1471" s="29"/>
      <ns0:c r="K1471" s="29"/>
    </ns0:row>
    <ns0:row r="1472" ht="28" customHeight="1">
      <ns0:c r="A1472" s="29"/>
      <ns0:c r="B1472" s="30"/>
      <ns0:c r="C1472" s="28"/>
      <ns0:c r="D1472" s="29"/>
      <ns0:c r="E1472" s="31"/>
      <ns0:c r="F1472" s="32"/>
      <ns0:c r="G1472" s="29"/>
      <ns0:c r="H1472" s="29"/>
      <ns0:c r="I1472" s="29"/>
      <ns0:c r="J1472" s="29"/>
      <ns0:c r="K1472" s="29"/>
    </ns0:row>
    <ns0:row r="1473" ht="28" customHeight="1">
      <ns0:c r="A1473" s="29"/>
      <ns0:c r="B1473" s="30"/>
      <ns0:c r="C1473" s="28"/>
      <ns0:c r="D1473" s="29"/>
      <ns0:c r="E1473" s="31"/>
      <ns0:c r="F1473" s="32"/>
      <ns0:c r="G1473" s="29"/>
      <ns0:c r="H1473" s="29"/>
      <ns0:c r="I1473" s="29"/>
      <ns0:c r="J1473" s="29"/>
      <ns0:c r="K1473" s="29"/>
    </ns0:row>
    <ns0:row r="1474" ht="28" customHeight="1">
      <ns0:c r="A1474" s="29"/>
      <ns0:c r="B1474" s="30"/>
      <ns0:c r="C1474" s="28"/>
      <ns0:c r="D1474" s="29"/>
      <ns0:c r="E1474" s="31"/>
      <ns0:c r="F1474" s="32"/>
      <ns0:c r="G1474" s="29"/>
      <ns0:c r="H1474" s="29"/>
      <ns0:c r="I1474" s="29"/>
      <ns0:c r="J1474" s="29"/>
      <ns0:c r="K1474" s="29"/>
    </ns0:row>
    <ns0:row r="1475" ht="28" customHeight="1">
      <ns0:c r="A1475" s="29"/>
      <ns0:c r="B1475" s="30"/>
      <ns0:c r="C1475" s="28"/>
      <ns0:c r="D1475" s="29"/>
      <ns0:c r="E1475" s="31"/>
      <ns0:c r="F1475" s="32"/>
      <ns0:c r="G1475" s="29"/>
      <ns0:c r="H1475" s="29"/>
      <ns0:c r="I1475" s="29"/>
      <ns0:c r="J1475" s="29"/>
      <ns0:c r="K1475" s="29"/>
    </ns0:row>
    <ns0:row r="1476" ht="28" customHeight="1">
      <ns0:c r="A1476" s="29"/>
      <ns0:c r="B1476" s="30"/>
      <ns0:c r="C1476" s="28"/>
      <ns0:c r="D1476" s="29"/>
      <ns0:c r="E1476" s="31"/>
      <ns0:c r="F1476" s="32"/>
      <ns0:c r="G1476" s="29"/>
      <ns0:c r="H1476" s="29"/>
      <ns0:c r="I1476" s="29"/>
      <ns0:c r="J1476" s="29"/>
      <ns0:c r="K1476" s="29"/>
    </ns0:row>
    <ns0:row r="1477" ht="28" customHeight="1">
      <ns0:c r="A1477" s="29"/>
      <ns0:c r="B1477" s="30"/>
      <ns0:c r="C1477" s="28"/>
      <ns0:c r="D1477" s="29"/>
      <ns0:c r="E1477" s="31"/>
      <ns0:c r="F1477" s="32"/>
      <ns0:c r="G1477" s="29"/>
      <ns0:c r="H1477" s="29"/>
      <ns0:c r="I1477" s="29"/>
      <ns0:c r="J1477" s="29"/>
      <ns0:c r="K1477" s="29"/>
    </ns0:row>
    <ns0:row r="1478" ht="28" customHeight="1">
      <ns0:c r="A1478" s="29"/>
      <ns0:c r="B1478" s="30"/>
      <ns0:c r="C1478" s="28"/>
      <ns0:c r="D1478" s="29"/>
      <ns0:c r="E1478" s="31"/>
      <ns0:c r="F1478" s="32"/>
      <ns0:c r="G1478" s="29"/>
      <ns0:c r="H1478" s="29"/>
      <ns0:c r="I1478" s="29"/>
      <ns0:c r="J1478" s="29"/>
      <ns0:c r="K1478" s="29"/>
    </ns0:row>
    <ns0:row r="1479" ht="28" customHeight="1">
      <ns0:c r="A1479" s="29"/>
      <ns0:c r="B1479" s="30"/>
      <ns0:c r="C1479" s="28"/>
      <ns0:c r="D1479" s="29"/>
      <ns0:c r="E1479" s="31"/>
      <ns0:c r="F1479" s="32"/>
      <ns0:c r="G1479" s="29"/>
      <ns0:c r="H1479" s="29"/>
      <ns0:c r="I1479" s="29"/>
      <ns0:c r="J1479" s="29"/>
      <ns0:c r="K1479" s="29"/>
    </ns0:row>
    <ns0:row r="1480" ht="28" customHeight="1">
      <ns0:c r="A1480" s="29"/>
      <ns0:c r="B1480" s="30"/>
      <ns0:c r="C1480" s="28"/>
      <ns0:c r="D1480" s="29"/>
      <ns0:c r="E1480" s="31"/>
      <ns0:c r="F1480" s="32"/>
      <ns0:c r="G1480" s="29"/>
      <ns0:c r="H1480" s="29"/>
      <ns0:c r="I1480" s="29"/>
      <ns0:c r="J1480" s="29"/>
      <ns0:c r="K1480" s="29"/>
    </ns0:row>
    <ns0:row r="1481" ht="28" customHeight="1">
      <ns0:c r="A1481" s="29"/>
      <ns0:c r="B1481" s="30"/>
      <ns0:c r="C1481" s="28"/>
      <ns0:c r="D1481" s="29"/>
      <ns0:c r="E1481" s="31"/>
      <ns0:c r="F1481" s="32"/>
      <ns0:c r="G1481" s="29"/>
      <ns0:c r="H1481" s="29"/>
      <ns0:c r="I1481" s="29"/>
      <ns0:c r="J1481" s="29"/>
      <ns0:c r="K1481" s="29"/>
    </ns0:row>
    <ns0:row r="1482" ht="28" customHeight="1">
      <ns0:c r="A1482" s="29"/>
      <ns0:c r="B1482" s="30"/>
      <ns0:c r="C1482" s="28"/>
      <ns0:c r="D1482" s="29"/>
      <ns0:c r="E1482" s="31"/>
      <ns0:c r="F1482" s="32"/>
      <ns0:c r="G1482" s="29"/>
      <ns0:c r="H1482" s="29"/>
      <ns0:c r="I1482" s="29"/>
      <ns0:c r="J1482" s="29"/>
      <ns0:c r="K1482" s="29"/>
    </ns0:row>
    <ns0:row r="1483" ht="28" customHeight="1">
      <ns0:c r="A1483" s="29"/>
      <ns0:c r="B1483" s="30"/>
      <ns0:c r="C1483" s="28"/>
      <ns0:c r="D1483" s="29"/>
      <ns0:c r="E1483" s="31"/>
      <ns0:c r="F1483" s="32"/>
      <ns0:c r="G1483" s="29"/>
      <ns0:c r="H1483" s="29"/>
      <ns0:c r="I1483" s="29"/>
      <ns0:c r="J1483" s="29"/>
      <ns0:c r="K1483" s="29"/>
    </ns0:row>
    <ns0:row r="1484" ht="28" customHeight="1">
      <ns0:c r="A1484" s="29"/>
      <ns0:c r="B1484" s="30"/>
      <ns0:c r="C1484" s="28"/>
      <ns0:c r="D1484" s="29"/>
      <ns0:c r="E1484" s="31"/>
      <ns0:c r="F1484" s="32"/>
      <ns0:c r="G1484" s="29"/>
      <ns0:c r="H1484" s="29"/>
      <ns0:c r="I1484" s="29"/>
      <ns0:c r="J1484" s="29"/>
      <ns0:c r="K1484" s="29"/>
    </ns0:row>
    <ns0:row r="1485" ht="28" customHeight="1">
      <ns0:c r="A1485" s="29"/>
      <ns0:c r="B1485" s="30"/>
      <ns0:c r="C1485" s="28"/>
      <ns0:c r="D1485" s="29"/>
      <ns0:c r="E1485" s="31"/>
      <ns0:c r="F1485" s="32"/>
      <ns0:c r="G1485" s="29"/>
      <ns0:c r="H1485" s="29"/>
      <ns0:c r="I1485" s="29"/>
      <ns0:c r="J1485" s="29"/>
      <ns0:c r="K1485" s="29"/>
    </ns0:row>
    <ns0:row r="1486" ht="28" customHeight="1">
      <ns0:c r="A1486" s="29"/>
      <ns0:c r="B1486" s="30"/>
      <ns0:c r="C1486" s="28"/>
      <ns0:c r="D1486" s="29"/>
      <ns0:c r="E1486" s="31"/>
      <ns0:c r="F1486" s="32"/>
      <ns0:c r="G1486" s="29"/>
      <ns0:c r="H1486" s="29"/>
      <ns0:c r="I1486" s="29"/>
      <ns0:c r="J1486" s="29"/>
      <ns0:c r="K1486" s="29"/>
    </ns0:row>
    <ns0:row r="1487" ht="28" customHeight="1">
      <ns0:c r="A1487" s="29"/>
      <ns0:c r="B1487" s="30"/>
      <ns0:c r="C1487" s="28"/>
      <ns0:c r="D1487" s="29"/>
      <ns0:c r="E1487" s="31"/>
      <ns0:c r="F1487" s="32"/>
      <ns0:c r="G1487" s="29"/>
      <ns0:c r="H1487" s="29"/>
      <ns0:c r="I1487" s="29"/>
      <ns0:c r="J1487" s="29"/>
      <ns0:c r="K1487" s="29"/>
    </ns0:row>
    <ns0:row r="1488" ht="28" customHeight="1">
      <ns0:c r="A1488" s="29"/>
      <ns0:c r="B1488" s="30"/>
      <ns0:c r="C1488" s="28"/>
      <ns0:c r="D1488" s="29"/>
      <ns0:c r="E1488" s="31"/>
      <ns0:c r="F1488" s="32"/>
      <ns0:c r="G1488" s="29"/>
      <ns0:c r="H1488" s="29"/>
      <ns0:c r="I1488" s="29"/>
      <ns0:c r="J1488" s="29"/>
      <ns0:c r="K1488" s="29"/>
    </ns0:row>
    <ns0:row r="1489" ht="28" customHeight="1">
      <ns0:c r="A1489" s="29"/>
      <ns0:c r="B1489" s="30"/>
      <ns0:c r="C1489" s="28"/>
      <ns0:c r="D1489" s="29"/>
      <ns0:c r="E1489" s="31"/>
      <ns0:c r="F1489" s="32"/>
      <ns0:c r="G1489" s="29"/>
      <ns0:c r="H1489" s="29"/>
      <ns0:c r="I1489" s="29"/>
      <ns0:c r="J1489" s="29"/>
      <ns0:c r="K1489" s="29"/>
    </ns0:row>
    <ns0:row r="1490" ht="28" customHeight="1">
      <ns0:c r="A1490" s="29"/>
      <ns0:c r="B1490" s="30"/>
      <ns0:c r="C1490" s="28"/>
      <ns0:c r="D1490" s="29"/>
      <ns0:c r="E1490" s="31"/>
      <ns0:c r="F1490" s="32"/>
      <ns0:c r="G1490" s="29"/>
      <ns0:c r="H1490" s="29"/>
      <ns0:c r="I1490" s="29"/>
      <ns0:c r="J1490" s="29"/>
      <ns0:c r="K1490" s="29"/>
    </ns0:row>
    <ns0:row r="1491" ht="28" customHeight="1">
      <ns0:c r="A1491" s="29"/>
      <ns0:c r="B1491" s="30"/>
      <ns0:c r="C1491" s="28"/>
      <ns0:c r="D1491" s="29"/>
      <ns0:c r="E1491" s="31"/>
      <ns0:c r="F1491" s="32"/>
      <ns0:c r="G1491" s="29"/>
      <ns0:c r="H1491" s="29"/>
      <ns0:c r="I1491" s="29"/>
      <ns0:c r="J1491" s="29"/>
      <ns0:c r="K1491" s="29"/>
    </ns0:row>
    <ns0:row r="1492" ht="28" customHeight="1">
      <ns0:c r="A1492" s="29"/>
      <ns0:c r="B1492" s="30"/>
      <ns0:c r="C1492" s="28"/>
      <ns0:c r="D1492" s="29"/>
      <ns0:c r="E1492" s="31"/>
      <ns0:c r="F1492" s="32"/>
      <ns0:c r="G1492" s="29"/>
      <ns0:c r="H1492" s="29"/>
      <ns0:c r="I1492" s="29"/>
      <ns0:c r="J1492" s="29"/>
      <ns0:c r="K1492" s="29"/>
    </ns0:row>
    <ns0:row r="1493" ht="28" customHeight="1">
      <ns0:c r="A1493" s="29"/>
      <ns0:c r="B1493" s="30"/>
      <ns0:c r="C1493" s="28"/>
      <ns0:c r="D1493" s="29"/>
      <ns0:c r="E1493" s="31"/>
      <ns0:c r="F1493" s="32"/>
      <ns0:c r="G1493" s="29"/>
      <ns0:c r="H1493" s="29"/>
      <ns0:c r="I1493" s="29"/>
      <ns0:c r="J1493" s="29"/>
      <ns0:c r="K1493" s="29"/>
    </ns0:row>
    <ns0:row r="1494" ht="28" customHeight="1">
      <ns0:c r="A1494" s="29"/>
      <ns0:c r="B1494" s="30"/>
      <ns0:c r="C1494" s="28"/>
      <ns0:c r="D1494" s="29"/>
      <ns0:c r="E1494" s="31"/>
      <ns0:c r="F1494" s="32"/>
      <ns0:c r="G1494" s="29"/>
      <ns0:c r="H1494" s="29"/>
      <ns0:c r="I1494" s="29"/>
      <ns0:c r="J1494" s="29"/>
      <ns0:c r="K1494" s="29"/>
    </ns0:row>
    <ns0:row r="1495" ht="28" customHeight="1">
      <ns0:c r="A1495" s="29"/>
      <ns0:c r="B1495" s="30"/>
      <ns0:c r="C1495" s="28"/>
      <ns0:c r="D1495" s="29"/>
      <ns0:c r="E1495" s="31"/>
      <ns0:c r="F1495" s="32"/>
      <ns0:c r="G1495" s="29"/>
      <ns0:c r="H1495" s="29"/>
      <ns0:c r="I1495" s="29"/>
      <ns0:c r="J1495" s="29"/>
      <ns0:c r="K1495" s="29"/>
    </ns0:row>
    <ns0:row r="1496" ht="28" customHeight="1">
      <ns0:c r="A1496" s="29"/>
      <ns0:c r="B1496" s="30"/>
      <ns0:c r="C1496" s="28"/>
      <ns0:c r="D1496" s="29"/>
      <ns0:c r="E1496" s="31"/>
      <ns0:c r="F1496" s="32"/>
      <ns0:c r="G1496" s="29"/>
      <ns0:c r="H1496" s="29"/>
      <ns0:c r="I1496" s="29"/>
      <ns0:c r="J1496" s="29"/>
      <ns0:c r="K1496" s="29"/>
    </ns0:row>
    <ns0:row r="1497" ht="28" customHeight="1">
      <ns0:c r="A1497" s="29"/>
      <ns0:c r="B1497" s="30"/>
      <ns0:c r="C1497" s="28"/>
      <ns0:c r="D1497" s="29"/>
      <ns0:c r="E1497" s="31"/>
      <ns0:c r="F1497" s="32"/>
      <ns0:c r="G1497" s="29"/>
      <ns0:c r="H1497" s="29"/>
      <ns0:c r="I1497" s="29"/>
      <ns0:c r="J1497" s="29"/>
      <ns0:c r="K1497" s="29"/>
    </ns0:row>
    <ns0:row r="1498" ht="28" customHeight="1">
      <ns0:c r="A1498" s="29"/>
      <ns0:c r="B1498" s="30"/>
      <ns0:c r="C1498" s="28"/>
      <ns0:c r="D1498" s="29"/>
      <ns0:c r="E1498" s="31"/>
      <ns0:c r="F1498" s="32"/>
      <ns0:c r="G1498" s="29"/>
      <ns0:c r="H1498" s="29"/>
      <ns0:c r="I1498" s="29"/>
      <ns0:c r="J1498" s="29"/>
      <ns0:c r="K1498" s="29"/>
    </ns0:row>
    <ns0:row r="1499" ht="28" customHeight="1">
      <ns0:c r="A1499" s="29"/>
      <ns0:c r="B1499" s="30"/>
      <ns0:c r="C1499" s="28"/>
      <ns0:c r="D1499" s="29"/>
      <ns0:c r="E1499" s="31"/>
      <ns0:c r="F1499" s="32"/>
      <ns0:c r="G1499" s="29"/>
      <ns0:c r="H1499" s="29"/>
      <ns0:c r="I1499" s="29"/>
      <ns0:c r="J1499" s="29"/>
      <ns0:c r="K1499" s="29"/>
    </ns0:row>
    <ns0:row r="1500" ht="28" customHeight="1">
      <ns0:c r="A1500" s="29"/>
      <ns0:c r="B1500" s="30"/>
      <ns0:c r="C1500" s="28"/>
      <ns0:c r="D1500" s="29"/>
      <ns0:c r="E1500" s="31"/>
      <ns0:c r="F1500" s="32"/>
      <ns0:c r="G1500" s="29"/>
      <ns0:c r="H1500" s="29"/>
      <ns0:c r="I1500" s="29"/>
      <ns0:c r="J1500" s="29"/>
      <ns0:c r="K1500" s="29"/>
    </ns0:row>
    <ns0:row r="1501" ht="28" customHeight="1">
      <ns0:c r="A1501" s="29"/>
      <ns0:c r="B1501" s="30"/>
      <ns0:c r="C1501" s="28"/>
      <ns0:c r="D1501" s="29"/>
      <ns0:c r="E1501" s="31"/>
      <ns0:c r="F1501" s="32"/>
      <ns0:c r="G1501" s="29"/>
      <ns0:c r="H1501" s="29"/>
      <ns0:c r="I1501" s="29"/>
      <ns0:c r="J1501" s="29"/>
      <ns0:c r="K1501" s="29"/>
    </ns0:row>
    <ns0:row r="1502" ht="28" customHeight="1">
      <ns0:c r="A1502" s="29"/>
      <ns0:c r="B1502" s="30"/>
      <ns0:c r="C1502" s="28"/>
      <ns0:c r="D1502" s="29"/>
      <ns0:c r="E1502" s="31"/>
      <ns0:c r="F1502" s="32"/>
      <ns0:c r="G1502" s="29"/>
      <ns0:c r="H1502" s="29"/>
      <ns0:c r="I1502" s="29"/>
      <ns0:c r="J1502" s="29"/>
      <ns0:c r="K1502" s="29"/>
    </ns0:row>
    <ns0:row r="1503" ht="28" customHeight="1">
      <ns0:c r="A1503" s="29"/>
      <ns0:c r="B1503" s="30"/>
      <ns0:c r="C1503" s="28"/>
      <ns0:c r="D1503" s="29"/>
      <ns0:c r="E1503" s="31"/>
      <ns0:c r="F1503" s="32"/>
      <ns0:c r="G1503" s="29"/>
      <ns0:c r="H1503" s="29"/>
      <ns0:c r="I1503" s="29"/>
      <ns0:c r="J1503" s="29"/>
      <ns0:c r="K1503" s="29"/>
    </ns0:row>
    <ns0:row r="1504" ht="28" customHeight="1">
      <ns0:c r="A1504" s="29"/>
      <ns0:c r="B1504" s="30"/>
      <ns0:c r="C1504" s="28"/>
      <ns0:c r="D1504" s="29"/>
      <ns0:c r="E1504" s="31"/>
      <ns0:c r="F1504" s="32"/>
      <ns0:c r="G1504" s="29"/>
      <ns0:c r="H1504" s="29"/>
      <ns0:c r="I1504" s="29"/>
      <ns0:c r="J1504" s="29"/>
      <ns0:c r="K1504" s="29"/>
    </ns0:row>
    <ns0:row r="1505" ht="28" customHeight="1">
      <ns0:c r="A1505" s="29"/>
      <ns0:c r="B1505" s="30"/>
      <ns0:c r="C1505" s="28"/>
      <ns0:c r="D1505" s="29"/>
      <ns0:c r="E1505" s="31"/>
      <ns0:c r="F1505" s="32"/>
      <ns0:c r="G1505" s="29"/>
      <ns0:c r="H1505" s="29"/>
      <ns0:c r="I1505" s="29"/>
      <ns0:c r="J1505" s="29"/>
      <ns0:c r="K1505" s="29"/>
    </ns0:row>
    <ns0:row r="1506" ht="28" customHeight="1">
      <ns0:c r="A1506" s="29"/>
      <ns0:c r="B1506" s="30"/>
      <ns0:c r="C1506" s="28"/>
      <ns0:c r="D1506" s="29"/>
      <ns0:c r="E1506" s="31"/>
      <ns0:c r="F1506" s="32"/>
      <ns0:c r="G1506" s="29"/>
      <ns0:c r="H1506" s="29"/>
      <ns0:c r="I1506" s="29"/>
      <ns0:c r="J1506" s="29"/>
      <ns0:c r="K1506" s="29"/>
    </ns0:row>
    <ns0:row r="1507" ht="28" customHeight="1">
      <ns0:c r="A1507" s="29"/>
      <ns0:c r="B1507" s="30"/>
      <ns0:c r="C1507" s="28"/>
      <ns0:c r="D1507" s="29"/>
      <ns0:c r="E1507" s="31"/>
      <ns0:c r="F1507" s="32"/>
      <ns0:c r="G1507" s="29"/>
      <ns0:c r="H1507" s="29"/>
      <ns0:c r="I1507" s="29"/>
      <ns0:c r="J1507" s="29"/>
      <ns0:c r="K1507" s="29"/>
    </ns0:row>
    <ns0:row r="1508" ht="28" customHeight="1">
      <ns0:c r="A1508" s="29"/>
      <ns0:c r="B1508" s="30"/>
      <ns0:c r="C1508" s="28"/>
      <ns0:c r="D1508" s="29"/>
      <ns0:c r="E1508" s="31"/>
      <ns0:c r="F1508" s="32"/>
      <ns0:c r="G1508" s="29"/>
      <ns0:c r="H1508" s="29"/>
      <ns0:c r="I1508" s="29"/>
      <ns0:c r="J1508" s="29"/>
      <ns0:c r="K1508" s="29"/>
    </ns0:row>
    <ns0:row r="1509" ht="28" customHeight="1">
      <ns0:c r="A1509" s="29"/>
      <ns0:c r="B1509" s="30"/>
      <ns0:c r="C1509" s="28"/>
      <ns0:c r="D1509" s="29"/>
      <ns0:c r="E1509" s="31"/>
      <ns0:c r="F1509" s="32"/>
      <ns0:c r="G1509" s="29"/>
      <ns0:c r="H1509" s="29"/>
      <ns0:c r="I1509" s="29"/>
      <ns0:c r="J1509" s="29"/>
      <ns0:c r="K1509" s="29"/>
    </ns0:row>
    <ns0:row r="1510" ht="28" customHeight="1">
      <ns0:c r="A1510" s="29"/>
      <ns0:c r="B1510" s="30"/>
      <ns0:c r="C1510" s="28"/>
      <ns0:c r="D1510" s="29"/>
      <ns0:c r="E1510" s="31"/>
      <ns0:c r="F1510" s="32"/>
      <ns0:c r="G1510" s="29"/>
      <ns0:c r="H1510" s="29"/>
      <ns0:c r="I1510" s="29"/>
      <ns0:c r="J1510" s="29"/>
      <ns0:c r="K1510" s="29"/>
    </ns0:row>
    <ns0:row r="1511" ht="28" customHeight="1">
      <ns0:c r="A1511" s="29"/>
      <ns0:c r="B1511" s="30"/>
      <ns0:c r="C1511" s="28"/>
      <ns0:c r="D1511" s="29"/>
      <ns0:c r="E1511" s="31"/>
      <ns0:c r="F1511" s="32"/>
      <ns0:c r="G1511" s="29"/>
      <ns0:c r="H1511" s="29"/>
      <ns0:c r="I1511" s="29"/>
      <ns0:c r="J1511" s="29"/>
      <ns0:c r="K1511" s="29"/>
    </ns0:row>
    <ns0:row r="1512" ht="28" customHeight="1">
      <ns0:c r="A1512" s="29"/>
      <ns0:c r="B1512" s="30"/>
      <ns0:c r="C1512" s="28"/>
      <ns0:c r="D1512" s="29"/>
      <ns0:c r="E1512" s="31"/>
      <ns0:c r="F1512" s="32"/>
      <ns0:c r="G1512" s="29"/>
      <ns0:c r="H1512" s="29"/>
      <ns0:c r="I1512" s="29"/>
      <ns0:c r="J1512" s="29"/>
      <ns0:c r="K1512" s="29"/>
    </ns0:row>
    <ns0:row r="1513" ht="28" customHeight="1">
      <ns0:c r="A1513" s="29"/>
      <ns0:c r="B1513" s="30"/>
      <ns0:c r="C1513" s="28"/>
      <ns0:c r="D1513" s="29"/>
      <ns0:c r="E1513" s="31"/>
      <ns0:c r="F1513" s="32"/>
      <ns0:c r="G1513" s="29"/>
      <ns0:c r="H1513" s="29"/>
      <ns0:c r="I1513" s="29"/>
      <ns0:c r="J1513" s="29"/>
      <ns0:c r="K1513" s="29"/>
    </ns0:row>
    <ns0:row r="1514" ht="28" customHeight="1">
      <ns0:c r="A1514" s="29"/>
      <ns0:c r="B1514" s="30"/>
      <ns0:c r="C1514" s="28"/>
      <ns0:c r="D1514" s="29"/>
      <ns0:c r="E1514" s="31"/>
      <ns0:c r="F1514" s="32"/>
      <ns0:c r="G1514" s="29"/>
      <ns0:c r="H1514" s="29"/>
      <ns0:c r="I1514" s="29"/>
      <ns0:c r="J1514" s="29"/>
      <ns0:c r="K1514" s="29"/>
    </ns0:row>
    <ns0:row r="1515" ht="28" customHeight="1">
      <ns0:c r="A1515" s="29"/>
      <ns0:c r="B1515" s="30"/>
      <ns0:c r="C1515" s="28"/>
      <ns0:c r="D1515" s="29"/>
      <ns0:c r="E1515" s="31"/>
      <ns0:c r="F1515" s="32"/>
      <ns0:c r="G1515" s="29"/>
      <ns0:c r="H1515" s="29"/>
      <ns0:c r="I1515" s="29"/>
      <ns0:c r="J1515" s="29"/>
      <ns0:c r="K1515" s="29"/>
    </ns0:row>
    <ns0:row r="1516" ht="28" customHeight="1">
      <ns0:c r="A1516" s="29"/>
      <ns0:c r="B1516" s="30"/>
      <ns0:c r="C1516" s="28"/>
      <ns0:c r="D1516" s="29"/>
      <ns0:c r="E1516" s="31"/>
      <ns0:c r="F1516" s="32"/>
      <ns0:c r="G1516" s="29"/>
      <ns0:c r="H1516" s="29"/>
      <ns0:c r="I1516" s="29"/>
      <ns0:c r="J1516" s="29"/>
      <ns0:c r="K1516" s="29"/>
    </ns0:row>
    <ns0:row r="1517" ht="28" customHeight="1">
      <ns0:c r="A1517" s="29"/>
      <ns0:c r="B1517" s="30"/>
      <ns0:c r="C1517" s="28"/>
      <ns0:c r="D1517" s="29"/>
      <ns0:c r="E1517" s="31"/>
      <ns0:c r="F1517" s="32"/>
      <ns0:c r="G1517" s="29"/>
      <ns0:c r="H1517" s="29"/>
      <ns0:c r="I1517" s="29"/>
      <ns0:c r="J1517" s="29"/>
      <ns0:c r="K1517" s="29"/>
    </ns0:row>
    <ns0:row r="1518" ht="28" customHeight="1">
      <ns0:c r="A1518" s="29"/>
      <ns0:c r="B1518" s="30"/>
      <ns0:c r="C1518" s="28"/>
      <ns0:c r="D1518" s="29"/>
      <ns0:c r="E1518" s="31"/>
      <ns0:c r="F1518" s="32"/>
      <ns0:c r="G1518" s="29"/>
      <ns0:c r="H1518" s="29"/>
      <ns0:c r="I1518" s="29"/>
      <ns0:c r="J1518" s="29"/>
      <ns0:c r="K1518" s="29"/>
    </ns0:row>
    <ns0:row r="1519" ht="28" customHeight="1">
      <ns0:c r="A1519" s="29"/>
      <ns0:c r="B1519" s="30"/>
      <ns0:c r="C1519" s="28"/>
      <ns0:c r="D1519" s="29"/>
      <ns0:c r="E1519" s="31"/>
      <ns0:c r="F1519" s="32"/>
      <ns0:c r="G1519" s="29"/>
      <ns0:c r="H1519" s="29"/>
      <ns0:c r="I1519" s="29"/>
      <ns0:c r="J1519" s="29"/>
      <ns0:c r="K1519" s="29"/>
    </ns0:row>
    <ns0:row r="1520" ht="28" customHeight="1">
      <ns0:c r="A1520" s="29"/>
      <ns0:c r="B1520" s="30"/>
      <ns0:c r="C1520" s="28"/>
      <ns0:c r="D1520" s="29"/>
      <ns0:c r="E1520" s="31"/>
      <ns0:c r="F1520" s="32"/>
      <ns0:c r="G1520" s="29"/>
      <ns0:c r="H1520" s="29"/>
      <ns0:c r="I1520" s="29"/>
      <ns0:c r="J1520" s="29"/>
      <ns0:c r="K1520" s="29"/>
    </ns0:row>
    <ns0:row r="1521" ht="28" customHeight="1">
      <ns0:c r="A1521" s="29"/>
      <ns0:c r="B1521" s="30"/>
      <ns0:c r="C1521" s="28"/>
      <ns0:c r="D1521" s="29"/>
      <ns0:c r="E1521" s="31"/>
      <ns0:c r="F1521" s="32"/>
      <ns0:c r="G1521" s="29"/>
      <ns0:c r="H1521" s="29"/>
      <ns0:c r="I1521" s="29"/>
      <ns0:c r="J1521" s="29"/>
      <ns0:c r="K1521" s="29"/>
    </ns0:row>
    <ns0:row r="1522" ht="28" customHeight="1">
      <ns0:c r="A1522" s="29"/>
      <ns0:c r="B1522" s="30"/>
      <ns0:c r="C1522" s="28"/>
      <ns0:c r="D1522" s="29"/>
      <ns0:c r="E1522" s="31"/>
      <ns0:c r="F1522" s="32"/>
      <ns0:c r="G1522" s="29"/>
      <ns0:c r="H1522" s="29"/>
      <ns0:c r="I1522" s="29"/>
      <ns0:c r="J1522" s="29"/>
      <ns0:c r="K1522" s="29"/>
    </ns0:row>
    <ns0:row r="1523" ht="28" customHeight="1">
      <ns0:c r="A1523" s="29"/>
      <ns0:c r="B1523" s="30"/>
      <ns0:c r="C1523" s="28"/>
      <ns0:c r="D1523" s="29"/>
      <ns0:c r="E1523" s="31"/>
      <ns0:c r="F1523" s="32"/>
      <ns0:c r="G1523" s="29"/>
      <ns0:c r="H1523" s="29"/>
      <ns0:c r="I1523" s="29"/>
      <ns0:c r="J1523" s="29"/>
      <ns0:c r="K1523" s="29"/>
    </ns0:row>
    <ns0:row r="1524" ht="28" customHeight="1">
      <ns0:c r="A1524" s="29"/>
      <ns0:c r="B1524" s="30"/>
      <ns0:c r="C1524" s="28"/>
      <ns0:c r="D1524" s="29"/>
      <ns0:c r="E1524" s="31"/>
      <ns0:c r="F1524" s="32"/>
      <ns0:c r="G1524" s="29"/>
      <ns0:c r="H1524" s="29"/>
      <ns0:c r="I1524" s="29"/>
      <ns0:c r="J1524" s="29"/>
      <ns0:c r="K1524" s="29"/>
    </ns0:row>
    <ns0:row r="1525" ht="28" customHeight="1">
      <ns0:c r="A1525" s="29"/>
      <ns0:c r="B1525" s="30"/>
      <ns0:c r="C1525" s="28"/>
      <ns0:c r="D1525" s="29"/>
      <ns0:c r="E1525" s="31"/>
      <ns0:c r="F1525" s="32"/>
      <ns0:c r="G1525" s="29"/>
      <ns0:c r="H1525" s="29"/>
      <ns0:c r="I1525" s="29"/>
      <ns0:c r="J1525" s="29"/>
      <ns0:c r="K1525" s="29"/>
    </ns0:row>
    <ns0:row r="1526" ht="28" customHeight="1">
      <ns0:c r="A1526" s="29"/>
      <ns0:c r="B1526" s="30"/>
      <ns0:c r="C1526" s="28"/>
      <ns0:c r="D1526" s="29"/>
      <ns0:c r="E1526" s="31"/>
      <ns0:c r="F1526" s="32"/>
      <ns0:c r="G1526" s="29"/>
      <ns0:c r="H1526" s="29"/>
      <ns0:c r="I1526" s="29"/>
      <ns0:c r="J1526" s="29"/>
      <ns0:c r="K1526" s="29"/>
    </ns0:row>
    <ns0:row r="1527" ht="28" customHeight="1">
      <ns0:c r="A1527" s="29"/>
      <ns0:c r="B1527" s="30"/>
      <ns0:c r="C1527" s="28"/>
      <ns0:c r="D1527" s="29"/>
      <ns0:c r="E1527" s="31"/>
      <ns0:c r="F1527" s="32"/>
      <ns0:c r="G1527" s="29"/>
      <ns0:c r="H1527" s="29"/>
      <ns0:c r="I1527" s="29"/>
      <ns0:c r="J1527" s="29"/>
      <ns0:c r="K1527" s="29"/>
    </ns0:row>
    <ns0:row r="1528" ht="28" customHeight="1">
      <ns0:c r="A1528" s="29"/>
      <ns0:c r="B1528" s="30"/>
      <ns0:c r="C1528" s="28"/>
      <ns0:c r="D1528" s="29"/>
      <ns0:c r="E1528" s="31"/>
      <ns0:c r="F1528" s="32"/>
      <ns0:c r="G1528" s="29"/>
      <ns0:c r="H1528" s="29"/>
      <ns0:c r="I1528" s="29"/>
      <ns0:c r="J1528" s="29"/>
      <ns0:c r="K1528" s="29"/>
    </ns0:row>
    <ns0:row r="1529" ht="28" customHeight="1">
      <ns0:c r="A1529" s="29"/>
      <ns0:c r="B1529" s="30"/>
      <ns0:c r="C1529" s="28"/>
      <ns0:c r="D1529" s="29"/>
      <ns0:c r="E1529" s="31"/>
      <ns0:c r="F1529" s="32"/>
      <ns0:c r="G1529" s="29"/>
      <ns0:c r="H1529" s="29"/>
      <ns0:c r="I1529" s="29"/>
      <ns0:c r="J1529" s="29"/>
      <ns0:c r="K1529" s="29"/>
    </ns0:row>
    <ns0:row r="1530" ht="28" customHeight="1">
      <ns0:c r="A1530" s="29"/>
      <ns0:c r="B1530" s="30"/>
      <ns0:c r="C1530" s="28"/>
      <ns0:c r="D1530" s="29"/>
      <ns0:c r="E1530" s="31"/>
      <ns0:c r="F1530" s="32"/>
      <ns0:c r="G1530" s="29"/>
      <ns0:c r="H1530" s="29"/>
      <ns0:c r="I1530" s="29"/>
      <ns0:c r="J1530" s="29"/>
      <ns0:c r="K1530" s="29"/>
    </ns0:row>
    <ns0:row r="1531" ht="28" customHeight="1">
      <ns0:c r="A1531" s="29"/>
      <ns0:c r="B1531" s="30"/>
      <ns0:c r="C1531" s="28"/>
      <ns0:c r="D1531" s="29"/>
      <ns0:c r="E1531" s="31"/>
      <ns0:c r="F1531" s="32"/>
      <ns0:c r="G1531" s="29"/>
      <ns0:c r="H1531" s="29"/>
      <ns0:c r="I1531" s="29"/>
      <ns0:c r="J1531" s="29"/>
      <ns0:c r="K1531" s="29"/>
    </ns0:row>
    <ns0:row r="1532" ht="28" customHeight="1">
      <ns0:c r="A1532" s="29"/>
      <ns0:c r="B1532" s="30"/>
      <ns0:c r="C1532" s="28"/>
      <ns0:c r="D1532" s="29"/>
      <ns0:c r="E1532" s="31"/>
      <ns0:c r="F1532" s="32"/>
      <ns0:c r="G1532" s="29"/>
      <ns0:c r="H1532" s="29"/>
      <ns0:c r="I1532" s="29"/>
      <ns0:c r="J1532" s="29"/>
      <ns0:c r="K1532" s="29"/>
    </ns0:row>
    <ns0:row r="1533" ht="28" customHeight="1">
      <ns0:c r="A1533" s="29"/>
      <ns0:c r="B1533" s="30"/>
      <ns0:c r="C1533" s="28"/>
      <ns0:c r="D1533" s="29"/>
      <ns0:c r="E1533" s="31"/>
      <ns0:c r="F1533" s="32"/>
      <ns0:c r="G1533" s="29"/>
      <ns0:c r="H1533" s="29"/>
      <ns0:c r="I1533" s="29"/>
      <ns0:c r="J1533" s="29"/>
      <ns0:c r="K1533" s="29"/>
    </ns0:row>
    <ns0:row r="1534" ht="28" customHeight="1">
      <ns0:c r="A1534" s="29"/>
      <ns0:c r="B1534" s="30"/>
      <ns0:c r="C1534" s="28"/>
      <ns0:c r="D1534" s="29"/>
      <ns0:c r="E1534" s="31"/>
      <ns0:c r="F1534" s="32"/>
      <ns0:c r="G1534" s="29"/>
      <ns0:c r="H1534" s="29"/>
      <ns0:c r="I1534" s="29"/>
      <ns0:c r="J1534" s="29"/>
      <ns0:c r="K1534" s="29"/>
    </ns0:row>
    <ns0:row r="1535" ht="28" customHeight="1">
      <ns0:c r="A1535" s="29"/>
      <ns0:c r="B1535" s="30"/>
      <ns0:c r="C1535" s="28"/>
      <ns0:c r="D1535" s="29"/>
      <ns0:c r="E1535" s="31"/>
      <ns0:c r="F1535" s="32"/>
      <ns0:c r="G1535" s="29"/>
      <ns0:c r="H1535" s="29"/>
      <ns0:c r="I1535" s="29"/>
      <ns0:c r="J1535" s="29"/>
      <ns0:c r="K1535" s="29"/>
    </ns0:row>
    <ns0:row r="1536" ht="28" customHeight="1">
      <ns0:c r="A1536" s="29"/>
      <ns0:c r="B1536" s="30"/>
      <ns0:c r="C1536" s="28"/>
      <ns0:c r="D1536" s="29"/>
      <ns0:c r="E1536" s="31"/>
      <ns0:c r="F1536" s="32"/>
      <ns0:c r="G1536" s="29"/>
      <ns0:c r="H1536" s="29"/>
      <ns0:c r="I1536" s="29"/>
      <ns0:c r="J1536" s="29"/>
      <ns0:c r="K1536" s="29"/>
    </ns0:row>
    <ns0:row r="1537" ht="28" customHeight="1">
      <ns0:c r="A1537" s="29"/>
      <ns0:c r="B1537" s="30"/>
      <ns0:c r="C1537" s="28"/>
      <ns0:c r="D1537" s="29"/>
      <ns0:c r="E1537" s="31"/>
      <ns0:c r="F1537" s="32"/>
      <ns0:c r="G1537" s="29"/>
      <ns0:c r="H1537" s="29"/>
      <ns0:c r="I1537" s="29"/>
      <ns0:c r="J1537" s="29"/>
      <ns0:c r="K1537" s="29"/>
    </ns0:row>
    <ns0:row r="1538" ht="28" customHeight="1">
      <ns0:c r="A1538" s="29"/>
      <ns0:c r="B1538" s="30"/>
      <ns0:c r="C1538" s="28"/>
      <ns0:c r="D1538" s="29"/>
      <ns0:c r="E1538" s="31"/>
      <ns0:c r="F1538" s="32"/>
      <ns0:c r="G1538" s="29"/>
      <ns0:c r="H1538" s="29"/>
      <ns0:c r="I1538" s="29"/>
      <ns0:c r="J1538" s="29"/>
      <ns0:c r="K1538" s="29"/>
    </ns0:row>
    <ns0:row r="1539" ht="28" customHeight="1">
      <ns0:c r="A1539" s="29"/>
      <ns0:c r="B1539" s="30"/>
      <ns0:c r="C1539" s="28"/>
      <ns0:c r="D1539" s="29"/>
      <ns0:c r="E1539" s="31"/>
      <ns0:c r="F1539" s="32"/>
      <ns0:c r="G1539" s="29"/>
      <ns0:c r="H1539" s="29"/>
      <ns0:c r="I1539" s="29"/>
      <ns0:c r="J1539" s="29"/>
      <ns0:c r="K1539" s="29"/>
    </ns0:row>
    <ns0:row r="1540" ht="28" customHeight="1">
      <ns0:c r="A1540" s="29"/>
      <ns0:c r="B1540" s="30"/>
      <ns0:c r="C1540" s="28"/>
      <ns0:c r="D1540" s="29"/>
      <ns0:c r="E1540" s="31"/>
      <ns0:c r="F1540" s="32"/>
      <ns0:c r="G1540" s="29"/>
      <ns0:c r="H1540" s="29"/>
      <ns0:c r="I1540" s="29"/>
      <ns0:c r="J1540" s="29"/>
      <ns0:c r="K1540" s="29"/>
    </ns0:row>
    <ns0:row r="1541" ht="28" customHeight="1">
      <ns0:c r="A1541" s="29"/>
      <ns0:c r="B1541" s="30"/>
      <ns0:c r="C1541" s="28"/>
      <ns0:c r="D1541" s="29"/>
      <ns0:c r="E1541" s="31"/>
      <ns0:c r="F1541" s="32"/>
      <ns0:c r="G1541" s="29"/>
      <ns0:c r="H1541" s="29"/>
      <ns0:c r="I1541" s="29"/>
      <ns0:c r="J1541" s="29"/>
      <ns0:c r="K1541" s="29"/>
    </ns0:row>
    <ns0:row r="1542" ht="28" customHeight="1">
      <ns0:c r="A1542" s="29"/>
      <ns0:c r="B1542" s="30"/>
      <ns0:c r="C1542" s="28"/>
      <ns0:c r="D1542" s="29"/>
      <ns0:c r="E1542" s="31"/>
      <ns0:c r="F1542" s="32"/>
      <ns0:c r="G1542" s="29"/>
      <ns0:c r="H1542" s="29"/>
      <ns0:c r="I1542" s="29"/>
      <ns0:c r="J1542" s="29"/>
      <ns0:c r="K1542" s="29"/>
    </ns0:row>
    <ns0:row r="1543" ht="28" customHeight="1">
      <ns0:c r="A1543" s="29"/>
      <ns0:c r="B1543" s="30"/>
      <ns0:c r="C1543" s="28"/>
      <ns0:c r="D1543" s="29"/>
      <ns0:c r="E1543" s="31"/>
      <ns0:c r="F1543" s="32"/>
      <ns0:c r="G1543" s="29"/>
      <ns0:c r="H1543" s="29"/>
      <ns0:c r="I1543" s="29"/>
      <ns0:c r="J1543" s="29"/>
      <ns0:c r="K1543" s="29"/>
    </ns0:row>
    <ns0:row r="1544" ht="28" customHeight="1">
      <ns0:c r="A1544" s="29"/>
      <ns0:c r="B1544" s="30"/>
      <ns0:c r="C1544" s="28"/>
      <ns0:c r="D1544" s="29"/>
      <ns0:c r="E1544" s="31"/>
      <ns0:c r="F1544" s="32"/>
      <ns0:c r="G1544" s="29"/>
      <ns0:c r="H1544" s="29"/>
      <ns0:c r="I1544" s="29"/>
      <ns0:c r="J1544" s="29"/>
      <ns0:c r="K1544" s="29"/>
    </ns0:row>
    <ns0:row r="1545" ht="28" customHeight="1">
      <ns0:c r="A1545" s="29"/>
      <ns0:c r="B1545" s="30"/>
      <ns0:c r="C1545" s="28"/>
      <ns0:c r="D1545" s="29"/>
      <ns0:c r="E1545" s="31"/>
      <ns0:c r="F1545" s="32"/>
      <ns0:c r="G1545" s="29"/>
      <ns0:c r="H1545" s="29"/>
      <ns0:c r="I1545" s="29"/>
      <ns0:c r="J1545" s="29"/>
      <ns0:c r="K1545" s="29"/>
    </ns0:row>
    <ns0:row r="1546" ht="28" customHeight="1">
      <ns0:c r="A1546" s="29"/>
      <ns0:c r="B1546" s="30"/>
      <ns0:c r="C1546" s="28"/>
      <ns0:c r="D1546" s="29"/>
      <ns0:c r="E1546" s="31"/>
      <ns0:c r="F1546" s="32"/>
      <ns0:c r="G1546" s="29"/>
      <ns0:c r="H1546" s="29"/>
      <ns0:c r="I1546" s="29"/>
      <ns0:c r="J1546" s="29"/>
      <ns0:c r="K1546" s="29"/>
    </ns0:row>
    <ns0:row r="1547" ht="28" customHeight="1">
      <ns0:c r="A1547" s="29"/>
      <ns0:c r="B1547" s="30"/>
      <ns0:c r="C1547" s="28"/>
      <ns0:c r="D1547" s="29"/>
      <ns0:c r="E1547" s="31"/>
      <ns0:c r="F1547" s="32"/>
      <ns0:c r="G1547" s="29"/>
      <ns0:c r="H1547" s="29"/>
      <ns0:c r="I1547" s="29"/>
      <ns0:c r="J1547" s="29"/>
      <ns0:c r="K1547" s="29"/>
    </ns0:row>
    <ns0:row r="1548" ht="28" customHeight="1">
      <ns0:c r="A1548" s="29"/>
      <ns0:c r="B1548" s="30"/>
      <ns0:c r="C1548" s="28"/>
      <ns0:c r="D1548" s="29"/>
      <ns0:c r="E1548" s="31"/>
      <ns0:c r="F1548" s="32"/>
      <ns0:c r="G1548" s="29"/>
      <ns0:c r="H1548" s="29"/>
      <ns0:c r="I1548" s="29"/>
      <ns0:c r="J1548" s="29"/>
      <ns0:c r="K1548" s="29"/>
    </ns0:row>
    <ns0:row r="1549" ht="28" customHeight="1">
      <ns0:c r="A1549" s="29"/>
      <ns0:c r="B1549" s="30"/>
      <ns0:c r="C1549" s="28"/>
      <ns0:c r="D1549" s="29"/>
      <ns0:c r="E1549" s="31"/>
      <ns0:c r="F1549" s="32"/>
      <ns0:c r="G1549" s="29"/>
      <ns0:c r="H1549" s="29"/>
      <ns0:c r="I1549" s="29"/>
      <ns0:c r="J1549" s="29"/>
      <ns0:c r="K1549" s="29"/>
    </ns0:row>
    <ns0:row r="1550" ht="28" customHeight="1">
      <ns0:c r="A1550" s="29"/>
      <ns0:c r="B1550" s="30"/>
      <ns0:c r="C1550" s="28"/>
      <ns0:c r="D1550" s="29"/>
      <ns0:c r="E1550" s="31"/>
      <ns0:c r="F1550" s="32"/>
      <ns0:c r="G1550" s="29"/>
      <ns0:c r="H1550" s="29"/>
      <ns0:c r="I1550" s="29"/>
      <ns0:c r="J1550" s="29"/>
      <ns0:c r="K1550" s="29"/>
    </ns0:row>
    <ns0:row r="1551" ht="28" customHeight="1">
      <ns0:c r="A1551" s="29"/>
      <ns0:c r="B1551" s="30"/>
      <ns0:c r="C1551" s="28"/>
      <ns0:c r="D1551" s="29"/>
      <ns0:c r="E1551" s="31"/>
      <ns0:c r="F1551" s="32"/>
      <ns0:c r="G1551" s="29"/>
      <ns0:c r="H1551" s="29"/>
      <ns0:c r="I1551" s="29"/>
      <ns0:c r="J1551" s="29"/>
      <ns0:c r="K1551" s="29"/>
    </ns0:row>
    <ns0:row r="1552" ht="28" customHeight="1">
      <ns0:c r="A1552" s="29"/>
      <ns0:c r="B1552" s="30"/>
      <ns0:c r="C1552" s="28"/>
      <ns0:c r="D1552" s="29"/>
      <ns0:c r="E1552" s="31"/>
      <ns0:c r="F1552" s="32"/>
      <ns0:c r="G1552" s="29"/>
      <ns0:c r="H1552" s="29"/>
      <ns0:c r="I1552" s="29"/>
      <ns0:c r="J1552" s="29"/>
      <ns0:c r="K1552" s="29"/>
    </ns0:row>
    <ns0:row r="1553" ht="28" customHeight="1">
      <ns0:c r="A1553" s="29"/>
      <ns0:c r="B1553" s="30"/>
      <ns0:c r="C1553" s="28"/>
      <ns0:c r="D1553" s="29"/>
      <ns0:c r="E1553" s="31"/>
      <ns0:c r="F1553" s="32"/>
      <ns0:c r="G1553" s="29"/>
      <ns0:c r="H1553" s="29"/>
      <ns0:c r="I1553" s="29"/>
      <ns0:c r="J1553" s="29"/>
      <ns0:c r="K1553" s="29"/>
    </ns0:row>
    <ns0:row r="1554" ht="28" customHeight="1">
      <ns0:c r="A1554" s="29"/>
      <ns0:c r="B1554" s="30"/>
      <ns0:c r="C1554" s="28"/>
      <ns0:c r="D1554" s="29"/>
      <ns0:c r="E1554" s="31"/>
      <ns0:c r="F1554" s="32"/>
      <ns0:c r="G1554" s="29"/>
      <ns0:c r="H1554" s="29"/>
      <ns0:c r="I1554" s="29"/>
      <ns0:c r="J1554" s="29"/>
      <ns0:c r="K1554" s="29"/>
    </ns0:row>
    <ns0:row r="1555" ht="28" customHeight="1">
      <ns0:c r="A1555" s="29"/>
      <ns0:c r="B1555" s="30"/>
      <ns0:c r="C1555" s="28"/>
      <ns0:c r="D1555" s="29"/>
      <ns0:c r="E1555" s="31"/>
      <ns0:c r="F1555" s="32"/>
      <ns0:c r="G1555" s="29"/>
      <ns0:c r="H1555" s="29"/>
      <ns0:c r="I1555" s="29"/>
      <ns0:c r="J1555" s="29"/>
      <ns0:c r="K1555" s="29"/>
    </ns0:row>
    <ns0:row r="1556" ht="28" customHeight="1">
      <ns0:c r="A1556" s="29"/>
      <ns0:c r="B1556" s="30"/>
      <ns0:c r="C1556" s="28"/>
      <ns0:c r="D1556" s="29"/>
      <ns0:c r="E1556" s="31"/>
      <ns0:c r="F1556" s="32"/>
      <ns0:c r="G1556" s="29"/>
      <ns0:c r="H1556" s="29"/>
      <ns0:c r="I1556" s="29"/>
      <ns0:c r="J1556" s="29"/>
      <ns0:c r="K1556" s="29"/>
    </ns0:row>
    <ns0:row r="1557" ht="28" customHeight="1">
      <ns0:c r="A1557" s="29"/>
      <ns0:c r="B1557" s="30"/>
      <ns0:c r="C1557" s="28"/>
      <ns0:c r="D1557" s="29"/>
      <ns0:c r="E1557" s="31"/>
      <ns0:c r="F1557" s="32"/>
      <ns0:c r="G1557" s="29"/>
      <ns0:c r="H1557" s="29"/>
      <ns0:c r="I1557" s="29"/>
      <ns0:c r="J1557" s="29"/>
      <ns0:c r="K1557" s="29"/>
    </ns0:row>
    <ns0:row r="1558" ht="28" customHeight="1">
      <ns0:c r="A1558" s="29"/>
      <ns0:c r="B1558" s="30"/>
      <ns0:c r="C1558" s="28"/>
      <ns0:c r="D1558" s="29"/>
      <ns0:c r="E1558" s="31"/>
      <ns0:c r="F1558" s="32"/>
      <ns0:c r="G1558" s="29"/>
      <ns0:c r="H1558" s="29"/>
      <ns0:c r="I1558" s="29"/>
      <ns0:c r="J1558" s="29"/>
      <ns0:c r="K1558" s="29"/>
    </ns0:row>
    <ns0:row r="1559" ht="28" customHeight="1">
      <ns0:c r="A1559" s="29"/>
      <ns0:c r="B1559" s="30"/>
      <ns0:c r="C1559" s="28"/>
      <ns0:c r="D1559" s="29"/>
      <ns0:c r="E1559" s="31"/>
      <ns0:c r="F1559" s="32"/>
      <ns0:c r="G1559" s="29"/>
      <ns0:c r="H1559" s="29"/>
      <ns0:c r="I1559" s="29"/>
      <ns0:c r="J1559" s="29"/>
      <ns0:c r="K1559" s="29"/>
    </ns0:row>
    <ns0:row r="1560" ht="28" customHeight="1">
      <ns0:c r="A1560" s="29"/>
      <ns0:c r="B1560" s="30"/>
      <ns0:c r="C1560" s="28"/>
      <ns0:c r="D1560" s="29"/>
      <ns0:c r="E1560" s="31"/>
      <ns0:c r="F1560" s="32"/>
      <ns0:c r="G1560" s="29"/>
      <ns0:c r="H1560" s="29"/>
      <ns0:c r="I1560" s="29"/>
      <ns0:c r="J1560" s="29"/>
      <ns0:c r="K1560" s="29"/>
    </ns0:row>
    <ns0:row r="1561" ht="28" customHeight="1">
      <ns0:c r="A1561" s="29"/>
      <ns0:c r="B1561" s="30"/>
      <ns0:c r="C1561" s="28"/>
      <ns0:c r="D1561" s="29"/>
      <ns0:c r="E1561" s="31"/>
      <ns0:c r="F1561" s="32"/>
      <ns0:c r="G1561" s="29"/>
      <ns0:c r="H1561" s="29"/>
      <ns0:c r="I1561" s="29"/>
      <ns0:c r="J1561" s="29"/>
      <ns0:c r="K1561" s="29"/>
    </ns0:row>
    <ns0:row r="1562" ht="28" customHeight="1">
      <ns0:c r="A1562" s="29"/>
      <ns0:c r="B1562" s="30"/>
      <ns0:c r="C1562" s="28"/>
      <ns0:c r="D1562" s="29"/>
      <ns0:c r="E1562" s="31"/>
      <ns0:c r="F1562" s="32"/>
      <ns0:c r="G1562" s="29"/>
      <ns0:c r="H1562" s="29"/>
      <ns0:c r="I1562" s="29"/>
      <ns0:c r="J1562" s="29"/>
      <ns0:c r="K1562" s="29"/>
    </ns0:row>
    <ns0:row r="1563" ht="28" customHeight="1">
      <ns0:c r="A1563" s="29"/>
      <ns0:c r="B1563" s="30"/>
      <ns0:c r="C1563" s="28"/>
      <ns0:c r="D1563" s="29"/>
      <ns0:c r="E1563" s="31"/>
      <ns0:c r="F1563" s="32"/>
      <ns0:c r="G1563" s="29"/>
      <ns0:c r="H1563" s="29"/>
      <ns0:c r="I1563" s="29"/>
      <ns0:c r="J1563" s="29"/>
      <ns0:c r="K1563" s="29"/>
    </ns0:row>
    <ns0:row r="1564" ht="28" customHeight="1">
      <ns0:c r="A1564" s="29"/>
      <ns0:c r="B1564" s="30"/>
      <ns0:c r="C1564" s="28"/>
      <ns0:c r="D1564" s="29"/>
      <ns0:c r="E1564" s="31"/>
      <ns0:c r="F1564" s="32"/>
      <ns0:c r="G1564" s="29"/>
      <ns0:c r="H1564" s="29"/>
      <ns0:c r="I1564" s="29"/>
      <ns0:c r="J1564" s="29"/>
      <ns0:c r="K1564" s="29"/>
    </ns0:row>
    <ns0:row r="1565" ht="28" customHeight="1">
      <ns0:c r="A1565" s="29"/>
      <ns0:c r="B1565" s="30"/>
      <ns0:c r="C1565" s="28"/>
      <ns0:c r="D1565" s="29"/>
      <ns0:c r="E1565" s="31"/>
      <ns0:c r="F1565" s="32"/>
      <ns0:c r="G1565" s="29"/>
      <ns0:c r="H1565" s="29"/>
      <ns0:c r="I1565" s="29"/>
      <ns0:c r="J1565" s="29"/>
      <ns0:c r="K1565" s="29"/>
    </ns0:row>
    <ns0:row r="1566" ht="28" customHeight="1">
      <ns0:c r="A1566" s="29"/>
      <ns0:c r="B1566" s="30"/>
      <ns0:c r="C1566" s="28"/>
      <ns0:c r="D1566" s="29"/>
      <ns0:c r="E1566" s="31"/>
      <ns0:c r="F1566" s="32"/>
      <ns0:c r="G1566" s="29"/>
      <ns0:c r="H1566" s="29"/>
      <ns0:c r="I1566" s="29"/>
      <ns0:c r="J1566" s="29"/>
      <ns0:c r="K1566" s="29"/>
    </ns0:row>
    <ns0:row r="1567" ht="28" customHeight="1">
      <ns0:c r="A1567" s="29"/>
      <ns0:c r="B1567" s="30"/>
      <ns0:c r="C1567" s="28"/>
      <ns0:c r="D1567" s="29"/>
      <ns0:c r="E1567" s="31"/>
      <ns0:c r="F1567" s="32"/>
      <ns0:c r="G1567" s="29"/>
      <ns0:c r="H1567" s="29"/>
      <ns0:c r="I1567" s="29"/>
      <ns0:c r="J1567" s="29"/>
      <ns0:c r="K1567" s="29"/>
    </ns0:row>
    <ns0:row r="1568" ht="28" customHeight="1">
      <ns0:c r="A1568" s="29"/>
      <ns0:c r="B1568" s="30"/>
      <ns0:c r="C1568" s="28"/>
      <ns0:c r="D1568" s="29"/>
      <ns0:c r="E1568" s="31"/>
      <ns0:c r="F1568" s="32"/>
      <ns0:c r="G1568" s="29"/>
      <ns0:c r="H1568" s="29"/>
      <ns0:c r="I1568" s="29"/>
      <ns0:c r="J1568" s="29"/>
      <ns0:c r="K1568" s="29"/>
    </ns0:row>
    <ns0:row r="1569" ht="28" customHeight="1">
      <ns0:c r="A1569" s="29"/>
      <ns0:c r="B1569" s="30"/>
      <ns0:c r="C1569" s="28"/>
      <ns0:c r="D1569" s="29"/>
      <ns0:c r="E1569" s="31"/>
      <ns0:c r="F1569" s="32"/>
      <ns0:c r="G1569" s="29"/>
      <ns0:c r="H1569" s="29"/>
      <ns0:c r="I1569" s="29"/>
      <ns0:c r="J1569" s="29"/>
      <ns0:c r="K1569" s="29"/>
    </ns0:row>
    <ns0:row r="1570" ht="28" customHeight="1">
      <ns0:c r="A1570" s="29"/>
      <ns0:c r="B1570" s="30"/>
      <ns0:c r="C1570" s="28"/>
      <ns0:c r="D1570" s="29"/>
      <ns0:c r="E1570" s="31"/>
      <ns0:c r="F1570" s="32"/>
      <ns0:c r="G1570" s="29"/>
      <ns0:c r="H1570" s="29"/>
      <ns0:c r="I1570" s="29"/>
      <ns0:c r="J1570" s="29"/>
      <ns0:c r="K1570" s="29"/>
    </ns0:row>
    <ns0:row r="1571" ht="28" customHeight="1">
      <ns0:c r="A1571" s="29"/>
      <ns0:c r="B1571" s="30"/>
      <ns0:c r="C1571" s="28"/>
      <ns0:c r="D1571" s="29"/>
      <ns0:c r="E1571" s="31"/>
      <ns0:c r="F1571" s="32"/>
      <ns0:c r="G1571" s="29"/>
      <ns0:c r="H1571" s="29"/>
      <ns0:c r="I1571" s="29"/>
      <ns0:c r="J1571" s="29"/>
      <ns0:c r="K1571" s="29"/>
    </ns0:row>
    <ns0:row r="1572" ht="28" customHeight="1">
      <ns0:c r="A1572" s="29"/>
      <ns0:c r="B1572" s="30"/>
      <ns0:c r="C1572" s="28"/>
      <ns0:c r="D1572" s="29"/>
      <ns0:c r="E1572" s="31"/>
      <ns0:c r="F1572" s="32"/>
      <ns0:c r="G1572" s="29"/>
      <ns0:c r="H1572" s="29"/>
      <ns0:c r="I1572" s="29"/>
      <ns0:c r="J1572" s="29"/>
      <ns0:c r="K1572" s="29"/>
    </ns0:row>
    <ns0:row r="1573" ht="28" customHeight="1">
      <ns0:c r="A1573" s="29"/>
      <ns0:c r="B1573" s="30"/>
      <ns0:c r="C1573" s="28"/>
      <ns0:c r="D1573" s="29"/>
      <ns0:c r="E1573" s="31"/>
      <ns0:c r="F1573" s="32"/>
      <ns0:c r="G1573" s="29"/>
      <ns0:c r="H1573" s="29"/>
      <ns0:c r="I1573" s="29"/>
      <ns0:c r="J1573" s="29"/>
      <ns0:c r="K1573" s="29"/>
    </ns0:row>
    <ns0:row r="1574" ht="28" customHeight="1">
      <ns0:c r="A1574" s="29"/>
      <ns0:c r="B1574" s="30"/>
      <ns0:c r="C1574" s="28"/>
      <ns0:c r="D1574" s="29"/>
      <ns0:c r="E1574" s="31"/>
      <ns0:c r="F1574" s="32"/>
      <ns0:c r="G1574" s="29"/>
      <ns0:c r="H1574" s="29"/>
      <ns0:c r="I1574" s="29"/>
      <ns0:c r="J1574" s="29"/>
      <ns0:c r="K1574" s="29"/>
    </ns0:row>
    <ns0:row r="1575" ht="28" customHeight="1">
      <ns0:c r="A1575" s="29"/>
      <ns0:c r="B1575" s="30"/>
      <ns0:c r="C1575" s="28"/>
      <ns0:c r="D1575" s="29"/>
      <ns0:c r="E1575" s="31"/>
      <ns0:c r="F1575" s="32"/>
      <ns0:c r="G1575" s="29"/>
      <ns0:c r="H1575" s="29"/>
      <ns0:c r="I1575" s="29"/>
      <ns0:c r="J1575" s="29"/>
      <ns0:c r="K1575" s="29"/>
    </ns0:row>
    <ns0:row r="1576" ht="28" customHeight="1">
      <ns0:c r="A1576" s="29"/>
      <ns0:c r="B1576" s="30"/>
      <ns0:c r="C1576" s="28"/>
      <ns0:c r="D1576" s="29"/>
      <ns0:c r="E1576" s="31"/>
      <ns0:c r="F1576" s="32"/>
      <ns0:c r="G1576" s="29"/>
      <ns0:c r="H1576" s="29"/>
      <ns0:c r="I1576" s="29"/>
      <ns0:c r="J1576" s="29"/>
      <ns0:c r="K1576" s="29"/>
    </ns0:row>
    <ns0:row r="1577" ht="28" customHeight="1">
      <ns0:c r="A1577" s="29"/>
      <ns0:c r="B1577" s="30"/>
      <ns0:c r="C1577" s="28"/>
      <ns0:c r="D1577" s="29"/>
      <ns0:c r="E1577" s="31"/>
      <ns0:c r="F1577" s="32"/>
      <ns0:c r="G1577" s="29"/>
      <ns0:c r="H1577" s="29"/>
      <ns0:c r="I1577" s="29"/>
      <ns0:c r="J1577" s="29"/>
      <ns0:c r="K1577" s="29"/>
    </ns0:row>
    <ns0:row r="1578" ht="28" customHeight="1">
      <ns0:c r="A1578" s="29"/>
      <ns0:c r="B1578" s="30"/>
      <ns0:c r="C1578" s="28"/>
      <ns0:c r="D1578" s="29"/>
      <ns0:c r="E1578" s="31"/>
      <ns0:c r="F1578" s="32"/>
      <ns0:c r="G1578" s="29"/>
      <ns0:c r="H1578" s="29"/>
      <ns0:c r="I1578" s="29"/>
      <ns0:c r="J1578" s="29"/>
      <ns0:c r="K1578" s="29"/>
    </ns0:row>
    <ns0:row r="1579" ht="28" customHeight="1">
      <ns0:c r="A1579" s="29"/>
      <ns0:c r="B1579" s="30"/>
      <ns0:c r="C1579" s="28"/>
      <ns0:c r="D1579" s="29"/>
      <ns0:c r="E1579" s="31"/>
      <ns0:c r="F1579" s="32"/>
      <ns0:c r="G1579" s="29"/>
      <ns0:c r="H1579" s="29"/>
      <ns0:c r="I1579" s="29"/>
      <ns0:c r="J1579" s="29"/>
      <ns0:c r="K1579" s="29"/>
    </ns0:row>
    <ns0:row r="1580" ht="28" customHeight="1">
      <ns0:c r="A1580" s="29"/>
      <ns0:c r="B1580" s="30"/>
      <ns0:c r="C1580" s="28"/>
      <ns0:c r="D1580" s="29"/>
      <ns0:c r="E1580" s="31"/>
      <ns0:c r="F1580" s="32"/>
      <ns0:c r="G1580" s="29"/>
      <ns0:c r="H1580" s="29"/>
      <ns0:c r="I1580" s="29"/>
      <ns0:c r="J1580" s="29"/>
      <ns0:c r="K1580" s="29"/>
    </ns0:row>
    <ns0:row r="1581" ht="28" customHeight="1">
      <ns0:c r="A1581" s="29"/>
      <ns0:c r="B1581" s="30"/>
      <ns0:c r="C1581" s="28"/>
      <ns0:c r="D1581" s="29"/>
      <ns0:c r="E1581" s="31"/>
      <ns0:c r="F1581" s="32"/>
      <ns0:c r="G1581" s="29"/>
      <ns0:c r="H1581" s="29"/>
      <ns0:c r="I1581" s="29"/>
      <ns0:c r="J1581" s="29"/>
      <ns0:c r="K1581" s="29"/>
    </ns0:row>
    <ns0:row r="1582" ht="28" customHeight="1">
      <ns0:c r="A1582" s="29"/>
      <ns0:c r="B1582" s="30"/>
      <ns0:c r="C1582" s="28"/>
      <ns0:c r="D1582" s="29"/>
      <ns0:c r="E1582" s="31"/>
      <ns0:c r="F1582" s="32"/>
      <ns0:c r="G1582" s="29"/>
      <ns0:c r="H1582" s="29"/>
      <ns0:c r="I1582" s="29"/>
      <ns0:c r="J1582" s="29"/>
      <ns0:c r="K1582" s="29"/>
    </ns0:row>
    <ns0:row r="1583" ht="28" customHeight="1">
      <ns0:c r="A1583" s="29"/>
      <ns0:c r="B1583" s="30"/>
      <ns0:c r="C1583" s="28"/>
      <ns0:c r="D1583" s="29"/>
      <ns0:c r="E1583" s="31"/>
      <ns0:c r="F1583" s="32"/>
      <ns0:c r="G1583" s="29"/>
      <ns0:c r="H1583" s="29"/>
      <ns0:c r="I1583" s="29"/>
      <ns0:c r="J1583" s="29"/>
      <ns0:c r="K1583" s="29"/>
    </ns0:row>
    <ns0:row r="1584" ht="28" customHeight="1">
      <ns0:c r="A1584" s="29"/>
      <ns0:c r="B1584" s="30"/>
      <ns0:c r="C1584" s="28"/>
      <ns0:c r="D1584" s="29"/>
      <ns0:c r="E1584" s="31"/>
      <ns0:c r="F1584" s="32"/>
      <ns0:c r="G1584" s="29"/>
      <ns0:c r="H1584" s="29"/>
      <ns0:c r="I1584" s="29"/>
      <ns0:c r="J1584" s="29"/>
      <ns0:c r="K1584" s="29"/>
    </ns0:row>
    <ns0:row r="1585" ht="28" customHeight="1">
      <ns0:c r="A1585" s="29"/>
      <ns0:c r="B1585" s="30"/>
      <ns0:c r="C1585" s="28"/>
      <ns0:c r="D1585" s="29"/>
      <ns0:c r="E1585" s="31"/>
      <ns0:c r="F1585" s="32"/>
      <ns0:c r="G1585" s="29"/>
      <ns0:c r="H1585" s="29"/>
      <ns0:c r="I1585" s="29"/>
      <ns0:c r="J1585" s="29"/>
      <ns0:c r="K1585" s="29"/>
    </ns0:row>
    <ns0:row r="1586" ht="28" customHeight="1">
      <ns0:c r="A1586" s="29"/>
      <ns0:c r="B1586" s="30"/>
      <ns0:c r="C1586" s="28"/>
      <ns0:c r="D1586" s="29"/>
      <ns0:c r="E1586" s="31"/>
      <ns0:c r="F1586" s="32"/>
      <ns0:c r="G1586" s="29"/>
      <ns0:c r="H1586" s="29"/>
      <ns0:c r="I1586" s="29"/>
      <ns0:c r="J1586" s="29"/>
      <ns0:c r="K1586" s="29"/>
    </ns0:row>
    <ns0:row r="1587" ht="28" customHeight="1">
      <ns0:c r="A1587" s="29"/>
      <ns0:c r="B1587" s="30"/>
      <ns0:c r="C1587" s="28"/>
      <ns0:c r="D1587" s="29"/>
      <ns0:c r="E1587" s="31"/>
      <ns0:c r="F1587" s="32"/>
      <ns0:c r="G1587" s="29"/>
      <ns0:c r="H1587" s="29"/>
      <ns0:c r="I1587" s="29"/>
      <ns0:c r="J1587" s="29"/>
      <ns0:c r="K1587" s="29"/>
    </ns0:row>
    <ns0:row r="1588" ht="28" customHeight="1">
      <ns0:c r="A1588" s="29"/>
      <ns0:c r="B1588" s="30"/>
      <ns0:c r="C1588" s="28"/>
      <ns0:c r="D1588" s="29"/>
      <ns0:c r="E1588" s="31"/>
      <ns0:c r="F1588" s="32"/>
      <ns0:c r="G1588" s="29"/>
      <ns0:c r="H1588" s="29"/>
      <ns0:c r="I1588" s="29"/>
      <ns0:c r="J1588" s="29"/>
      <ns0:c r="K1588" s="29"/>
    </ns0:row>
    <ns0:row r="1589" ht="28" customHeight="1">
      <ns0:c r="A1589" s="29"/>
      <ns0:c r="B1589" s="30"/>
      <ns0:c r="C1589" s="28"/>
      <ns0:c r="D1589" s="29"/>
      <ns0:c r="E1589" s="31"/>
      <ns0:c r="F1589" s="32"/>
      <ns0:c r="G1589" s="29"/>
      <ns0:c r="H1589" s="29"/>
      <ns0:c r="I1589" s="29"/>
      <ns0:c r="J1589" s="29"/>
      <ns0:c r="K1589" s="29"/>
    </ns0:row>
    <ns0:row r="1590" ht="28" customHeight="1">
      <ns0:c r="A1590" s="29"/>
      <ns0:c r="B1590" s="30"/>
      <ns0:c r="C1590" s="28"/>
      <ns0:c r="D1590" s="29"/>
      <ns0:c r="E1590" s="31"/>
      <ns0:c r="F1590" s="32"/>
      <ns0:c r="G1590" s="29"/>
      <ns0:c r="H1590" s="29"/>
      <ns0:c r="I1590" s="29"/>
      <ns0:c r="J1590" s="29"/>
      <ns0:c r="K1590" s="29"/>
    </ns0:row>
    <ns0:row r="1591" ht="28" customHeight="1">
      <ns0:c r="A1591" s="29"/>
      <ns0:c r="B1591" s="30"/>
      <ns0:c r="C1591" s="28"/>
      <ns0:c r="D1591" s="29"/>
      <ns0:c r="E1591" s="31"/>
      <ns0:c r="F1591" s="32"/>
      <ns0:c r="G1591" s="29"/>
      <ns0:c r="H1591" s="29"/>
      <ns0:c r="I1591" s="29"/>
      <ns0:c r="J1591" s="29"/>
      <ns0:c r="K1591" s="29"/>
    </ns0:row>
    <ns0:row r="1592" ht="28" customHeight="1">
      <ns0:c r="A1592" s="29"/>
      <ns0:c r="B1592" s="30"/>
      <ns0:c r="C1592" s="28"/>
      <ns0:c r="D1592" s="29"/>
      <ns0:c r="E1592" s="31"/>
      <ns0:c r="F1592" s="32"/>
      <ns0:c r="G1592" s="29"/>
      <ns0:c r="H1592" s="29"/>
      <ns0:c r="I1592" s="29"/>
      <ns0:c r="J1592" s="29"/>
      <ns0:c r="K1592" s="29"/>
    </ns0:row>
    <ns0:row r="1593" ht="28" customHeight="1">
      <ns0:c r="A1593" s="29"/>
      <ns0:c r="B1593" s="30"/>
      <ns0:c r="C1593" s="28"/>
      <ns0:c r="D1593" s="29"/>
      <ns0:c r="E1593" s="31"/>
      <ns0:c r="F1593" s="32"/>
      <ns0:c r="G1593" s="29"/>
      <ns0:c r="H1593" s="29"/>
      <ns0:c r="I1593" s="29"/>
      <ns0:c r="J1593" s="29"/>
      <ns0:c r="K1593" s="29"/>
    </ns0:row>
    <ns0:row r="1594" ht="28" customHeight="1">
      <ns0:c r="A1594" s="29"/>
      <ns0:c r="B1594" s="30"/>
      <ns0:c r="C1594" s="28"/>
      <ns0:c r="D1594" s="29"/>
      <ns0:c r="E1594" s="31"/>
      <ns0:c r="F1594" s="32"/>
      <ns0:c r="G1594" s="29"/>
      <ns0:c r="H1594" s="29"/>
      <ns0:c r="I1594" s="29"/>
      <ns0:c r="J1594" s="29"/>
      <ns0:c r="K1594" s="29"/>
    </ns0:row>
    <ns0:row r="1595" ht="28" customHeight="1">
      <ns0:c r="A1595" s="29"/>
      <ns0:c r="B1595" s="30"/>
      <ns0:c r="C1595" s="28"/>
      <ns0:c r="D1595" s="29"/>
      <ns0:c r="E1595" s="31"/>
      <ns0:c r="F1595" s="32"/>
      <ns0:c r="G1595" s="29"/>
      <ns0:c r="H1595" s="29"/>
      <ns0:c r="I1595" s="29"/>
      <ns0:c r="J1595" s="29"/>
      <ns0:c r="K1595" s="29"/>
    </ns0:row>
    <ns0:row r="1596" ht="28" customHeight="1">
      <ns0:c r="A1596" s="29"/>
      <ns0:c r="B1596" s="30"/>
      <ns0:c r="C1596" s="28"/>
      <ns0:c r="D1596" s="29"/>
      <ns0:c r="E1596" s="31"/>
      <ns0:c r="F1596" s="32"/>
      <ns0:c r="G1596" s="29"/>
      <ns0:c r="H1596" s="29"/>
      <ns0:c r="I1596" s="29"/>
      <ns0:c r="J1596" s="29"/>
      <ns0:c r="K1596" s="29"/>
    </ns0:row>
    <ns0:row r="1597" ht="28" customHeight="1">
      <ns0:c r="A1597" s="29"/>
      <ns0:c r="B1597" s="30"/>
      <ns0:c r="C1597" s="28"/>
      <ns0:c r="D1597" s="29"/>
      <ns0:c r="E1597" s="31"/>
      <ns0:c r="F1597" s="32"/>
      <ns0:c r="G1597" s="29"/>
      <ns0:c r="H1597" s="29"/>
      <ns0:c r="I1597" s="29"/>
      <ns0:c r="J1597" s="29"/>
      <ns0:c r="K1597" s="29"/>
    </ns0:row>
    <ns0:row r="1598" ht="28" customHeight="1">
      <ns0:c r="A1598" s="29"/>
      <ns0:c r="B1598" s="30"/>
      <ns0:c r="C1598" s="28"/>
      <ns0:c r="D1598" s="29"/>
      <ns0:c r="E1598" s="31"/>
      <ns0:c r="F1598" s="32"/>
      <ns0:c r="G1598" s="29"/>
      <ns0:c r="H1598" s="29"/>
      <ns0:c r="I1598" s="29"/>
      <ns0:c r="J1598" s="29"/>
      <ns0:c r="K1598" s="29"/>
    </ns0:row>
    <ns0:row r="1599" ht="28" customHeight="1">
      <ns0:c r="A1599" s="29"/>
      <ns0:c r="B1599" s="30"/>
      <ns0:c r="C1599" s="28"/>
      <ns0:c r="D1599" s="29"/>
      <ns0:c r="E1599" s="31"/>
      <ns0:c r="F1599" s="32"/>
      <ns0:c r="G1599" s="29"/>
      <ns0:c r="H1599" s="29"/>
      <ns0:c r="I1599" s="29"/>
      <ns0:c r="J1599" s="29"/>
      <ns0:c r="K1599" s="29"/>
    </ns0:row>
    <ns0:row r="1600" ht="28" customHeight="1">
      <ns0:c r="A1600" s="29"/>
      <ns0:c r="B1600" s="30"/>
      <ns0:c r="C1600" s="28"/>
      <ns0:c r="D1600" s="29"/>
      <ns0:c r="E1600" s="31"/>
      <ns0:c r="F1600" s="32"/>
      <ns0:c r="G1600" s="29"/>
      <ns0:c r="H1600" s="29"/>
      <ns0:c r="I1600" s="29"/>
      <ns0:c r="J1600" s="29"/>
      <ns0:c r="K1600" s="29"/>
    </ns0:row>
    <ns0:row r="1601" ht="28" customHeight="1">
      <ns0:c r="A1601" s="29"/>
      <ns0:c r="B1601" s="30"/>
      <ns0:c r="C1601" s="28"/>
      <ns0:c r="D1601" s="29"/>
      <ns0:c r="E1601" s="31"/>
      <ns0:c r="F1601" s="32"/>
      <ns0:c r="G1601" s="29"/>
      <ns0:c r="H1601" s="29"/>
      <ns0:c r="I1601" s="29"/>
      <ns0:c r="J1601" s="29"/>
      <ns0:c r="K1601" s="29"/>
    </ns0:row>
    <ns0:row r="1602" ht="28" customHeight="1">
      <ns0:c r="A1602" s="29"/>
      <ns0:c r="B1602" s="30"/>
      <ns0:c r="C1602" s="28"/>
      <ns0:c r="D1602" s="29"/>
      <ns0:c r="E1602" s="31"/>
      <ns0:c r="F1602" s="32"/>
      <ns0:c r="G1602" s="29"/>
      <ns0:c r="H1602" s="29"/>
      <ns0:c r="I1602" s="29"/>
      <ns0:c r="J1602" s="29"/>
      <ns0:c r="K1602" s="29"/>
    </ns0:row>
    <ns0:row r="1603" ht="28" customHeight="1">
      <ns0:c r="A1603" s="29"/>
      <ns0:c r="B1603" s="30"/>
      <ns0:c r="C1603" s="28"/>
      <ns0:c r="D1603" s="29"/>
      <ns0:c r="E1603" s="31"/>
      <ns0:c r="F1603" s="32"/>
      <ns0:c r="G1603" s="29"/>
      <ns0:c r="H1603" s="29"/>
      <ns0:c r="I1603" s="29"/>
      <ns0:c r="J1603" s="29"/>
      <ns0:c r="K1603" s="29"/>
    </ns0:row>
    <ns0:row r="1604" ht="28" customHeight="1">
      <ns0:c r="A1604" s="29"/>
      <ns0:c r="B1604" s="30"/>
      <ns0:c r="C1604" s="28"/>
      <ns0:c r="D1604" s="29"/>
      <ns0:c r="E1604" s="31"/>
      <ns0:c r="F1604" s="32"/>
      <ns0:c r="G1604" s="29"/>
      <ns0:c r="H1604" s="29"/>
      <ns0:c r="I1604" s="29"/>
      <ns0:c r="J1604" s="29"/>
      <ns0:c r="K1604" s="29"/>
    </ns0:row>
    <ns0:row r="1605" ht="28" customHeight="1">
      <ns0:c r="A1605" s="29"/>
      <ns0:c r="B1605" s="30"/>
      <ns0:c r="C1605" s="28"/>
      <ns0:c r="D1605" s="29"/>
      <ns0:c r="E1605" s="31"/>
      <ns0:c r="F1605" s="32"/>
      <ns0:c r="G1605" s="29"/>
      <ns0:c r="H1605" s="29"/>
      <ns0:c r="I1605" s="29"/>
      <ns0:c r="J1605" s="29"/>
      <ns0:c r="K1605" s="29"/>
    </ns0:row>
    <ns0:row r="1606" ht="28" customHeight="1">
      <ns0:c r="A1606" s="29"/>
      <ns0:c r="B1606" s="30"/>
      <ns0:c r="C1606" s="28"/>
      <ns0:c r="D1606" s="29"/>
      <ns0:c r="E1606" s="31"/>
      <ns0:c r="F1606" s="32"/>
      <ns0:c r="G1606" s="29"/>
      <ns0:c r="H1606" s="29"/>
      <ns0:c r="I1606" s="29"/>
      <ns0:c r="J1606" s="29"/>
      <ns0:c r="K1606" s="29"/>
    </ns0:row>
    <ns0:row r="1607" ht="28" customHeight="1">
      <ns0:c r="A1607" s="29"/>
      <ns0:c r="B1607" s="30"/>
      <ns0:c r="C1607" s="28"/>
      <ns0:c r="D1607" s="29"/>
      <ns0:c r="E1607" s="31"/>
      <ns0:c r="F1607" s="32"/>
      <ns0:c r="G1607" s="29"/>
      <ns0:c r="H1607" s="29"/>
      <ns0:c r="I1607" s="29"/>
      <ns0:c r="J1607" s="29"/>
      <ns0:c r="K1607" s="29"/>
    </ns0:row>
    <ns0:row r="1608" ht="28" customHeight="1">
      <ns0:c r="A1608" s="29"/>
      <ns0:c r="B1608" s="30"/>
      <ns0:c r="C1608" s="28"/>
      <ns0:c r="D1608" s="29"/>
      <ns0:c r="E1608" s="31"/>
      <ns0:c r="F1608" s="32"/>
      <ns0:c r="G1608" s="29"/>
      <ns0:c r="H1608" s="29"/>
      <ns0:c r="I1608" s="29"/>
      <ns0:c r="J1608" s="29"/>
      <ns0:c r="K1608" s="29"/>
    </ns0:row>
    <ns0:row r="1609" ht="28" customHeight="1">
      <ns0:c r="A1609" s="29"/>
      <ns0:c r="B1609" s="30"/>
      <ns0:c r="C1609" s="28"/>
      <ns0:c r="D1609" s="29"/>
      <ns0:c r="E1609" s="31"/>
      <ns0:c r="F1609" s="32"/>
      <ns0:c r="G1609" s="29"/>
      <ns0:c r="H1609" s="29"/>
      <ns0:c r="I1609" s="29"/>
      <ns0:c r="J1609" s="29"/>
      <ns0:c r="K1609" s="29"/>
    </ns0:row>
    <ns0:row r="1610" ht="28" customHeight="1">
      <ns0:c r="A1610" s="29"/>
      <ns0:c r="B1610" s="30"/>
      <ns0:c r="C1610" s="28"/>
      <ns0:c r="D1610" s="29"/>
      <ns0:c r="E1610" s="31"/>
      <ns0:c r="F1610" s="32"/>
      <ns0:c r="G1610" s="29"/>
      <ns0:c r="H1610" s="29"/>
      <ns0:c r="I1610" s="29"/>
      <ns0:c r="J1610" s="29"/>
      <ns0:c r="K1610" s="29"/>
    </ns0:row>
    <ns0:row r="1611" ht="28" customHeight="1">
      <ns0:c r="A1611" s="29"/>
      <ns0:c r="B1611" s="30"/>
      <ns0:c r="C1611" s="28"/>
      <ns0:c r="D1611" s="29"/>
      <ns0:c r="E1611" s="31"/>
      <ns0:c r="F1611" s="32"/>
      <ns0:c r="G1611" s="29"/>
      <ns0:c r="H1611" s="29"/>
      <ns0:c r="I1611" s="29"/>
      <ns0:c r="J1611" s="29"/>
      <ns0:c r="K1611" s="29"/>
    </ns0:row>
    <ns0:row r="1612" ht="28" customHeight="1">
      <ns0:c r="A1612" s="29"/>
      <ns0:c r="B1612" s="30"/>
      <ns0:c r="C1612" s="28"/>
      <ns0:c r="D1612" s="29"/>
      <ns0:c r="E1612" s="31"/>
      <ns0:c r="F1612" s="32"/>
      <ns0:c r="G1612" s="29"/>
      <ns0:c r="H1612" s="29"/>
      <ns0:c r="I1612" s="29"/>
      <ns0:c r="J1612" s="29"/>
      <ns0:c r="K1612" s="29"/>
    </ns0:row>
    <ns0:row r="1613" ht="28" customHeight="1">
      <ns0:c r="A1613" s="29"/>
      <ns0:c r="B1613" s="30"/>
      <ns0:c r="C1613" s="28"/>
      <ns0:c r="D1613" s="29"/>
      <ns0:c r="E1613" s="31"/>
      <ns0:c r="F1613" s="32"/>
      <ns0:c r="G1613" s="29"/>
      <ns0:c r="H1613" s="29"/>
      <ns0:c r="I1613" s="29"/>
      <ns0:c r="J1613" s="29"/>
      <ns0:c r="K1613" s="29"/>
    </ns0:row>
    <ns0:row r="1614" ht="28" customHeight="1">
      <ns0:c r="A1614" s="29"/>
      <ns0:c r="B1614" s="30"/>
      <ns0:c r="C1614" s="28"/>
      <ns0:c r="D1614" s="29"/>
      <ns0:c r="E1614" s="31"/>
      <ns0:c r="F1614" s="32"/>
      <ns0:c r="G1614" s="29"/>
      <ns0:c r="H1614" s="29"/>
      <ns0:c r="I1614" s="29"/>
      <ns0:c r="J1614" s="29"/>
      <ns0:c r="K1614" s="29"/>
    </ns0:row>
    <ns0:row r="1615" ht="28" customHeight="1">
      <ns0:c r="A1615" s="29"/>
      <ns0:c r="B1615" s="30"/>
      <ns0:c r="C1615" s="28"/>
      <ns0:c r="D1615" s="29"/>
      <ns0:c r="E1615" s="31"/>
      <ns0:c r="F1615" s="32"/>
      <ns0:c r="G1615" s="29"/>
      <ns0:c r="H1615" s="29"/>
      <ns0:c r="I1615" s="29"/>
      <ns0:c r="J1615" s="29"/>
      <ns0:c r="K1615" s="29"/>
    </ns0:row>
    <ns0:row r="1616" ht="28" customHeight="1">
      <ns0:c r="A1616" s="29"/>
      <ns0:c r="B1616" s="30"/>
      <ns0:c r="C1616" s="28"/>
      <ns0:c r="D1616" s="29"/>
      <ns0:c r="E1616" s="31"/>
      <ns0:c r="F1616" s="32"/>
      <ns0:c r="G1616" s="29"/>
      <ns0:c r="H1616" s="29"/>
      <ns0:c r="I1616" s="29"/>
      <ns0:c r="J1616" s="29"/>
      <ns0:c r="K1616" s="29"/>
    </ns0:row>
    <ns0:row r="1617" ht="28" customHeight="1">
      <ns0:c r="A1617" s="29"/>
      <ns0:c r="B1617" s="30"/>
      <ns0:c r="C1617" s="28"/>
      <ns0:c r="D1617" s="29"/>
      <ns0:c r="E1617" s="31"/>
      <ns0:c r="F1617" s="32"/>
      <ns0:c r="G1617" s="29"/>
      <ns0:c r="H1617" s="29"/>
      <ns0:c r="I1617" s="29"/>
      <ns0:c r="J1617" s="29"/>
      <ns0:c r="K1617" s="29"/>
    </ns0:row>
    <ns0:row r="1618" ht="28" customHeight="1">
      <ns0:c r="A1618" s="29"/>
      <ns0:c r="B1618" s="30"/>
      <ns0:c r="C1618" s="28"/>
      <ns0:c r="D1618" s="29"/>
      <ns0:c r="E1618" s="31"/>
      <ns0:c r="F1618" s="32"/>
      <ns0:c r="G1618" s="29"/>
      <ns0:c r="H1618" s="29"/>
      <ns0:c r="I1618" s="29"/>
      <ns0:c r="J1618" s="29"/>
      <ns0:c r="K1618" s="29"/>
    </ns0:row>
    <ns0:row r="1619" ht="28" customHeight="1">
      <ns0:c r="A1619" s="29"/>
      <ns0:c r="B1619" s="30"/>
      <ns0:c r="C1619" s="28"/>
      <ns0:c r="D1619" s="29"/>
      <ns0:c r="E1619" s="31"/>
      <ns0:c r="F1619" s="32"/>
      <ns0:c r="G1619" s="29"/>
      <ns0:c r="H1619" s="29"/>
      <ns0:c r="I1619" s="29"/>
      <ns0:c r="J1619" s="29"/>
      <ns0:c r="K1619" s="29"/>
    </ns0:row>
    <ns0:row r="1620" ht="28" customHeight="1">
      <ns0:c r="A1620" s="29"/>
      <ns0:c r="B1620" s="30"/>
      <ns0:c r="C1620" s="28"/>
      <ns0:c r="D1620" s="29"/>
      <ns0:c r="E1620" s="31"/>
      <ns0:c r="F1620" s="32"/>
      <ns0:c r="G1620" s="29"/>
      <ns0:c r="H1620" s="29"/>
      <ns0:c r="I1620" s="29"/>
      <ns0:c r="J1620" s="29"/>
      <ns0:c r="K1620" s="29"/>
    </ns0:row>
    <ns0:row r="1621" ht="28" customHeight="1">
      <ns0:c r="A1621" s="29"/>
      <ns0:c r="B1621" s="30"/>
      <ns0:c r="C1621" s="28"/>
      <ns0:c r="D1621" s="29"/>
      <ns0:c r="E1621" s="31"/>
      <ns0:c r="F1621" s="32"/>
      <ns0:c r="G1621" s="29"/>
      <ns0:c r="H1621" s="29"/>
      <ns0:c r="I1621" s="29"/>
      <ns0:c r="J1621" s="29"/>
      <ns0:c r="K1621" s="29"/>
    </ns0:row>
    <ns0:row r="1622" ht="28" customHeight="1">
      <ns0:c r="A1622" s="29"/>
      <ns0:c r="B1622" s="30"/>
      <ns0:c r="C1622" s="28"/>
      <ns0:c r="D1622" s="29"/>
      <ns0:c r="E1622" s="31"/>
      <ns0:c r="F1622" s="32"/>
      <ns0:c r="G1622" s="29"/>
      <ns0:c r="H1622" s="29"/>
      <ns0:c r="I1622" s="29"/>
      <ns0:c r="J1622" s="29"/>
      <ns0:c r="K1622" s="29"/>
    </ns0:row>
    <ns0:row r="1623" ht="28" customHeight="1">
      <ns0:c r="A1623" s="29"/>
      <ns0:c r="B1623" s="30"/>
      <ns0:c r="C1623" s="28"/>
      <ns0:c r="D1623" s="29"/>
      <ns0:c r="E1623" s="31"/>
      <ns0:c r="F1623" s="32"/>
      <ns0:c r="G1623" s="29"/>
      <ns0:c r="H1623" s="29"/>
      <ns0:c r="I1623" s="29"/>
      <ns0:c r="J1623" s="29"/>
      <ns0:c r="K1623" s="29"/>
    </ns0:row>
    <ns0:row r="1624" ht="28" customHeight="1">
      <ns0:c r="A1624" s="29"/>
      <ns0:c r="B1624" s="30"/>
      <ns0:c r="C1624" s="28"/>
      <ns0:c r="D1624" s="29"/>
      <ns0:c r="E1624" s="31"/>
      <ns0:c r="F1624" s="32"/>
      <ns0:c r="G1624" s="29"/>
      <ns0:c r="H1624" s="29"/>
      <ns0:c r="I1624" s="29"/>
      <ns0:c r="J1624" s="29"/>
      <ns0:c r="K1624" s="29"/>
    </ns0:row>
    <ns0:row r="1625" ht="28" customHeight="1">
      <ns0:c r="A1625" s="29"/>
      <ns0:c r="B1625" s="30"/>
      <ns0:c r="C1625" s="28"/>
      <ns0:c r="D1625" s="29"/>
      <ns0:c r="E1625" s="31"/>
      <ns0:c r="F1625" s="32"/>
      <ns0:c r="G1625" s="29"/>
      <ns0:c r="H1625" s="29"/>
      <ns0:c r="I1625" s="29"/>
      <ns0:c r="J1625" s="29"/>
      <ns0:c r="K1625" s="29"/>
    </ns0:row>
    <ns0:row r="1626" ht="28" customHeight="1">
      <ns0:c r="A1626" s="29"/>
      <ns0:c r="B1626" s="30"/>
      <ns0:c r="C1626" s="28"/>
      <ns0:c r="D1626" s="29"/>
      <ns0:c r="E1626" s="31"/>
      <ns0:c r="F1626" s="32"/>
      <ns0:c r="G1626" s="29"/>
      <ns0:c r="H1626" s="29"/>
      <ns0:c r="I1626" s="29"/>
      <ns0:c r="J1626" s="29"/>
      <ns0:c r="K1626" s="29"/>
    </ns0:row>
    <ns0:row r="1627" ht="28" customHeight="1">
      <ns0:c r="A1627" s="29"/>
      <ns0:c r="B1627" s="30"/>
      <ns0:c r="C1627" s="28"/>
      <ns0:c r="D1627" s="29"/>
      <ns0:c r="E1627" s="31"/>
      <ns0:c r="F1627" s="32"/>
      <ns0:c r="G1627" s="29"/>
      <ns0:c r="H1627" s="29"/>
      <ns0:c r="I1627" s="29"/>
      <ns0:c r="J1627" s="29"/>
      <ns0:c r="K1627" s="29"/>
    </ns0:row>
    <ns0:row r="1628" ht="28" customHeight="1">
      <ns0:c r="A1628" s="29"/>
      <ns0:c r="B1628" s="30"/>
      <ns0:c r="C1628" s="28"/>
      <ns0:c r="D1628" s="29"/>
      <ns0:c r="E1628" s="31"/>
      <ns0:c r="F1628" s="32"/>
      <ns0:c r="G1628" s="29"/>
      <ns0:c r="H1628" s="29"/>
      <ns0:c r="I1628" s="29"/>
      <ns0:c r="J1628" s="29"/>
      <ns0:c r="K1628" s="29"/>
    </ns0:row>
    <ns0:row r="1629" ht="28" customHeight="1">
      <ns0:c r="A1629" s="29"/>
      <ns0:c r="B1629" s="30"/>
      <ns0:c r="C1629" s="28"/>
      <ns0:c r="D1629" s="29"/>
      <ns0:c r="E1629" s="31"/>
      <ns0:c r="F1629" s="32"/>
      <ns0:c r="G1629" s="29"/>
      <ns0:c r="H1629" s="29"/>
      <ns0:c r="I1629" s="29"/>
      <ns0:c r="J1629" s="29"/>
      <ns0:c r="K1629" s="29"/>
    </ns0:row>
    <ns0:row r="1630" ht="28" customHeight="1">
      <ns0:c r="A1630" s="29"/>
      <ns0:c r="B1630" s="30"/>
      <ns0:c r="C1630" s="28"/>
      <ns0:c r="D1630" s="29"/>
      <ns0:c r="E1630" s="31"/>
      <ns0:c r="F1630" s="32"/>
      <ns0:c r="G1630" s="29"/>
      <ns0:c r="H1630" s="29"/>
      <ns0:c r="I1630" s="29"/>
      <ns0:c r="J1630" s="29"/>
      <ns0:c r="K1630" s="29"/>
    </ns0:row>
    <ns0:row r="1631" ht="28" customHeight="1">
      <ns0:c r="A1631" s="29"/>
      <ns0:c r="B1631" s="30"/>
      <ns0:c r="C1631" s="28"/>
      <ns0:c r="D1631" s="29"/>
      <ns0:c r="E1631" s="31"/>
      <ns0:c r="F1631" s="32"/>
      <ns0:c r="G1631" s="29"/>
      <ns0:c r="H1631" s="29"/>
      <ns0:c r="I1631" s="29"/>
      <ns0:c r="J1631" s="29"/>
      <ns0:c r="K1631" s="29"/>
    </ns0:row>
    <ns0:row r="1632" ht="28" customHeight="1">
      <ns0:c r="A1632" s="29"/>
      <ns0:c r="B1632" s="30"/>
      <ns0:c r="C1632" s="28"/>
      <ns0:c r="D1632" s="29"/>
      <ns0:c r="E1632" s="31"/>
      <ns0:c r="F1632" s="32"/>
      <ns0:c r="G1632" s="29"/>
      <ns0:c r="H1632" s="29"/>
      <ns0:c r="I1632" s="29"/>
      <ns0:c r="J1632" s="29"/>
      <ns0:c r="K1632" s="29"/>
    </ns0:row>
    <ns0:row r="1633" ht="28" customHeight="1">
      <ns0:c r="A1633" s="29"/>
      <ns0:c r="B1633" s="30"/>
      <ns0:c r="C1633" s="28"/>
      <ns0:c r="D1633" s="29"/>
      <ns0:c r="E1633" s="31"/>
      <ns0:c r="F1633" s="32"/>
      <ns0:c r="G1633" s="29"/>
      <ns0:c r="H1633" s="29"/>
      <ns0:c r="I1633" s="29"/>
      <ns0:c r="J1633" s="29"/>
      <ns0:c r="K1633" s="29"/>
    </ns0:row>
    <ns0:row r="1634" ht="28" customHeight="1">
      <ns0:c r="A1634" s="29"/>
      <ns0:c r="B1634" s="30"/>
      <ns0:c r="C1634" s="28"/>
      <ns0:c r="D1634" s="29"/>
      <ns0:c r="E1634" s="31"/>
      <ns0:c r="F1634" s="32"/>
      <ns0:c r="G1634" s="29"/>
      <ns0:c r="H1634" s="29"/>
      <ns0:c r="I1634" s="29"/>
      <ns0:c r="J1634" s="29"/>
      <ns0:c r="K1634" s="29"/>
    </ns0:row>
    <ns0:row r="1635" ht="28" customHeight="1">
      <ns0:c r="A1635" s="29"/>
      <ns0:c r="B1635" s="30"/>
      <ns0:c r="C1635" s="28"/>
      <ns0:c r="D1635" s="29"/>
      <ns0:c r="E1635" s="31"/>
      <ns0:c r="F1635" s="32"/>
      <ns0:c r="G1635" s="29"/>
      <ns0:c r="H1635" s="29"/>
      <ns0:c r="I1635" s="29"/>
      <ns0:c r="J1635" s="29"/>
      <ns0:c r="K1635" s="29"/>
    </ns0:row>
    <ns0:row r="1636" ht="28" customHeight="1">
      <ns0:c r="A1636" s="29"/>
      <ns0:c r="B1636" s="30"/>
      <ns0:c r="C1636" s="28"/>
      <ns0:c r="D1636" s="29"/>
      <ns0:c r="E1636" s="31"/>
      <ns0:c r="F1636" s="32"/>
      <ns0:c r="G1636" s="29"/>
      <ns0:c r="H1636" s="29"/>
      <ns0:c r="I1636" s="29"/>
      <ns0:c r="J1636" s="29"/>
      <ns0:c r="K1636" s="29"/>
    </ns0:row>
    <ns0:row r="1637" ht="28" customHeight="1">
      <ns0:c r="A1637" s="29"/>
      <ns0:c r="B1637" s="30"/>
      <ns0:c r="C1637" s="28"/>
      <ns0:c r="D1637" s="29"/>
      <ns0:c r="E1637" s="31"/>
      <ns0:c r="F1637" s="32"/>
      <ns0:c r="G1637" s="29"/>
      <ns0:c r="H1637" s="29"/>
      <ns0:c r="I1637" s="29"/>
      <ns0:c r="J1637" s="29"/>
      <ns0:c r="K1637" s="29"/>
    </ns0:row>
    <ns0:row r="1638" ht="28" customHeight="1">
      <ns0:c r="A1638" s="29"/>
      <ns0:c r="B1638" s="30"/>
      <ns0:c r="C1638" s="28"/>
      <ns0:c r="D1638" s="29"/>
      <ns0:c r="E1638" s="31"/>
      <ns0:c r="F1638" s="32"/>
      <ns0:c r="G1638" s="29"/>
      <ns0:c r="H1638" s="29"/>
      <ns0:c r="I1638" s="29"/>
      <ns0:c r="J1638" s="29"/>
      <ns0:c r="K1638" s="29"/>
    </ns0:row>
    <ns0:row r="1639" ht="28" customHeight="1">
      <ns0:c r="A1639" s="29"/>
      <ns0:c r="B1639" s="30"/>
      <ns0:c r="C1639" s="28"/>
      <ns0:c r="D1639" s="29"/>
      <ns0:c r="E1639" s="31"/>
      <ns0:c r="F1639" s="32"/>
      <ns0:c r="G1639" s="29"/>
      <ns0:c r="H1639" s="29"/>
      <ns0:c r="I1639" s="29"/>
      <ns0:c r="J1639" s="29"/>
      <ns0:c r="K1639" s="29"/>
    </ns0:row>
    <ns0:row r="1640" ht="28" customHeight="1">
      <ns0:c r="A1640" s="29"/>
      <ns0:c r="B1640" s="30"/>
      <ns0:c r="C1640" s="28"/>
      <ns0:c r="D1640" s="29"/>
      <ns0:c r="E1640" s="31"/>
      <ns0:c r="F1640" s="32"/>
      <ns0:c r="G1640" s="29"/>
      <ns0:c r="H1640" s="29"/>
      <ns0:c r="I1640" s="29"/>
      <ns0:c r="J1640" s="29"/>
      <ns0:c r="K1640" s="29"/>
    </ns0:row>
    <ns0:row r="1641" ht="28" customHeight="1">
      <ns0:c r="A1641" s="29"/>
      <ns0:c r="B1641" s="30"/>
      <ns0:c r="C1641" s="28"/>
      <ns0:c r="D1641" s="29"/>
      <ns0:c r="E1641" s="31"/>
      <ns0:c r="F1641" s="32"/>
      <ns0:c r="G1641" s="29"/>
      <ns0:c r="H1641" s="29"/>
      <ns0:c r="I1641" s="29"/>
      <ns0:c r="J1641" s="29"/>
      <ns0:c r="K1641" s="29"/>
    </ns0:row>
    <ns0:row r="1642" ht="28" customHeight="1">
      <ns0:c r="A1642" s="29"/>
      <ns0:c r="B1642" s="30"/>
      <ns0:c r="C1642" s="28"/>
      <ns0:c r="D1642" s="29"/>
      <ns0:c r="E1642" s="31"/>
      <ns0:c r="F1642" s="32"/>
      <ns0:c r="G1642" s="29"/>
      <ns0:c r="H1642" s="29"/>
      <ns0:c r="I1642" s="29"/>
      <ns0:c r="J1642" s="29"/>
      <ns0:c r="K1642" s="29"/>
    </ns0:row>
    <ns0:row r="1643" ht="28" customHeight="1">
      <ns0:c r="A1643" s="29"/>
      <ns0:c r="B1643" s="30"/>
      <ns0:c r="C1643" s="28"/>
      <ns0:c r="D1643" s="29"/>
      <ns0:c r="E1643" s="31"/>
      <ns0:c r="F1643" s="32"/>
      <ns0:c r="G1643" s="29"/>
      <ns0:c r="H1643" s="29"/>
      <ns0:c r="I1643" s="29"/>
      <ns0:c r="J1643" s="29"/>
      <ns0:c r="K1643" s="29"/>
    </ns0:row>
    <ns0:row r="1644" ht="28" customHeight="1">
      <ns0:c r="A1644" s="29"/>
      <ns0:c r="B1644" s="30"/>
      <ns0:c r="C1644" s="28"/>
      <ns0:c r="D1644" s="29"/>
      <ns0:c r="E1644" s="31"/>
      <ns0:c r="F1644" s="32"/>
      <ns0:c r="G1644" s="29"/>
      <ns0:c r="H1644" s="29"/>
      <ns0:c r="I1644" s="29"/>
      <ns0:c r="J1644" s="29"/>
      <ns0:c r="K1644" s="29"/>
    </ns0:row>
    <ns0:row r="1645" ht="28" customHeight="1">
      <ns0:c r="A1645" s="29"/>
      <ns0:c r="B1645" s="30"/>
      <ns0:c r="C1645" s="28"/>
      <ns0:c r="D1645" s="29"/>
      <ns0:c r="E1645" s="31"/>
      <ns0:c r="F1645" s="32"/>
      <ns0:c r="G1645" s="29"/>
      <ns0:c r="H1645" s="29"/>
      <ns0:c r="I1645" s="29"/>
      <ns0:c r="J1645" s="29"/>
      <ns0:c r="K1645" s="29"/>
    </ns0:row>
    <ns0:row r="1646" ht="28" customHeight="1">
      <ns0:c r="A1646" s="29"/>
      <ns0:c r="B1646" s="30"/>
      <ns0:c r="C1646" s="28"/>
      <ns0:c r="D1646" s="29"/>
      <ns0:c r="E1646" s="31"/>
      <ns0:c r="F1646" s="32"/>
      <ns0:c r="G1646" s="29"/>
      <ns0:c r="H1646" s="29"/>
      <ns0:c r="I1646" s="29"/>
      <ns0:c r="J1646" s="29"/>
      <ns0:c r="K1646" s="29"/>
    </ns0:row>
    <ns0:row r="1647" ht="28" customHeight="1">
      <ns0:c r="A1647" s="29"/>
      <ns0:c r="B1647" s="30"/>
      <ns0:c r="C1647" s="28"/>
      <ns0:c r="D1647" s="29"/>
      <ns0:c r="E1647" s="31"/>
      <ns0:c r="F1647" s="32"/>
      <ns0:c r="G1647" s="29"/>
      <ns0:c r="H1647" s="29"/>
      <ns0:c r="I1647" s="29"/>
      <ns0:c r="J1647" s="29"/>
      <ns0:c r="K1647" s="29"/>
    </ns0:row>
    <ns0:row r="1648" ht="28" customHeight="1">
      <ns0:c r="A1648" s="29"/>
      <ns0:c r="B1648" s="30"/>
      <ns0:c r="C1648" s="28"/>
      <ns0:c r="D1648" s="29"/>
      <ns0:c r="E1648" s="31"/>
      <ns0:c r="F1648" s="32"/>
      <ns0:c r="G1648" s="29"/>
      <ns0:c r="H1648" s="29"/>
      <ns0:c r="I1648" s="29"/>
      <ns0:c r="J1648" s="29"/>
      <ns0:c r="K1648" s="29"/>
    </ns0:row>
    <ns0:row r="1649" ht="28" customHeight="1">
      <ns0:c r="A1649" s="29"/>
      <ns0:c r="B1649" s="30"/>
      <ns0:c r="C1649" s="28"/>
      <ns0:c r="D1649" s="29"/>
      <ns0:c r="E1649" s="31"/>
      <ns0:c r="F1649" s="32"/>
      <ns0:c r="G1649" s="29"/>
      <ns0:c r="H1649" s="29"/>
      <ns0:c r="I1649" s="29"/>
      <ns0:c r="J1649" s="29"/>
      <ns0:c r="K1649" s="29"/>
    </ns0:row>
    <ns0:row r="1650" ht="28" customHeight="1">
      <ns0:c r="A1650" s="29"/>
      <ns0:c r="B1650" s="30"/>
      <ns0:c r="C1650" s="28"/>
      <ns0:c r="D1650" s="29"/>
      <ns0:c r="E1650" s="31"/>
      <ns0:c r="F1650" s="32"/>
      <ns0:c r="G1650" s="29"/>
      <ns0:c r="H1650" s="29"/>
      <ns0:c r="I1650" s="29"/>
      <ns0:c r="J1650" s="29"/>
      <ns0:c r="K1650" s="29"/>
    </ns0:row>
    <ns0:row r="1651" ht="28" customHeight="1">
      <ns0:c r="A1651" s="29"/>
      <ns0:c r="B1651" s="30"/>
      <ns0:c r="C1651" s="28"/>
      <ns0:c r="D1651" s="29"/>
      <ns0:c r="E1651" s="31"/>
      <ns0:c r="F1651" s="32"/>
      <ns0:c r="G1651" s="29"/>
      <ns0:c r="H1651" s="29"/>
      <ns0:c r="I1651" s="29"/>
      <ns0:c r="J1651" s="29"/>
      <ns0:c r="K1651" s="29"/>
    </ns0:row>
    <ns0:row r="1652" ht="28" customHeight="1">
      <ns0:c r="A1652" s="29"/>
      <ns0:c r="B1652" s="30"/>
      <ns0:c r="C1652" s="28"/>
      <ns0:c r="D1652" s="29"/>
      <ns0:c r="E1652" s="31"/>
      <ns0:c r="F1652" s="32"/>
      <ns0:c r="G1652" s="29"/>
      <ns0:c r="H1652" s="29"/>
      <ns0:c r="I1652" s="29"/>
      <ns0:c r="J1652" s="29"/>
      <ns0:c r="K1652" s="29"/>
    </ns0:row>
    <ns0:row r="1653" ht="28" customHeight="1">
      <ns0:c r="A1653" s="29"/>
      <ns0:c r="B1653" s="30"/>
      <ns0:c r="C1653" s="28"/>
      <ns0:c r="D1653" s="29"/>
      <ns0:c r="E1653" s="31"/>
      <ns0:c r="F1653" s="32"/>
      <ns0:c r="G1653" s="29"/>
      <ns0:c r="H1653" s="29"/>
      <ns0:c r="I1653" s="29"/>
      <ns0:c r="J1653" s="29"/>
      <ns0:c r="K1653" s="29"/>
    </ns0:row>
    <ns0:row r="1654" ht="28" customHeight="1">
      <ns0:c r="A1654" s="29"/>
      <ns0:c r="B1654" s="30"/>
      <ns0:c r="C1654" s="28"/>
      <ns0:c r="D1654" s="29"/>
      <ns0:c r="E1654" s="31"/>
      <ns0:c r="F1654" s="32"/>
      <ns0:c r="G1654" s="29"/>
      <ns0:c r="H1654" s="29"/>
      <ns0:c r="I1654" s="29"/>
      <ns0:c r="J1654" s="29"/>
      <ns0:c r="K1654" s="29"/>
    </ns0:row>
    <ns0:row r="1655" ht="28" customHeight="1">
      <ns0:c r="A1655" s="29"/>
      <ns0:c r="B1655" s="30"/>
      <ns0:c r="C1655" s="28"/>
      <ns0:c r="D1655" s="29"/>
      <ns0:c r="E1655" s="31"/>
      <ns0:c r="F1655" s="32"/>
      <ns0:c r="G1655" s="29"/>
      <ns0:c r="H1655" s="29"/>
      <ns0:c r="I1655" s="29"/>
      <ns0:c r="J1655" s="29"/>
      <ns0:c r="K1655" s="29"/>
    </ns0:row>
    <ns0:row r="1656" ht="28" customHeight="1">
      <ns0:c r="A1656" s="29"/>
      <ns0:c r="B1656" s="30"/>
      <ns0:c r="C1656" s="28"/>
      <ns0:c r="D1656" s="29"/>
      <ns0:c r="E1656" s="31"/>
      <ns0:c r="F1656" s="32"/>
      <ns0:c r="G1656" s="29"/>
      <ns0:c r="H1656" s="29"/>
      <ns0:c r="I1656" s="29"/>
      <ns0:c r="J1656" s="29"/>
      <ns0:c r="K1656" s="29"/>
    </ns0:row>
    <ns0:row r="1657" ht="28" customHeight="1">
      <ns0:c r="A1657" s="29"/>
      <ns0:c r="B1657" s="30"/>
      <ns0:c r="C1657" s="28"/>
      <ns0:c r="D1657" s="29"/>
      <ns0:c r="E1657" s="31"/>
      <ns0:c r="F1657" s="32"/>
      <ns0:c r="G1657" s="29"/>
      <ns0:c r="H1657" s="29"/>
      <ns0:c r="I1657" s="29"/>
      <ns0:c r="J1657" s="29"/>
      <ns0:c r="K1657" s="29"/>
    </ns0:row>
    <ns0:row r="1658" ht="28" customHeight="1">
      <ns0:c r="A1658" s="29"/>
      <ns0:c r="B1658" s="30"/>
      <ns0:c r="C1658" s="28"/>
      <ns0:c r="D1658" s="29"/>
      <ns0:c r="E1658" s="31"/>
      <ns0:c r="F1658" s="32"/>
      <ns0:c r="G1658" s="29"/>
      <ns0:c r="H1658" s="29"/>
      <ns0:c r="I1658" s="29"/>
      <ns0:c r="J1658" s="29"/>
      <ns0:c r="K1658" s="29"/>
    </ns0:row>
    <ns0:row r="1659" ht="28" customHeight="1">
      <ns0:c r="A1659" s="29"/>
      <ns0:c r="B1659" s="30"/>
      <ns0:c r="C1659" s="28"/>
      <ns0:c r="D1659" s="29"/>
      <ns0:c r="E1659" s="31"/>
      <ns0:c r="F1659" s="32"/>
      <ns0:c r="G1659" s="29"/>
      <ns0:c r="H1659" s="29"/>
      <ns0:c r="I1659" s="29"/>
      <ns0:c r="J1659" s="29"/>
      <ns0:c r="K1659" s="29"/>
    </ns0:row>
    <ns0:row r="1660" ht="28" customHeight="1">
      <ns0:c r="A1660" s="29"/>
      <ns0:c r="B1660" s="30"/>
      <ns0:c r="C1660" s="28"/>
      <ns0:c r="D1660" s="29"/>
      <ns0:c r="E1660" s="31"/>
      <ns0:c r="F1660" s="32"/>
      <ns0:c r="G1660" s="29"/>
      <ns0:c r="H1660" s="29"/>
      <ns0:c r="I1660" s="29"/>
      <ns0:c r="J1660" s="29"/>
      <ns0:c r="K1660" s="29"/>
    </ns0:row>
    <ns0:row r="1661" ht="28" customHeight="1">
      <ns0:c r="A1661" s="29"/>
      <ns0:c r="B1661" s="30"/>
      <ns0:c r="C1661" s="28"/>
      <ns0:c r="D1661" s="29"/>
      <ns0:c r="E1661" s="31"/>
      <ns0:c r="F1661" s="32"/>
      <ns0:c r="G1661" s="29"/>
      <ns0:c r="H1661" s="29"/>
      <ns0:c r="I1661" s="29"/>
      <ns0:c r="J1661" s="29"/>
      <ns0:c r="K1661" s="29"/>
    </ns0:row>
    <ns0:row r="1662" ht="28" customHeight="1">
      <ns0:c r="A1662" s="29"/>
      <ns0:c r="B1662" s="30"/>
      <ns0:c r="C1662" s="28"/>
      <ns0:c r="D1662" s="29"/>
      <ns0:c r="E1662" s="31"/>
      <ns0:c r="F1662" s="32"/>
      <ns0:c r="G1662" s="29"/>
      <ns0:c r="H1662" s="29"/>
      <ns0:c r="I1662" s="29"/>
      <ns0:c r="J1662" s="29"/>
      <ns0:c r="K1662" s="29"/>
    </ns0:row>
    <ns0:row r="1663" ht="28" customHeight="1">
      <ns0:c r="A1663" s="29"/>
      <ns0:c r="B1663" s="30"/>
      <ns0:c r="C1663" s="28"/>
      <ns0:c r="D1663" s="29"/>
      <ns0:c r="E1663" s="31"/>
      <ns0:c r="F1663" s="32"/>
      <ns0:c r="G1663" s="29"/>
      <ns0:c r="H1663" s="29"/>
      <ns0:c r="I1663" s="29"/>
      <ns0:c r="J1663" s="29"/>
      <ns0:c r="K1663" s="29"/>
    </ns0:row>
    <ns0:row r="1664" ht="28" customHeight="1">
      <ns0:c r="A1664" s="29"/>
      <ns0:c r="B1664" s="30"/>
      <ns0:c r="C1664" s="28"/>
      <ns0:c r="D1664" s="29"/>
      <ns0:c r="E1664" s="31"/>
      <ns0:c r="F1664" s="32"/>
      <ns0:c r="G1664" s="29"/>
      <ns0:c r="H1664" s="29"/>
      <ns0:c r="I1664" s="29"/>
      <ns0:c r="J1664" s="29"/>
      <ns0:c r="K1664" s="29"/>
    </ns0:row>
    <ns0:row r="1665" ht="28" customHeight="1">
      <ns0:c r="A1665" s="29"/>
      <ns0:c r="B1665" s="30"/>
      <ns0:c r="C1665" s="28"/>
      <ns0:c r="D1665" s="29"/>
      <ns0:c r="E1665" s="31"/>
      <ns0:c r="F1665" s="32"/>
      <ns0:c r="G1665" s="29"/>
      <ns0:c r="H1665" s="29"/>
      <ns0:c r="I1665" s="29"/>
      <ns0:c r="J1665" s="29"/>
      <ns0:c r="K1665" s="29"/>
    </ns0:row>
    <ns0:row r="1666" ht="28" customHeight="1">
      <ns0:c r="A1666" s="29"/>
      <ns0:c r="B1666" s="30"/>
      <ns0:c r="C1666" s="28"/>
      <ns0:c r="D1666" s="29"/>
      <ns0:c r="E1666" s="31"/>
      <ns0:c r="F1666" s="32"/>
      <ns0:c r="G1666" s="29"/>
      <ns0:c r="H1666" s="29"/>
      <ns0:c r="I1666" s="29"/>
      <ns0:c r="J1666" s="29"/>
      <ns0:c r="K1666" s="29"/>
    </ns0:row>
    <ns0:row r="1667" ht="28" customHeight="1">
      <ns0:c r="A1667" s="29"/>
      <ns0:c r="B1667" s="30"/>
      <ns0:c r="C1667" s="28"/>
      <ns0:c r="D1667" s="29"/>
      <ns0:c r="E1667" s="31"/>
      <ns0:c r="F1667" s="32"/>
      <ns0:c r="G1667" s="29"/>
      <ns0:c r="H1667" s="29"/>
      <ns0:c r="I1667" s="29"/>
      <ns0:c r="J1667" s="29"/>
      <ns0:c r="K1667" s="29"/>
    </ns0:row>
    <ns0:row r="1668" ht="28" customHeight="1">
      <ns0:c r="A1668" s="29"/>
      <ns0:c r="B1668" s="30"/>
      <ns0:c r="C1668" s="28"/>
      <ns0:c r="D1668" s="29"/>
      <ns0:c r="E1668" s="31"/>
      <ns0:c r="F1668" s="32"/>
      <ns0:c r="G1668" s="29"/>
      <ns0:c r="H1668" s="29"/>
      <ns0:c r="I1668" s="29"/>
      <ns0:c r="J1668" s="29"/>
      <ns0:c r="K1668" s="29"/>
    </ns0:row>
    <ns0:row r="1669" ht="28" customHeight="1">
      <ns0:c r="A1669" s="29"/>
      <ns0:c r="B1669" s="30"/>
      <ns0:c r="C1669" s="28"/>
      <ns0:c r="D1669" s="29"/>
      <ns0:c r="E1669" s="31"/>
      <ns0:c r="F1669" s="32"/>
      <ns0:c r="G1669" s="29"/>
      <ns0:c r="H1669" s="29"/>
      <ns0:c r="I1669" s="29"/>
      <ns0:c r="J1669" s="29"/>
      <ns0:c r="K1669" s="29"/>
    </ns0:row>
    <ns0:row r="1670" ht="28" customHeight="1">
      <ns0:c r="A1670" s="29"/>
      <ns0:c r="B1670" s="30"/>
      <ns0:c r="C1670" s="28"/>
      <ns0:c r="D1670" s="29"/>
      <ns0:c r="E1670" s="31"/>
      <ns0:c r="F1670" s="32"/>
      <ns0:c r="G1670" s="29"/>
      <ns0:c r="H1670" s="29"/>
      <ns0:c r="I1670" s="29"/>
      <ns0:c r="J1670" s="29"/>
      <ns0:c r="K1670" s="29"/>
    </ns0:row>
    <ns0:row r="1671" ht="28" customHeight="1">
      <ns0:c r="A1671" s="29"/>
      <ns0:c r="B1671" s="30"/>
      <ns0:c r="C1671" s="28"/>
      <ns0:c r="D1671" s="29"/>
      <ns0:c r="E1671" s="31"/>
      <ns0:c r="F1671" s="32"/>
      <ns0:c r="G1671" s="29"/>
      <ns0:c r="H1671" s="29"/>
      <ns0:c r="I1671" s="29"/>
      <ns0:c r="J1671" s="29"/>
      <ns0:c r="K1671" s="29"/>
    </ns0:row>
    <ns0:row r="1672" ht="28" customHeight="1">
      <ns0:c r="A1672" s="29"/>
      <ns0:c r="B1672" s="30"/>
      <ns0:c r="C1672" s="28"/>
      <ns0:c r="D1672" s="29"/>
      <ns0:c r="E1672" s="31"/>
      <ns0:c r="F1672" s="32"/>
      <ns0:c r="G1672" s="29"/>
      <ns0:c r="H1672" s="29"/>
      <ns0:c r="I1672" s="29"/>
      <ns0:c r="J1672" s="29"/>
      <ns0:c r="K1672" s="29"/>
    </ns0:row>
    <ns0:row r="1673" ht="28" customHeight="1">
      <ns0:c r="A1673" s="29"/>
      <ns0:c r="B1673" s="30"/>
      <ns0:c r="C1673" s="28"/>
      <ns0:c r="D1673" s="29"/>
      <ns0:c r="E1673" s="31"/>
      <ns0:c r="F1673" s="32"/>
      <ns0:c r="G1673" s="29"/>
      <ns0:c r="H1673" s="29"/>
      <ns0:c r="I1673" s="29"/>
      <ns0:c r="J1673" s="29"/>
      <ns0:c r="K1673" s="29"/>
    </ns0:row>
    <ns0:row r="1674" ht="28" customHeight="1">
      <ns0:c r="A1674" s="29"/>
      <ns0:c r="B1674" s="30"/>
      <ns0:c r="C1674" s="28"/>
      <ns0:c r="D1674" s="29"/>
      <ns0:c r="E1674" s="31"/>
      <ns0:c r="F1674" s="32"/>
      <ns0:c r="G1674" s="29"/>
      <ns0:c r="H1674" s="29"/>
      <ns0:c r="I1674" s="29"/>
      <ns0:c r="J1674" s="29"/>
      <ns0:c r="K1674" s="29"/>
    </ns0:row>
    <ns0:row r="1675" ht="28" customHeight="1">
      <ns0:c r="A1675" s="29"/>
      <ns0:c r="B1675" s="30"/>
      <ns0:c r="C1675" s="28"/>
      <ns0:c r="D1675" s="29"/>
      <ns0:c r="E1675" s="31"/>
      <ns0:c r="F1675" s="32"/>
      <ns0:c r="G1675" s="29"/>
      <ns0:c r="H1675" s="29"/>
      <ns0:c r="I1675" s="29"/>
      <ns0:c r="J1675" s="29"/>
      <ns0:c r="K1675" s="29"/>
    </ns0:row>
    <ns0:row r="1676" ht="28" customHeight="1">
      <ns0:c r="A1676" s="29"/>
      <ns0:c r="B1676" s="30"/>
      <ns0:c r="C1676" s="28"/>
      <ns0:c r="D1676" s="29"/>
      <ns0:c r="E1676" s="31"/>
      <ns0:c r="F1676" s="32"/>
      <ns0:c r="G1676" s="29"/>
      <ns0:c r="H1676" s="29"/>
      <ns0:c r="I1676" s="29"/>
      <ns0:c r="J1676" s="29"/>
      <ns0:c r="K1676" s="29"/>
    </ns0:row>
    <ns0:row r="1677" ht="28" customHeight="1">
      <ns0:c r="A1677" s="29"/>
      <ns0:c r="B1677" s="30"/>
      <ns0:c r="C1677" s="28"/>
      <ns0:c r="D1677" s="29"/>
      <ns0:c r="E1677" s="31"/>
      <ns0:c r="F1677" s="32"/>
      <ns0:c r="G1677" s="29"/>
      <ns0:c r="H1677" s="29"/>
      <ns0:c r="I1677" s="29"/>
      <ns0:c r="J1677" s="29"/>
      <ns0:c r="K1677" s="29"/>
    </ns0:row>
    <ns0:row r="1678" ht="28" customHeight="1">
      <ns0:c r="A1678" s="29"/>
      <ns0:c r="B1678" s="30"/>
      <ns0:c r="C1678" s="28"/>
      <ns0:c r="D1678" s="29"/>
      <ns0:c r="E1678" s="31"/>
      <ns0:c r="F1678" s="32"/>
      <ns0:c r="G1678" s="29"/>
      <ns0:c r="H1678" s="29"/>
      <ns0:c r="I1678" s="29"/>
      <ns0:c r="J1678" s="29"/>
      <ns0:c r="K1678" s="29"/>
    </ns0:row>
    <ns0:row r="1679" ht="28" customHeight="1">
      <ns0:c r="A1679" s="29"/>
      <ns0:c r="B1679" s="30"/>
      <ns0:c r="C1679" s="28"/>
      <ns0:c r="D1679" s="29"/>
      <ns0:c r="E1679" s="31"/>
      <ns0:c r="F1679" s="32"/>
      <ns0:c r="G1679" s="29"/>
      <ns0:c r="H1679" s="29"/>
      <ns0:c r="I1679" s="29"/>
      <ns0:c r="J1679" s="29"/>
      <ns0:c r="K1679" s="29"/>
    </ns0:row>
    <ns0:row r="1680" ht="28" customHeight="1">
      <ns0:c r="A1680" s="29"/>
      <ns0:c r="B1680" s="30"/>
      <ns0:c r="C1680" s="28"/>
      <ns0:c r="D1680" s="29"/>
      <ns0:c r="E1680" s="31"/>
      <ns0:c r="F1680" s="32"/>
      <ns0:c r="G1680" s="29"/>
      <ns0:c r="H1680" s="29"/>
      <ns0:c r="I1680" s="29"/>
      <ns0:c r="J1680" s="29"/>
      <ns0:c r="K1680" s="29"/>
    </ns0:row>
    <ns0:row r="1681" ht="28" customHeight="1">
      <ns0:c r="A1681" s="29"/>
      <ns0:c r="B1681" s="30"/>
      <ns0:c r="C1681" s="28"/>
      <ns0:c r="D1681" s="29"/>
      <ns0:c r="E1681" s="31"/>
      <ns0:c r="F1681" s="32"/>
      <ns0:c r="G1681" s="29"/>
      <ns0:c r="H1681" s="29"/>
      <ns0:c r="I1681" s="29"/>
      <ns0:c r="J1681" s="29"/>
      <ns0:c r="K1681" s="29"/>
    </ns0:row>
    <ns0:row r="1682" ht="28" customHeight="1">
      <ns0:c r="A1682" s="29"/>
      <ns0:c r="B1682" s="30"/>
      <ns0:c r="C1682" s="28"/>
      <ns0:c r="D1682" s="29"/>
      <ns0:c r="E1682" s="31"/>
      <ns0:c r="F1682" s="32"/>
      <ns0:c r="G1682" s="29"/>
      <ns0:c r="H1682" s="29"/>
      <ns0:c r="I1682" s="29"/>
      <ns0:c r="J1682" s="29"/>
      <ns0:c r="K1682" s="29"/>
    </ns0:row>
    <ns0:row r="1683" ht="28" customHeight="1">
      <ns0:c r="A1683" s="29"/>
      <ns0:c r="B1683" s="30"/>
      <ns0:c r="C1683" s="28"/>
      <ns0:c r="D1683" s="29"/>
      <ns0:c r="E1683" s="31"/>
      <ns0:c r="F1683" s="32"/>
      <ns0:c r="G1683" s="29"/>
      <ns0:c r="H1683" s="29"/>
      <ns0:c r="I1683" s="29"/>
      <ns0:c r="J1683" s="29"/>
      <ns0:c r="K1683" s="29"/>
    </ns0:row>
    <ns0:row r="1684" ht="28" customHeight="1">
      <ns0:c r="A1684" s="29"/>
      <ns0:c r="B1684" s="30"/>
      <ns0:c r="C1684" s="28"/>
      <ns0:c r="D1684" s="29"/>
      <ns0:c r="E1684" s="31"/>
      <ns0:c r="F1684" s="32"/>
      <ns0:c r="G1684" s="29"/>
      <ns0:c r="H1684" s="29"/>
      <ns0:c r="I1684" s="29"/>
      <ns0:c r="J1684" s="29"/>
      <ns0:c r="K1684" s="29"/>
    </ns0:row>
    <ns0:row r="1685" ht="28" customHeight="1">
      <ns0:c r="A1685" s="29"/>
      <ns0:c r="B1685" s="30"/>
      <ns0:c r="C1685" s="28"/>
      <ns0:c r="D1685" s="29"/>
      <ns0:c r="E1685" s="31"/>
      <ns0:c r="F1685" s="32"/>
      <ns0:c r="G1685" s="29"/>
      <ns0:c r="H1685" s="29"/>
      <ns0:c r="I1685" s="29"/>
      <ns0:c r="J1685" s="29"/>
      <ns0:c r="K1685" s="29"/>
    </ns0:row>
    <ns0:row r="1686" ht="28" customHeight="1">
      <ns0:c r="A1686" s="29"/>
      <ns0:c r="B1686" s="30"/>
      <ns0:c r="C1686" s="28"/>
      <ns0:c r="D1686" s="29"/>
      <ns0:c r="E1686" s="31"/>
      <ns0:c r="F1686" s="32"/>
      <ns0:c r="G1686" s="29"/>
      <ns0:c r="H1686" s="29"/>
      <ns0:c r="I1686" s="29"/>
      <ns0:c r="J1686" s="29"/>
      <ns0:c r="K1686" s="29"/>
    </ns0:row>
    <ns0:row r="1687" ht="28" customHeight="1">
      <ns0:c r="A1687" s="29"/>
      <ns0:c r="B1687" s="30"/>
      <ns0:c r="C1687" s="28"/>
      <ns0:c r="D1687" s="29"/>
      <ns0:c r="E1687" s="31"/>
      <ns0:c r="F1687" s="32"/>
      <ns0:c r="G1687" s="29"/>
      <ns0:c r="H1687" s="29"/>
      <ns0:c r="I1687" s="29"/>
      <ns0:c r="J1687" s="29"/>
      <ns0:c r="K1687" s="29"/>
    </ns0:row>
    <ns0:row r="1688" ht="28" customHeight="1">
      <ns0:c r="A1688" s="29"/>
      <ns0:c r="B1688" s="30"/>
      <ns0:c r="C1688" s="28"/>
      <ns0:c r="D1688" s="29"/>
      <ns0:c r="E1688" s="31"/>
      <ns0:c r="F1688" s="32"/>
      <ns0:c r="G1688" s="29"/>
      <ns0:c r="H1688" s="29"/>
      <ns0:c r="I1688" s="29"/>
      <ns0:c r="J1688" s="29"/>
      <ns0:c r="K1688" s="29"/>
    </ns0:row>
    <ns0:row r="1689" ht="28" customHeight="1">
      <ns0:c r="A1689" s="29"/>
      <ns0:c r="B1689" s="30"/>
      <ns0:c r="C1689" s="28"/>
      <ns0:c r="D1689" s="29"/>
      <ns0:c r="E1689" s="31"/>
      <ns0:c r="F1689" s="32"/>
      <ns0:c r="G1689" s="29"/>
      <ns0:c r="H1689" s="29"/>
      <ns0:c r="I1689" s="29"/>
      <ns0:c r="J1689" s="29"/>
      <ns0:c r="K1689" s="29"/>
    </ns0:row>
    <ns0:row r="1690" ht="28" customHeight="1">
      <ns0:c r="A1690" s="29"/>
      <ns0:c r="B1690" s="30"/>
      <ns0:c r="C1690" s="28"/>
      <ns0:c r="D1690" s="29"/>
      <ns0:c r="E1690" s="31"/>
      <ns0:c r="F1690" s="32"/>
      <ns0:c r="G1690" s="29"/>
      <ns0:c r="H1690" s="29"/>
      <ns0:c r="I1690" s="29"/>
      <ns0:c r="J1690" s="29"/>
      <ns0:c r="K1690" s="29"/>
    </ns0:row>
    <ns0:row r="1691" ht="28" customHeight="1">
      <ns0:c r="A1691" s="29"/>
      <ns0:c r="B1691" s="30"/>
      <ns0:c r="C1691" s="28"/>
      <ns0:c r="D1691" s="29"/>
      <ns0:c r="E1691" s="31"/>
      <ns0:c r="F1691" s="32"/>
      <ns0:c r="G1691" s="29"/>
      <ns0:c r="H1691" s="29"/>
      <ns0:c r="I1691" s="29"/>
      <ns0:c r="J1691" s="29"/>
      <ns0:c r="K1691" s="29"/>
    </ns0:row>
    <ns0:row r="1692" ht="28" customHeight="1">
      <ns0:c r="A1692" s="29"/>
      <ns0:c r="B1692" s="30"/>
      <ns0:c r="C1692" s="28"/>
      <ns0:c r="D1692" s="29"/>
      <ns0:c r="E1692" s="31"/>
      <ns0:c r="F1692" s="32"/>
      <ns0:c r="G1692" s="29"/>
      <ns0:c r="H1692" s="29"/>
      <ns0:c r="I1692" s="29"/>
      <ns0:c r="J1692" s="29"/>
      <ns0:c r="K1692" s="29"/>
    </ns0:row>
    <ns0:row r="1693" ht="28" customHeight="1">
      <ns0:c r="A1693" s="29"/>
      <ns0:c r="B1693" s="30"/>
      <ns0:c r="C1693" s="28"/>
      <ns0:c r="D1693" s="29"/>
      <ns0:c r="E1693" s="31"/>
      <ns0:c r="F1693" s="32"/>
      <ns0:c r="G1693" s="29"/>
      <ns0:c r="H1693" s="29"/>
      <ns0:c r="I1693" s="29"/>
      <ns0:c r="J1693" s="29"/>
      <ns0:c r="K1693" s="29"/>
    </ns0:row>
    <ns0:row r="1694" ht="28" customHeight="1">
      <ns0:c r="A1694" s="29"/>
      <ns0:c r="B1694" s="30"/>
      <ns0:c r="C1694" s="28"/>
      <ns0:c r="D1694" s="29"/>
      <ns0:c r="E1694" s="31"/>
      <ns0:c r="F1694" s="32"/>
      <ns0:c r="G1694" s="29"/>
      <ns0:c r="H1694" s="29"/>
      <ns0:c r="I1694" s="29"/>
      <ns0:c r="J1694" s="29"/>
      <ns0:c r="K1694" s="29"/>
    </ns0:row>
    <ns0:row r="1695" ht="28" customHeight="1">
      <ns0:c r="A1695" s="29"/>
      <ns0:c r="B1695" s="30"/>
      <ns0:c r="C1695" s="28"/>
      <ns0:c r="D1695" s="29"/>
      <ns0:c r="E1695" s="31"/>
      <ns0:c r="F1695" s="32"/>
      <ns0:c r="G1695" s="29"/>
      <ns0:c r="H1695" s="29"/>
      <ns0:c r="I1695" s="29"/>
      <ns0:c r="J1695" s="29"/>
      <ns0:c r="K1695" s="29"/>
    </ns0:row>
    <ns0:row r="1696" ht="28" customHeight="1">
      <ns0:c r="A1696" s="29"/>
      <ns0:c r="B1696" s="30"/>
      <ns0:c r="C1696" s="28"/>
      <ns0:c r="D1696" s="29"/>
      <ns0:c r="E1696" s="31"/>
      <ns0:c r="F1696" s="32"/>
      <ns0:c r="G1696" s="29"/>
      <ns0:c r="H1696" s="29"/>
      <ns0:c r="I1696" s="29"/>
      <ns0:c r="J1696" s="29"/>
      <ns0:c r="K1696" s="29"/>
    </ns0:row>
    <ns0:row r="1697" ht="28" customHeight="1">
      <ns0:c r="A1697" s="29"/>
      <ns0:c r="B1697" s="30"/>
      <ns0:c r="C1697" s="28"/>
      <ns0:c r="D1697" s="29"/>
      <ns0:c r="E1697" s="31"/>
      <ns0:c r="F1697" s="32"/>
      <ns0:c r="G1697" s="29"/>
      <ns0:c r="H1697" s="29"/>
      <ns0:c r="I1697" s="29"/>
      <ns0:c r="J1697" s="29"/>
      <ns0:c r="K1697" s="29"/>
    </ns0:row>
    <ns0:row r="1698" ht="28" customHeight="1">
      <ns0:c r="A1698" s="29"/>
      <ns0:c r="B1698" s="30"/>
      <ns0:c r="C1698" s="28"/>
      <ns0:c r="D1698" s="29"/>
      <ns0:c r="E1698" s="31"/>
      <ns0:c r="F1698" s="32"/>
      <ns0:c r="G1698" s="29"/>
      <ns0:c r="H1698" s="29"/>
      <ns0:c r="I1698" s="29"/>
      <ns0:c r="J1698" s="29"/>
      <ns0:c r="K1698" s="29"/>
    </ns0:row>
    <ns0:row r="1699" ht="28" customHeight="1">
      <ns0:c r="A1699" s="29"/>
      <ns0:c r="B1699" s="30"/>
      <ns0:c r="C1699" s="28"/>
      <ns0:c r="D1699" s="29"/>
      <ns0:c r="E1699" s="31"/>
      <ns0:c r="F1699" s="32"/>
      <ns0:c r="G1699" s="29"/>
      <ns0:c r="H1699" s="29"/>
      <ns0:c r="I1699" s="29"/>
      <ns0:c r="J1699" s="29"/>
      <ns0:c r="K1699" s="29"/>
    </ns0:row>
    <ns0:row r="1700" ht="28" customHeight="1">
      <ns0:c r="A1700" s="29"/>
      <ns0:c r="B1700" s="30"/>
      <ns0:c r="C1700" s="28"/>
      <ns0:c r="D1700" s="29"/>
      <ns0:c r="E1700" s="31"/>
      <ns0:c r="F1700" s="32"/>
      <ns0:c r="G1700" s="29"/>
      <ns0:c r="H1700" s="29"/>
      <ns0:c r="I1700" s="29"/>
      <ns0:c r="J1700" s="29"/>
      <ns0:c r="K1700" s="29"/>
    </ns0:row>
    <ns0:row r="1701" ht="28" customHeight="1">
      <ns0:c r="A1701" s="29"/>
      <ns0:c r="B1701" s="30"/>
      <ns0:c r="C1701" s="28"/>
      <ns0:c r="D1701" s="29"/>
      <ns0:c r="E1701" s="31"/>
      <ns0:c r="F1701" s="32"/>
      <ns0:c r="G1701" s="29"/>
      <ns0:c r="H1701" s="29"/>
      <ns0:c r="I1701" s="29"/>
      <ns0:c r="J1701" s="29"/>
      <ns0:c r="K1701" s="29"/>
    </ns0:row>
    <ns0:row r="1702" ht="28" customHeight="1">
      <ns0:c r="A1702" s="29"/>
      <ns0:c r="B1702" s="30"/>
      <ns0:c r="C1702" s="28"/>
      <ns0:c r="D1702" s="29"/>
      <ns0:c r="E1702" s="31"/>
      <ns0:c r="F1702" s="32"/>
      <ns0:c r="G1702" s="29"/>
      <ns0:c r="H1702" s="29"/>
      <ns0:c r="I1702" s="29"/>
      <ns0:c r="J1702" s="29"/>
      <ns0:c r="K1702" s="29"/>
    </ns0:row>
    <ns0:row r="1703" ht="28" customHeight="1">
      <ns0:c r="A1703" s="29"/>
      <ns0:c r="B1703" s="30"/>
      <ns0:c r="C1703" s="28"/>
      <ns0:c r="D1703" s="29"/>
      <ns0:c r="E1703" s="31"/>
      <ns0:c r="F1703" s="32"/>
      <ns0:c r="G1703" s="29"/>
      <ns0:c r="H1703" s="29"/>
      <ns0:c r="I1703" s="29"/>
      <ns0:c r="J1703" s="29"/>
      <ns0:c r="K1703" s="29"/>
    </ns0:row>
    <ns0:row r="1704" ht="28" customHeight="1">
      <ns0:c r="A1704" s="29"/>
      <ns0:c r="B1704" s="30"/>
      <ns0:c r="C1704" s="28"/>
      <ns0:c r="D1704" s="29"/>
      <ns0:c r="E1704" s="31"/>
      <ns0:c r="F1704" s="32"/>
      <ns0:c r="G1704" s="29"/>
      <ns0:c r="H1704" s="29"/>
      <ns0:c r="I1704" s="29"/>
      <ns0:c r="J1704" s="29"/>
      <ns0:c r="K1704" s="29"/>
    </ns0:row>
    <ns0:row r="1705" ht="28" customHeight="1">
      <ns0:c r="A1705" s="29"/>
      <ns0:c r="B1705" s="30"/>
      <ns0:c r="C1705" s="28"/>
      <ns0:c r="D1705" s="29"/>
      <ns0:c r="E1705" s="31"/>
      <ns0:c r="F1705" s="32"/>
      <ns0:c r="G1705" s="29"/>
      <ns0:c r="H1705" s="29"/>
      <ns0:c r="I1705" s="29"/>
      <ns0:c r="J1705" s="29"/>
      <ns0:c r="K1705" s="29"/>
    </ns0:row>
    <ns0:row r="1706" ht="28" customHeight="1">
      <ns0:c r="A1706" s="29"/>
      <ns0:c r="B1706" s="30"/>
      <ns0:c r="C1706" s="28"/>
      <ns0:c r="D1706" s="29"/>
      <ns0:c r="E1706" s="31"/>
      <ns0:c r="F1706" s="32"/>
      <ns0:c r="G1706" s="29"/>
      <ns0:c r="H1706" s="29"/>
      <ns0:c r="I1706" s="29"/>
      <ns0:c r="J1706" s="29"/>
      <ns0:c r="K1706" s="29"/>
    </ns0:row>
    <ns0:row r="1707" ht="28" customHeight="1">
      <ns0:c r="A1707" s="29"/>
      <ns0:c r="B1707" s="30"/>
      <ns0:c r="C1707" s="28"/>
      <ns0:c r="D1707" s="29"/>
      <ns0:c r="E1707" s="31"/>
      <ns0:c r="F1707" s="32"/>
      <ns0:c r="G1707" s="29"/>
      <ns0:c r="H1707" s="29"/>
      <ns0:c r="I1707" s="29"/>
      <ns0:c r="J1707" s="29"/>
      <ns0:c r="K1707" s="29"/>
    </ns0:row>
    <ns0:row r="1708" ht="28" customHeight="1">
      <ns0:c r="A1708" s="29"/>
      <ns0:c r="B1708" s="30"/>
      <ns0:c r="C1708" s="28"/>
      <ns0:c r="D1708" s="29"/>
      <ns0:c r="E1708" s="31"/>
      <ns0:c r="F1708" s="32"/>
      <ns0:c r="G1708" s="29"/>
      <ns0:c r="H1708" s="29"/>
      <ns0:c r="I1708" s="29"/>
      <ns0:c r="J1708" s="29"/>
      <ns0:c r="K1708" s="29"/>
    </ns0:row>
    <ns0:row r="1709" ht="28" customHeight="1">
      <ns0:c r="A1709" s="29"/>
      <ns0:c r="B1709" s="30"/>
      <ns0:c r="C1709" s="28"/>
      <ns0:c r="D1709" s="29"/>
      <ns0:c r="E1709" s="31"/>
      <ns0:c r="F1709" s="32"/>
      <ns0:c r="G1709" s="29"/>
      <ns0:c r="H1709" s="29"/>
      <ns0:c r="I1709" s="29"/>
      <ns0:c r="J1709" s="29"/>
      <ns0:c r="K1709" s="29"/>
    </ns0:row>
    <ns0:row r="1710" ht="28" customHeight="1">
      <ns0:c r="A1710" s="29"/>
      <ns0:c r="B1710" s="30"/>
      <ns0:c r="C1710" s="28"/>
      <ns0:c r="D1710" s="29"/>
      <ns0:c r="E1710" s="31"/>
      <ns0:c r="F1710" s="32"/>
      <ns0:c r="G1710" s="29"/>
      <ns0:c r="H1710" s="29"/>
      <ns0:c r="I1710" s="29"/>
      <ns0:c r="J1710" s="29"/>
      <ns0:c r="K1710" s="29"/>
    </ns0:row>
    <ns0:row r="1711" ht="28" customHeight="1">
      <ns0:c r="A1711" s="29"/>
      <ns0:c r="B1711" s="30"/>
      <ns0:c r="C1711" s="28"/>
      <ns0:c r="D1711" s="29"/>
      <ns0:c r="E1711" s="31"/>
      <ns0:c r="F1711" s="32"/>
      <ns0:c r="G1711" s="29"/>
      <ns0:c r="H1711" s="29"/>
      <ns0:c r="I1711" s="29"/>
      <ns0:c r="J1711" s="29"/>
      <ns0:c r="K1711" s="29"/>
    </ns0:row>
    <ns0:row r="1712" ht="28" customHeight="1">
      <ns0:c r="A1712" s="29"/>
      <ns0:c r="B1712" s="30"/>
      <ns0:c r="C1712" s="28"/>
      <ns0:c r="D1712" s="29"/>
      <ns0:c r="E1712" s="31"/>
      <ns0:c r="F1712" s="32"/>
      <ns0:c r="G1712" s="29"/>
      <ns0:c r="H1712" s="29"/>
      <ns0:c r="I1712" s="29"/>
      <ns0:c r="J1712" s="29"/>
      <ns0:c r="K1712" s="29"/>
    </ns0:row>
    <ns0:row r="1713" ht="28" customHeight="1">
      <ns0:c r="A1713" s="29"/>
      <ns0:c r="B1713" s="30"/>
      <ns0:c r="C1713" s="28"/>
      <ns0:c r="D1713" s="29"/>
      <ns0:c r="E1713" s="31"/>
      <ns0:c r="F1713" s="32"/>
      <ns0:c r="G1713" s="29"/>
      <ns0:c r="H1713" s="29"/>
      <ns0:c r="I1713" s="29"/>
      <ns0:c r="J1713" s="29"/>
      <ns0:c r="K1713" s="29"/>
    </ns0:row>
    <ns0:row r="1714" ht="28" customHeight="1">
      <ns0:c r="A1714" s="29"/>
      <ns0:c r="B1714" s="30"/>
      <ns0:c r="C1714" s="28"/>
      <ns0:c r="D1714" s="29"/>
      <ns0:c r="E1714" s="31"/>
      <ns0:c r="F1714" s="32"/>
      <ns0:c r="G1714" s="29"/>
      <ns0:c r="H1714" s="29"/>
      <ns0:c r="I1714" s="29"/>
      <ns0:c r="J1714" s="29"/>
      <ns0:c r="K1714" s="29"/>
    </ns0:row>
    <ns0:row r="1715" ht="28" customHeight="1">
      <ns0:c r="A1715" s="29"/>
      <ns0:c r="B1715" s="30"/>
      <ns0:c r="C1715" s="28"/>
      <ns0:c r="D1715" s="29"/>
      <ns0:c r="E1715" s="31"/>
      <ns0:c r="F1715" s="32"/>
      <ns0:c r="G1715" s="29"/>
      <ns0:c r="H1715" s="29"/>
      <ns0:c r="I1715" s="29"/>
      <ns0:c r="J1715" s="29"/>
      <ns0:c r="K1715" s="29"/>
    </ns0:row>
    <ns0:row r="1716" ht="28" customHeight="1">
      <ns0:c r="A1716" s="29"/>
      <ns0:c r="B1716" s="30"/>
      <ns0:c r="C1716" s="28"/>
      <ns0:c r="D1716" s="29"/>
      <ns0:c r="E1716" s="31"/>
      <ns0:c r="F1716" s="32"/>
      <ns0:c r="G1716" s="29"/>
      <ns0:c r="H1716" s="29"/>
      <ns0:c r="I1716" s="29"/>
      <ns0:c r="J1716" s="29"/>
      <ns0:c r="K1716" s="29"/>
    </ns0:row>
    <ns0:row r="1717" ht="28" customHeight="1">
      <ns0:c r="A1717" s="29"/>
      <ns0:c r="B1717" s="30"/>
      <ns0:c r="C1717" s="28"/>
      <ns0:c r="D1717" s="29"/>
      <ns0:c r="E1717" s="31"/>
      <ns0:c r="F1717" s="32"/>
      <ns0:c r="G1717" s="29"/>
      <ns0:c r="H1717" s="29"/>
      <ns0:c r="I1717" s="29"/>
      <ns0:c r="J1717" s="29"/>
      <ns0:c r="K1717" s="29"/>
    </ns0:row>
    <ns0:row r="1718" ht="28" customHeight="1">
      <ns0:c r="A1718" s="29"/>
      <ns0:c r="B1718" s="30"/>
      <ns0:c r="C1718" s="28"/>
      <ns0:c r="D1718" s="29"/>
      <ns0:c r="E1718" s="31"/>
      <ns0:c r="F1718" s="32"/>
      <ns0:c r="G1718" s="29"/>
      <ns0:c r="H1718" s="29"/>
      <ns0:c r="I1718" s="29"/>
      <ns0:c r="J1718" s="29"/>
      <ns0:c r="K1718" s="29"/>
    </ns0:row>
    <ns0:row r="1719" ht="28" customHeight="1">
      <ns0:c r="A1719" s="29"/>
      <ns0:c r="B1719" s="30"/>
      <ns0:c r="C1719" s="28"/>
      <ns0:c r="D1719" s="29"/>
      <ns0:c r="E1719" s="31"/>
      <ns0:c r="F1719" s="32"/>
      <ns0:c r="G1719" s="29"/>
      <ns0:c r="H1719" s="29"/>
      <ns0:c r="I1719" s="29"/>
      <ns0:c r="J1719" s="29"/>
      <ns0:c r="K1719" s="29"/>
    </ns0:row>
    <ns0:row r="1720" ht="28" customHeight="1">
      <ns0:c r="A1720" s="29"/>
      <ns0:c r="B1720" s="30"/>
      <ns0:c r="C1720" s="28"/>
      <ns0:c r="D1720" s="29"/>
      <ns0:c r="E1720" s="31"/>
      <ns0:c r="F1720" s="32"/>
      <ns0:c r="G1720" s="29"/>
      <ns0:c r="H1720" s="29"/>
      <ns0:c r="I1720" s="29"/>
      <ns0:c r="J1720" s="29"/>
      <ns0:c r="K1720" s="29"/>
    </ns0:row>
    <ns0:row r="1721" ht="28" customHeight="1">
      <ns0:c r="A1721" s="29"/>
      <ns0:c r="B1721" s="30"/>
      <ns0:c r="C1721" s="28"/>
      <ns0:c r="D1721" s="29"/>
      <ns0:c r="E1721" s="31"/>
      <ns0:c r="F1721" s="32"/>
      <ns0:c r="G1721" s="29"/>
      <ns0:c r="H1721" s="29"/>
      <ns0:c r="I1721" s="29"/>
      <ns0:c r="J1721" s="29"/>
      <ns0:c r="K1721" s="29"/>
    </ns0:row>
    <ns0:row r="1722" ht="28" customHeight="1">
      <ns0:c r="A1722" s="29"/>
      <ns0:c r="B1722" s="30"/>
      <ns0:c r="C1722" s="28"/>
      <ns0:c r="D1722" s="29"/>
      <ns0:c r="E1722" s="31"/>
      <ns0:c r="F1722" s="32"/>
      <ns0:c r="G1722" s="29"/>
      <ns0:c r="H1722" s="29"/>
      <ns0:c r="I1722" s="29"/>
      <ns0:c r="J1722" s="29"/>
      <ns0:c r="K1722" s="29"/>
    </ns0:row>
    <ns0:row r="1723" ht="28" customHeight="1">
      <ns0:c r="A1723" s="29"/>
      <ns0:c r="B1723" s="30"/>
      <ns0:c r="C1723" s="28"/>
      <ns0:c r="D1723" s="29"/>
      <ns0:c r="E1723" s="31"/>
      <ns0:c r="F1723" s="32"/>
      <ns0:c r="G1723" s="29"/>
      <ns0:c r="H1723" s="29"/>
      <ns0:c r="I1723" s="29"/>
      <ns0:c r="J1723" s="29"/>
      <ns0:c r="K1723" s="29"/>
    </ns0:row>
    <ns0:row r="1724" ht="28" customHeight="1">
      <ns0:c r="A1724" s="29"/>
      <ns0:c r="B1724" s="30"/>
      <ns0:c r="C1724" s="28"/>
      <ns0:c r="D1724" s="29"/>
      <ns0:c r="E1724" s="31"/>
      <ns0:c r="F1724" s="32"/>
      <ns0:c r="G1724" s="29"/>
      <ns0:c r="H1724" s="29"/>
      <ns0:c r="I1724" s="29"/>
      <ns0:c r="J1724" s="29"/>
      <ns0:c r="K1724" s="29"/>
    </ns0:row>
    <ns0:row r="1725" ht="28" customHeight="1">
      <ns0:c r="A1725" s="29"/>
      <ns0:c r="B1725" s="30"/>
      <ns0:c r="C1725" s="28"/>
      <ns0:c r="D1725" s="29"/>
      <ns0:c r="E1725" s="31"/>
      <ns0:c r="F1725" s="32"/>
      <ns0:c r="G1725" s="29"/>
      <ns0:c r="H1725" s="29"/>
      <ns0:c r="I1725" s="29"/>
      <ns0:c r="J1725" s="29"/>
      <ns0:c r="K1725" s="29"/>
    </ns0:row>
    <ns0:row r="1726" ht="28" customHeight="1">
      <ns0:c r="A1726" s="29"/>
      <ns0:c r="B1726" s="30"/>
      <ns0:c r="C1726" s="28"/>
      <ns0:c r="D1726" s="29"/>
      <ns0:c r="E1726" s="31"/>
      <ns0:c r="F1726" s="32"/>
      <ns0:c r="G1726" s="29"/>
      <ns0:c r="H1726" s="29"/>
      <ns0:c r="I1726" s="29"/>
      <ns0:c r="J1726" s="29"/>
      <ns0:c r="K1726" s="29"/>
    </ns0:row>
    <ns0:row r="1727" ht="28" customHeight="1">
      <ns0:c r="A1727" s="29"/>
      <ns0:c r="B1727" s="30"/>
      <ns0:c r="C1727" s="28"/>
      <ns0:c r="D1727" s="29"/>
      <ns0:c r="E1727" s="31"/>
      <ns0:c r="F1727" s="32"/>
      <ns0:c r="G1727" s="29"/>
      <ns0:c r="H1727" s="29"/>
      <ns0:c r="I1727" s="29"/>
      <ns0:c r="J1727" s="29"/>
      <ns0:c r="K1727" s="29"/>
    </ns0:row>
    <ns0:row r="1728" ht="28" customHeight="1">
      <ns0:c r="A1728" s="29"/>
      <ns0:c r="B1728" s="30"/>
      <ns0:c r="C1728" s="28"/>
      <ns0:c r="D1728" s="29"/>
      <ns0:c r="E1728" s="31"/>
      <ns0:c r="F1728" s="32"/>
      <ns0:c r="G1728" s="29"/>
      <ns0:c r="H1728" s="29"/>
      <ns0:c r="I1728" s="29"/>
      <ns0:c r="J1728" s="29"/>
      <ns0:c r="K1728" s="29"/>
    </ns0:row>
    <ns0:row r="1729" ht="28" customHeight="1">
      <ns0:c r="A1729" s="29"/>
      <ns0:c r="B1729" s="30"/>
      <ns0:c r="C1729" s="28"/>
      <ns0:c r="D1729" s="29"/>
      <ns0:c r="E1729" s="31"/>
      <ns0:c r="F1729" s="32"/>
      <ns0:c r="G1729" s="29"/>
      <ns0:c r="H1729" s="29"/>
      <ns0:c r="I1729" s="29"/>
      <ns0:c r="J1729" s="29"/>
      <ns0:c r="K1729" s="29"/>
    </ns0:row>
    <ns0:row r="1730" ht="28" customHeight="1">
      <ns0:c r="A1730" s="29"/>
      <ns0:c r="B1730" s="30"/>
      <ns0:c r="C1730" s="28"/>
      <ns0:c r="D1730" s="29"/>
      <ns0:c r="E1730" s="31"/>
      <ns0:c r="F1730" s="32"/>
      <ns0:c r="G1730" s="29"/>
      <ns0:c r="H1730" s="29"/>
      <ns0:c r="I1730" s="29"/>
      <ns0:c r="J1730" s="29"/>
      <ns0:c r="K1730" s="29"/>
    </ns0:row>
    <ns0:row r="1731" ht="28" customHeight="1">
      <ns0:c r="A1731" s="29"/>
      <ns0:c r="B1731" s="30"/>
      <ns0:c r="C1731" s="28"/>
      <ns0:c r="D1731" s="29"/>
      <ns0:c r="E1731" s="31"/>
      <ns0:c r="F1731" s="32"/>
      <ns0:c r="G1731" s="29"/>
      <ns0:c r="H1731" s="29"/>
      <ns0:c r="I1731" s="29"/>
      <ns0:c r="J1731" s="29"/>
      <ns0:c r="K1731" s="29"/>
    </ns0:row>
    <ns0:row r="1732" ht="28" customHeight="1">
      <ns0:c r="A1732" s="29"/>
      <ns0:c r="B1732" s="30"/>
      <ns0:c r="C1732" s="28"/>
      <ns0:c r="D1732" s="29"/>
      <ns0:c r="E1732" s="31"/>
      <ns0:c r="F1732" s="32"/>
      <ns0:c r="G1732" s="29"/>
      <ns0:c r="H1732" s="29"/>
      <ns0:c r="I1732" s="29"/>
      <ns0:c r="J1732" s="29"/>
      <ns0:c r="K1732" s="29"/>
    </ns0:row>
    <ns0:row r="1733" ht="28" customHeight="1">
      <ns0:c r="A1733" s="29"/>
      <ns0:c r="B1733" s="30"/>
      <ns0:c r="C1733" s="28"/>
      <ns0:c r="D1733" s="29"/>
      <ns0:c r="E1733" s="31"/>
      <ns0:c r="F1733" s="32"/>
      <ns0:c r="G1733" s="29"/>
      <ns0:c r="H1733" s="29"/>
      <ns0:c r="I1733" s="29"/>
      <ns0:c r="J1733" s="29"/>
      <ns0:c r="K1733" s="29"/>
    </ns0:row>
    <ns0:row r="1734" ht="28" customHeight="1">
      <ns0:c r="A1734" s="29"/>
      <ns0:c r="B1734" s="30"/>
      <ns0:c r="C1734" s="28"/>
      <ns0:c r="D1734" s="29"/>
      <ns0:c r="E1734" s="31"/>
      <ns0:c r="F1734" s="32"/>
      <ns0:c r="G1734" s="29"/>
      <ns0:c r="H1734" s="29"/>
      <ns0:c r="I1734" s="29"/>
      <ns0:c r="J1734" s="29"/>
      <ns0:c r="K1734" s="29"/>
    </ns0:row>
    <ns0:row r="1735" ht="28" customHeight="1">
      <ns0:c r="A1735" s="29"/>
      <ns0:c r="B1735" s="30"/>
      <ns0:c r="C1735" s="28"/>
      <ns0:c r="D1735" s="29"/>
      <ns0:c r="E1735" s="31"/>
      <ns0:c r="F1735" s="32"/>
      <ns0:c r="G1735" s="29"/>
      <ns0:c r="H1735" s="29"/>
      <ns0:c r="I1735" s="29"/>
      <ns0:c r="J1735" s="29"/>
      <ns0:c r="K1735" s="29"/>
    </ns0:row>
    <ns0:row r="1736" ht="28" customHeight="1">
      <ns0:c r="A1736" s="29"/>
      <ns0:c r="B1736" s="30"/>
      <ns0:c r="C1736" s="28"/>
      <ns0:c r="D1736" s="29"/>
      <ns0:c r="E1736" s="31"/>
      <ns0:c r="F1736" s="32"/>
      <ns0:c r="G1736" s="29"/>
      <ns0:c r="H1736" s="29"/>
      <ns0:c r="I1736" s="29"/>
      <ns0:c r="J1736" s="29"/>
      <ns0:c r="K1736" s="29"/>
    </ns0:row>
    <ns0:row r="1737" ht="28" customHeight="1">
      <ns0:c r="A1737" s="29"/>
      <ns0:c r="B1737" s="30"/>
      <ns0:c r="C1737" s="28"/>
      <ns0:c r="D1737" s="29"/>
      <ns0:c r="E1737" s="31"/>
      <ns0:c r="F1737" s="32"/>
      <ns0:c r="G1737" s="29"/>
      <ns0:c r="H1737" s="29"/>
      <ns0:c r="I1737" s="29"/>
      <ns0:c r="J1737" s="29"/>
      <ns0:c r="K1737" s="29"/>
    </ns0:row>
    <ns0:row r="1738" ht="28" customHeight="1">
      <ns0:c r="A1738" s="29"/>
      <ns0:c r="B1738" s="30"/>
      <ns0:c r="C1738" s="28"/>
      <ns0:c r="D1738" s="29"/>
      <ns0:c r="E1738" s="31"/>
      <ns0:c r="F1738" s="32"/>
      <ns0:c r="G1738" s="29"/>
      <ns0:c r="H1738" s="29"/>
      <ns0:c r="I1738" s="29"/>
      <ns0:c r="J1738" s="29"/>
      <ns0:c r="K1738" s="29"/>
    </ns0:row>
    <ns0:row r="1739" ht="28" customHeight="1">
      <ns0:c r="A1739" s="29"/>
      <ns0:c r="B1739" s="30"/>
      <ns0:c r="C1739" s="28"/>
      <ns0:c r="D1739" s="29"/>
      <ns0:c r="E1739" s="31"/>
      <ns0:c r="F1739" s="32"/>
      <ns0:c r="G1739" s="29"/>
      <ns0:c r="H1739" s="29"/>
      <ns0:c r="I1739" s="29"/>
      <ns0:c r="J1739" s="29"/>
      <ns0:c r="K1739" s="29"/>
    </ns0:row>
    <ns0:row r="1740" ht="28" customHeight="1">
      <ns0:c r="A1740" s="29"/>
      <ns0:c r="B1740" s="30"/>
      <ns0:c r="C1740" s="28"/>
      <ns0:c r="D1740" s="29"/>
      <ns0:c r="E1740" s="31"/>
      <ns0:c r="F1740" s="32"/>
      <ns0:c r="G1740" s="29"/>
      <ns0:c r="H1740" s="29"/>
      <ns0:c r="I1740" s="29"/>
      <ns0:c r="J1740" s="29"/>
      <ns0:c r="K1740" s="29"/>
    </ns0:row>
    <ns0:row r="1741" ht="28" customHeight="1">
      <ns0:c r="A1741" s="29"/>
      <ns0:c r="B1741" s="30"/>
      <ns0:c r="C1741" s="28"/>
      <ns0:c r="D1741" s="29"/>
      <ns0:c r="E1741" s="31"/>
      <ns0:c r="F1741" s="32"/>
      <ns0:c r="G1741" s="29"/>
      <ns0:c r="H1741" s="29"/>
      <ns0:c r="I1741" s="29"/>
      <ns0:c r="J1741" s="29"/>
      <ns0:c r="K1741" s="29"/>
    </ns0:row>
    <ns0:row r="1742" ht="28" customHeight="1">
      <ns0:c r="A1742" s="29"/>
      <ns0:c r="B1742" s="30"/>
      <ns0:c r="C1742" s="28"/>
      <ns0:c r="D1742" s="29"/>
      <ns0:c r="E1742" s="31"/>
      <ns0:c r="F1742" s="32"/>
      <ns0:c r="G1742" s="29"/>
      <ns0:c r="H1742" s="29"/>
      <ns0:c r="I1742" s="29"/>
      <ns0:c r="J1742" s="29"/>
      <ns0:c r="K1742" s="29"/>
    </ns0:row>
    <ns0:row r="1743" ht="28" customHeight="1">
      <ns0:c r="A1743" s="29"/>
      <ns0:c r="B1743" s="30"/>
      <ns0:c r="C1743" s="28"/>
      <ns0:c r="D1743" s="29"/>
      <ns0:c r="E1743" s="31"/>
      <ns0:c r="F1743" s="32"/>
      <ns0:c r="G1743" s="29"/>
      <ns0:c r="H1743" s="29"/>
      <ns0:c r="I1743" s="29"/>
      <ns0:c r="J1743" s="29"/>
      <ns0:c r="K1743" s="29"/>
    </ns0:row>
    <ns0:row r="1744" ht="28" customHeight="1">
      <ns0:c r="A1744" s="29"/>
      <ns0:c r="B1744" s="30"/>
      <ns0:c r="C1744" s="28"/>
      <ns0:c r="D1744" s="29"/>
      <ns0:c r="E1744" s="31"/>
      <ns0:c r="F1744" s="32"/>
      <ns0:c r="G1744" s="29"/>
      <ns0:c r="H1744" s="29"/>
      <ns0:c r="I1744" s="29"/>
      <ns0:c r="J1744" s="29"/>
      <ns0:c r="K1744" s="29"/>
    </ns0:row>
    <ns0:row r="1745" ht="28" customHeight="1">
      <ns0:c r="A1745" s="29"/>
      <ns0:c r="B1745" s="30"/>
      <ns0:c r="C1745" s="28"/>
      <ns0:c r="D1745" s="29"/>
      <ns0:c r="E1745" s="31"/>
      <ns0:c r="F1745" s="32"/>
      <ns0:c r="G1745" s="29"/>
      <ns0:c r="H1745" s="29"/>
      <ns0:c r="I1745" s="29"/>
      <ns0:c r="J1745" s="29"/>
      <ns0:c r="K1745" s="29"/>
    </ns0:row>
    <ns0:row r="1746" ht="28" customHeight="1">
      <ns0:c r="A1746" s="29"/>
      <ns0:c r="B1746" s="30"/>
      <ns0:c r="C1746" s="28"/>
      <ns0:c r="D1746" s="29"/>
      <ns0:c r="E1746" s="31"/>
      <ns0:c r="F1746" s="32"/>
      <ns0:c r="G1746" s="29"/>
      <ns0:c r="H1746" s="29"/>
      <ns0:c r="I1746" s="29"/>
      <ns0:c r="J1746" s="29"/>
      <ns0:c r="K1746" s="29"/>
    </ns0:row>
    <ns0:row r="1747" ht="28" customHeight="1">
      <ns0:c r="A1747" s="29"/>
      <ns0:c r="B1747" s="30"/>
      <ns0:c r="C1747" s="28"/>
      <ns0:c r="D1747" s="29"/>
      <ns0:c r="E1747" s="31"/>
      <ns0:c r="F1747" s="32"/>
      <ns0:c r="G1747" s="29"/>
      <ns0:c r="H1747" s="29"/>
      <ns0:c r="I1747" s="29"/>
      <ns0:c r="J1747" s="29"/>
      <ns0:c r="K1747" s="29"/>
    </ns0:row>
    <ns0:row r="1748" ht="28" customHeight="1">
      <ns0:c r="A1748" s="29"/>
      <ns0:c r="B1748" s="30"/>
      <ns0:c r="C1748" s="28"/>
      <ns0:c r="D1748" s="29"/>
      <ns0:c r="E1748" s="31"/>
      <ns0:c r="F1748" s="32"/>
      <ns0:c r="G1748" s="29"/>
      <ns0:c r="H1748" s="29"/>
      <ns0:c r="I1748" s="29"/>
      <ns0:c r="J1748" s="29"/>
      <ns0:c r="K1748" s="29"/>
    </ns0:row>
    <ns0:row r="1749" ht="28" customHeight="1">
      <ns0:c r="A1749" s="29"/>
      <ns0:c r="B1749" s="30"/>
      <ns0:c r="C1749" s="28"/>
      <ns0:c r="D1749" s="29"/>
      <ns0:c r="E1749" s="31"/>
      <ns0:c r="F1749" s="32"/>
      <ns0:c r="G1749" s="29"/>
      <ns0:c r="H1749" s="29"/>
      <ns0:c r="I1749" s="29"/>
      <ns0:c r="J1749" s="29"/>
      <ns0:c r="K1749" s="29"/>
    </ns0:row>
    <ns0:row r="1750" ht="28" customHeight="1">
      <ns0:c r="A1750" s="29"/>
      <ns0:c r="B1750" s="30"/>
      <ns0:c r="C1750" s="28"/>
      <ns0:c r="D1750" s="29"/>
      <ns0:c r="E1750" s="31"/>
      <ns0:c r="F1750" s="32"/>
      <ns0:c r="G1750" s="29"/>
      <ns0:c r="H1750" s="29"/>
      <ns0:c r="I1750" s="29"/>
      <ns0:c r="J1750" s="29"/>
      <ns0:c r="K1750" s="29"/>
    </ns0:row>
    <ns0:row r="1751" ht="28" customHeight="1">
      <ns0:c r="A1751" s="29"/>
      <ns0:c r="B1751" s="30"/>
      <ns0:c r="C1751" s="28"/>
      <ns0:c r="D1751" s="29"/>
      <ns0:c r="E1751" s="31"/>
      <ns0:c r="F1751" s="32"/>
      <ns0:c r="G1751" s="29"/>
      <ns0:c r="H1751" s="29"/>
      <ns0:c r="I1751" s="29"/>
      <ns0:c r="J1751" s="29"/>
      <ns0:c r="K1751" s="29"/>
    </ns0:row>
    <ns0:row r="1752" ht="28" customHeight="1">
      <ns0:c r="A1752" s="29"/>
      <ns0:c r="B1752" s="30"/>
      <ns0:c r="C1752" s="28"/>
      <ns0:c r="D1752" s="29"/>
      <ns0:c r="E1752" s="31"/>
      <ns0:c r="F1752" s="32"/>
      <ns0:c r="G1752" s="29"/>
      <ns0:c r="H1752" s="29"/>
      <ns0:c r="I1752" s="29"/>
      <ns0:c r="J1752" s="29"/>
      <ns0:c r="K1752" s="29"/>
    </ns0:row>
    <ns0:row r="1753" ht="28" customHeight="1">
      <ns0:c r="A1753" s="29"/>
      <ns0:c r="B1753" s="30"/>
      <ns0:c r="C1753" s="28"/>
      <ns0:c r="D1753" s="29"/>
      <ns0:c r="E1753" s="31"/>
      <ns0:c r="F1753" s="32"/>
      <ns0:c r="G1753" s="29"/>
      <ns0:c r="H1753" s="29"/>
      <ns0:c r="I1753" s="29"/>
      <ns0:c r="J1753" s="29"/>
      <ns0:c r="K1753" s="29"/>
    </ns0:row>
    <ns0:row r="1754" ht="28" customHeight="1">
      <ns0:c r="A1754" s="29"/>
      <ns0:c r="B1754" s="30"/>
      <ns0:c r="C1754" s="28"/>
      <ns0:c r="D1754" s="29"/>
      <ns0:c r="E1754" s="31"/>
      <ns0:c r="F1754" s="32"/>
      <ns0:c r="G1754" s="29"/>
      <ns0:c r="H1754" s="29"/>
      <ns0:c r="I1754" s="29"/>
      <ns0:c r="J1754" s="29"/>
      <ns0:c r="K1754" s="29"/>
    </ns0:row>
    <ns0:row r="1755" ht="28" customHeight="1">
      <ns0:c r="A1755" s="29"/>
      <ns0:c r="B1755" s="30"/>
      <ns0:c r="C1755" s="28"/>
      <ns0:c r="D1755" s="29"/>
      <ns0:c r="E1755" s="31"/>
      <ns0:c r="F1755" s="32"/>
      <ns0:c r="G1755" s="29"/>
      <ns0:c r="H1755" s="29"/>
      <ns0:c r="I1755" s="29"/>
      <ns0:c r="J1755" s="29"/>
      <ns0:c r="K1755" s="29"/>
    </ns0:row>
    <ns0:row r="1756" ht="28" customHeight="1">
      <ns0:c r="A1756" s="29"/>
      <ns0:c r="B1756" s="30"/>
      <ns0:c r="C1756" s="28"/>
      <ns0:c r="D1756" s="29"/>
      <ns0:c r="E1756" s="31"/>
      <ns0:c r="F1756" s="32"/>
      <ns0:c r="G1756" s="29"/>
      <ns0:c r="H1756" s="29"/>
      <ns0:c r="I1756" s="29"/>
      <ns0:c r="J1756" s="29"/>
      <ns0:c r="K1756" s="29"/>
    </ns0:row>
    <ns0:row r="1757" ht="28" customHeight="1">
      <ns0:c r="A1757" s="29"/>
      <ns0:c r="B1757" s="30"/>
      <ns0:c r="C1757" s="28"/>
      <ns0:c r="D1757" s="29"/>
      <ns0:c r="E1757" s="31"/>
      <ns0:c r="F1757" s="32"/>
      <ns0:c r="G1757" s="29"/>
      <ns0:c r="H1757" s="29"/>
      <ns0:c r="I1757" s="29"/>
      <ns0:c r="J1757" s="29"/>
      <ns0:c r="K1757" s="29"/>
    </ns0:row>
    <ns0:row r="1758" ht="28" customHeight="1">
      <ns0:c r="A1758" s="29"/>
      <ns0:c r="B1758" s="30"/>
      <ns0:c r="C1758" s="28"/>
      <ns0:c r="D1758" s="29"/>
      <ns0:c r="E1758" s="31"/>
      <ns0:c r="F1758" s="32"/>
      <ns0:c r="G1758" s="29"/>
      <ns0:c r="H1758" s="29"/>
      <ns0:c r="I1758" s="29"/>
      <ns0:c r="J1758" s="29"/>
      <ns0:c r="K1758" s="29"/>
    </ns0:row>
    <ns0:row r="1759" ht="28" customHeight="1">
      <ns0:c r="A1759" s="29"/>
      <ns0:c r="B1759" s="30"/>
      <ns0:c r="C1759" s="28"/>
      <ns0:c r="D1759" s="29"/>
      <ns0:c r="E1759" s="31"/>
      <ns0:c r="F1759" s="32"/>
      <ns0:c r="G1759" s="29"/>
      <ns0:c r="H1759" s="29"/>
      <ns0:c r="I1759" s="29"/>
      <ns0:c r="J1759" s="29"/>
      <ns0:c r="K1759" s="29"/>
    </ns0:row>
    <ns0:row r="1760" ht="28" customHeight="1">
      <ns0:c r="A1760" s="29"/>
      <ns0:c r="B1760" s="30"/>
      <ns0:c r="C1760" s="28"/>
      <ns0:c r="D1760" s="29"/>
      <ns0:c r="E1760" s="31"/>
      <ns0:c r="F1760" s="32"/>
      <ns0:c r="G1760" s="29"/>
      <ns0:c r="H1760" s="29"/>
      <ns0:c r="I1760" s="29"/>
      <ns0:c r="J1760" s="29"/>
      <ns0:c r="K1760" s="29"/>
    </ns0:row>
    <ns0:row r="1761" ht="28" customHeight="1">
      <ns0:c r="A1761" s="29"/>
      <ns0:c r="B1761" s="30"/>
      <ns0:c r="C1761" s="28"/>
      <ns0:c r="D1761" s="29"/>
      <ns0:c r="E1761" s="31"/>
      <ns0:c r="F1761" s="32"/>
      <ns0:c r="G1761" s="29"/>
      <ns0:c r="H1761" s="29"/>
      <ns0:c r="I1761" s="29"/>
      <ns0:c r="J1761" s="29"/>
      <ns0:c r="K1761" s="29"/>
    </ns0:row>
    <ns0:row r="1762" ht="28" customHeight="1">
      <ns0:c r="A1762" s="29"/>
      <ns0:c r="B1762" s="30"/>
      <ns0:c r="C1762" s="28"/>
      <ns0:c r="D1762" s="29"/>
      <ns0:c r="E1762" s="31"/>
      <ns0:c r="F1762" s="32"/>
      <ns0:c r="G1762" s="29"/>
      <ns0:c r="H1762" s="29"/>
      <ns0:c r="I1762" s="29"/>
      <ns0:c r="J1762" s="29"/>
      <ns0:c r="K1762" s="29"/>
    </ns0:row>
    <ns0:row r="1763" ht="28" customHeight="1">
      <ns0:c r="A1763" s="29"/>
      <ns0:c r="B1763" s="30"/>
      <ns0:c r="C1763" s="28"/>
      <ns0:c r="D1763" s="29"/>
      <ns0:c r="E1763" s="31"/>
      <ns0:c r="F1763" s="32"/>
      <ns0:c r="G1763" s="29"/>
      <ns0:c r="H1763" s="29"/>
      <ns0:c r="I1763" s="29"/>
      <ns0:c r="J1763" s="29"/>
      <ns0:c r="K1763" s="29"/>
    </ns0:row>
    <ns0:row r="1764" ht="28" customHeight="1">
      <ns0:c r="A1764" s="29"/>
      <ns0:c r="B1764" s="30"/>
      <ns0:c r="C1764" s="28"/>
      <ns0:c r="D1764" s="29"/>
      <ns0:c r="E1764" s="31"/>
      <ns0:c r="F1764" s="32"/>
      <ns0:c r="G1764" s="29"/>
      <ns0:c r="H1764" s="29"/>
      <ns0:c r="I1764" s="29"/>
      <ns0:c r="J1764" s="29"/>
      <ns0:c r="K1764" s="29"/>
    </ns0:row>
    <ns0:row r="1765" ht="28" customHeight="1">
      <ns0:c r="A1765" s="29"/>
      <ns0:c r="B1765" s="30"/>
      <ns0:c r="C1765" s="28"/>
      <ns0:c r="D1765" s="29"/>
      <ns0:c r="E1765" s="31"/>
      <ns0:c r="F1765" s="32"/>
      <ns0:c r="G1765" s="29"/>
      <ns0:c r="H1765" s="29"/>
      <ns0:c r="I1765" s="29"/>
      <ns0:c r="J1765" s="29"/>
      <ns0:c r="K1765" s="29"/>
    </ns0:row>
    <ns0:row r="1766" ht="28" customHeight="1">
      <ns0:c r="A1766" s="29"/>
      <ns0:c r="B1766" s="30"/>
      <ns0:c r="C1766" s="28"/>
      <ns0:c r="D1766" s="29"/>
      <ns0:c r="E1766" s="31"/>
      <ns0:c r="F1766" s="32"/>
      <ns0:c r="G1766" s="29"/>
      <ns0:c r="H1766" s="29"/>
      <ns0:c r="I1766" s="29"/>
      <ns0:c r="J1766" s="29"/>
      <ns0:c r="K1766" s="29"/>
    </ns0:row>
    <ns0:row r="1767" ht="28" customHeight="1">
      <ns0:c r="A1767" s="29"/>
      <ns0:c r="B1767" s="30"/>
      <ns0:c r="C1767" s="28"/>
      <ns0:c r="D1767" s="29"/>
      <ns0:c r="E1767" s="31"/>
      <ns0:c r="F1767" s="32"/>
      <ns0:c r="G1767" s="29"/>
      <ns0:c r="H1767" s="29"/>
      <ns0:c r="I1767" s="29"/>
      <ns0:c r="J1767" s="29"/>
      <ns0:c r="K1767" s="29"/>
    </ns0:row>
    <ns0:row r="1768" ht="28" customHeight="1">
      <ns0:c r="A1768" s="29"/>
      <ns0:c r="B1768" s="30"/>
      <ns0:c r="C1768" s="28"/>
      <ns0:c r="D1768" s="29"/>
      <ns0:c r="E1768" s="31"/>
      <ns0:c r="F1768" s="32"/>
      <ns0:c r="G1768" s="29"/>
      <ns0:c r="H1768" s="29"/>
      <ns0:c r="I1768" s="29"/>
      <ns0:c r="J1768" s="29"/>
      <ns0:c r="K1768" s="29"/>
    </ns0:row>
    <ns0:row r="1769" ht="28" customHeight="1">
      <ns0:c r="A1769" s="29"/>
      <ns0:c r="B1769" s="30"/>
      <ns0:c r="C1769" s="28"/>
      <ns0:c r="D1769" s="29"/>
      <ns0:c r="E1769" s="31"/>
      <ns0:c r="F1769" s="32"/>
      <ns0:c r="G1769" s="29"/>
      <ns0:c r="H1769" s="29"/>
      <ns0:c r="I1769" s="29"/>
      <ns0:c r="J1769" s="29"/>
      <ns0:c r="K1769" s="29"/>
    </ns0:row>
    <ns0:row r="1770" ht="28" customHeight="1">
      <ns0:c r="A1770" s="29"/>
      <ns0:c r="B1770" s="30"/>
      <ns0:c r="C1770" s="28"/>
      <ns0:c r="D1770" s="29"/>
      <ns0:c r="E1770" s="31"/>
      <ns0:c r="F1770" s="32"/>
      <ns0:c r="G1770" s="29"/>
      <ns0:c r="H1770" s="29"/>
      <ns0:c r="I1770" s="29"/>
      <ns0:c r="J1770" s="29"/>
      <ns0:c r="K1770" s="29"/>
    </ns0:row>
    <ns0:row r="1771" ht="28" customHeight="1">
      <ns0:c r="A1771" s="29"/>
      <ns0:c r="B1771" s="30"/>
      <ns0:c r="C1771" s="28"/>
      <ns0:c r="D1771" s="29"/>
      <ns0:c r="E1771" s="31"/>
      <ns0:c r="F1771" s="32"/>
      <ns0:c r="G1771" s="29"/>
      <ns0:c r="H1771" s="29"/>
      <ns0:c r="I1771" s="29"/>
      <ns0:c r="J1771" s="29"/>
      <ns0:c r="K1771" s="29"/>
    </ns0:row>
    <ns0:row r="1772" ht="28" customHeight="1">
      <ns0:c r="A1772" s="29"/>
      <ns0:c r="B1772" s="30"/>
      <ns0:c r="C1772" s="28"/>
      <ns0:c r="D1772" s="29"/>
      <ns0:c r="E1772" s="31"/>
      <ns0:c r="F1772" s="32"/>
      <ns0:c r="G1772" s="29"/>
      <ns0:c r="H1772" s="29"/>
      <ns0:c r="I1772" s="29"/>
      <ns0:c r="J1772" s="29"/>
      <ns0:c r="K1772" s="29"/>
    </ns0:row>
    <ns0:row r="1773" ht="28" customHeight="1">
      <ns0:c r="A1773" s="29"/>
      <ns0:c r="B1773" s="30"/>
      <ns0:c r="C1773" s="28"/>
      <ns0:c r="D1773" s="29"/>
      <ns0:c r="E1773" s="31"/>
      <ns0:c r="F1773" s="32"/>
      <ns0:c r="G1773" s="29"/>
      <ns0:c r="H1773" s="29"/>
      <ns0:c r="I1773" s="29"/>
      <ns0:c r="J1773" s="29"/>
      <ns0:c r="K1773" s="29"/>
    </ns0:row>
    <ns0:row r="1774" ht="28" customHeight="1">
      <ns0:c r="A1774" s="29"/>
      <ns0:c r="B1774" s="30"/>
      <ns0:c r="C1774" s="28"/>
      <ns0:c r="D1774" s="29"/>
      <ns0:c r="E1774" s="31"/>
      <ns0:c r="F1774" s="32"/>
      <ns0:c r="G1774" s="29"/>
      <ns0:c r="H1774" s="29"/>
      <ns0:c r="I1774" s="29"/>
      <ns0:c r="J1774" s="29"/>
      <ns0:c r="K1774" s="29"/>
    </ns0:row>
    <ns0:row r="1775" ht="28" customHeight="1">
      <ns0:c r="A1775" s="29"/>
      <ns0:c r="B1775" s="30"/>
      <ns0:c r="C1775" s="28"/>
      <ns0:c r="D1775" s="29"/>
      <ns0:c r="E1775" s="31"/>
      <ns0:c r="F1775" s="32"/>
      <ns0:c r="G1775" s="29"/>
      <ns0:c r="H1775" s="29"/>
      <ns0:c r="I1775" s="29"/>
      <ns0:c r="J1775" s="29"/>
      <ns0:c r="K1775" s="29"/>
    </ns0:row>
    <ns0:row r="1776" ht="28" customHeight="1">
      <ns0:c r="A1776" s="29"/>
      <ns0:c r="B1776" s="30"/>
      <ns0:c r="C1776" s="28"/>
      <ns0:c r="D1776" s="29"/>
      <ns0:c r="E1776" s="31"/>
      <ns0:c r="F1776" s="32"/>
      <ns0:c r="G1776" s="29"/>
      <ns0:c r="H1776" s="29"/>
      <ns0:c r="I1776" s="29"/>
      <ns0:c r="J1776" s="29"/>
      <ns0:c r="K1776" s="29"/>
    </ns0:row>
    <ns0:row r="1777" ht="28" customHeight="1">
      <ns0:c r="A1777" s="29"/>
      <ns0:c r="B1777" s="30"/>
      <ns0:c r="C1777" s="28"/>
      <ns0:c r="D1777" s="29"/>
      <ns0:c r="E1777" s="31"/>
      <ns0:c r="F1777" s="32"/>
      <ns0:c r="G1777" s="29"/>
      <ns0:c r="H1777" s="29"/>
      <ns0:c r="I1777" s="29"/>
      <ns0:c r="J1777" s="29"/>
      <ns0:c r="K1777" s="29"/>
    </ns0:row>
    <ns0:row r="1778" ht="28" customHeight="1">
      <ns0:c r="A1778" s="29"/>
      <ns0:c r="B1778" s="30"/>
      <ns0:c r="C1778" s="28"/>
      <ns0:c r="D1778" s="29"/>
      <ns0:c r="E1778" s="31"/>
      <ns0:c r="F1778" s="32"/>
      <ns0:c r="G1778" s="29"/>
      <ns0:c r="H1778" s="29"/>
      <ns0:c r="I1778" s="29"/>
      <ns0:c r="J1778" s="29"/>
      <ns0:c r="K1778" s="29"/>
    </ns0:row>
    <ns0:row r="1779" ht="28" customHeight="1">
      <ns0:c r="A1779" s="29"/>
      <ns0:c r="B1779" s="30"/>
      <ns0:c r="C1779" s="28"/>
      <ns0:c r="D1779" s="29"/>
      <ns0:c r="E1779" s="31"/>
      <ns0:c r="F1779" s="32"/>
      <ns0:c r="G1779" s="29"/>
      <ns0:c r="H1779" s="29"/>
      <ns0:c r="I1779" s="29"/>
      <ns0:c r="J1779" s="29"/>
      <ns0:c r="K1779" s="29"/>
    </ns0:row>
    <ns0:row r="1780" ht="28" customHeight="1">
      <ns0:c r="A1780" s="29"/>
      <ns0:c r="B1780" s="30"/>
      <ns0:c r="C1780" s="28"/>
      <ns0:c r="D1780" s="29"/>
      <ns0:c r="E1780" s="31"/>
      <ns0:c r="F1780" s="32"/>
      <ns0:c r="G1780" s="29"/>
      <ns0:c r="H1780" s="29"/>
      <ns0:c r="I1780" s="29"/>
      <ns0:c r="J1780" s="29"/>
      <ns0:c r="K1780" s="29"/>
    </ns0:row>
    <ns0:row r="1781" ht="28" customHeight="1">
      <ns0:c r="A1781" s="29"/>
      <ns0:c r="B1781" s="30"/>
      <ns0:c r="C1781" s="28"/>
      <ns0:c r="D1781" s="29"/>
      <ns0:c r="E1781" s="31"/>
      <ns0:c r="F1781" s="32"/>
      <ns0:c r="G1781" s="29"/>
      <ns0:c r="H1781" s="29"/>
      <ns0:c r="I1781" s="29"/>
      <ns0:c r="J1781" s="29"/>
      <ns0:c r="K1781" s="29"/>
    </ns0:row>
    <ns0:row r="1782" ht="28" customHeight="1">
      <ns0:c r="A1782" s="29"/>
      <ns0:c r="B1782" s="30"/>
      <ns0:c r="C1782" s="28"/>
      <ns0:c r="D1782" s="29"/>
      <ns0:c r="E1782" s="31"/>
      <ns0:c r="F1782" s="32"/>
      <ns0:c r="G1782" s="29"/>
      <ns0:c r="H1782" s="29"/>
      <ns0:c r="I1782" s="29"/>
      <ns0:c r="J1782" s="29"/>
      <ns0:c r="K1782" s="29"/>
    </ns0:row>
    <ns0:row r="1783" ht="28" customHeight="1">
      <ns0:c r="A1783" s="29"/>
      <ns0:c r="B1783" s="30"/>
      <ns0:c r="C1783" s="28"/>
      <ns0:c r="D1783" s="29"/>
      <ns0:c r="E1783" s="31"/>
      <ns0:c r="F1783" s="32"/>
      <ns0:c r="G1783" s="29"/>
      <ns0:c r="H1783" s="29"/>
      <ns0:c r="I1783" s="29"/>
      <ns0:c r="J1783" s="29"/>
      <ns0:c r="K1783" s="29"/>
    </ns0:row>
    <ns0:row r="1784" ht="28" customHeight="1">
      <ns0:c r="A1784" s="29"/>
      <ns0:c r="B1784" s="30"/>
      <ns0:c r="C1784" s="28"/>
      <ns0:c r="D1784" s="29"/>
      <ns0:c r="E1784" s="31"/>
      <ns0:c r="F1784" s="32"/>
      <ns0:c r="G1784" s="29"/>
      <ns0:c r="H1784" s="29"/>
      <ns0:c r="I1784" s="29"/>
      <ns0:c r="J1784" s="29"/>
      <ns0:c r="K1784" s="29"/>
    </ns0:row>
    <ns0:row r="1785" ht="28" customHeight="1">
      <ns0:c r="A1785" s="29"/>
      <ns0:c r="B1785" s="30"/>
      <ns0:c r="C1785" s="28"/>
      <ns0:c r="D1785" s="29"/>
      <ns0:c r="E1785" s="31"/>
      <ns0:c r="F1785" s="32"/>
      <ns0:c r="G1785" s="29"/>
      <ns0:c r="H1785" s="29"/>
      <ns0:c r="I1785" s="29"/>
      <ns0:c r="J1785" s="29"/>
      <ns0:c r="K1785" s="29"/>
    </ns0:row>
    <ns0:row r="1786" ht="28" customHeight="1">
      <ns0:c r="A1786" s="29"/>
      <ns0:c r="B1786" s="30"/>
      <ns0:c r="C1786" s="28"/>
      <ns0:c r="D1786" s="29"/>
      <ns0:c r="E1786" s="31"/>
      <ns0:c r="F1786" s="32"/>
      <ns0:c r="G1786" s="29"/>
      <ns0:c r="H1786" s="29"/>
      <ns0:c r="I1786" s="29"/>
      <ns0:c r="J1786" s="29"/>
      <ns0:c r="K1786" s="29"/>
    </ns0:row>
    <ns0:row r="1787" ht="28" customHeight="1">
      <ns0:c r="A1787" s="29"/>
      <ns0:c r="B1787" s="30"/>
      <ns0:c r="C1787" s="28"/>
      <ns0:c r="D1787" s="29"/>
      <ns0:c r="E1787" s="31"/>
      <ns0:c r="F1787" s="32"/>
      <ns0:c r="G1787" s="29"/>
      <ns0:c r="H1787" s="29"/>
      <ns0:c r="I1787" s="29"/>
      <ns0:c r="J1787" s="29"/>
      <ns0:c r="K1787" s="29"/>
    </ns0:row>
    <ns0:row r="1788" ht="28" customHeight="1">
      <ns0:c r="A1788" s="29"/>
      <ns0:c r="B1788" s="30"/>
      <ns0:c r="C1788" s="28"/>
      <ns0:c r="D1788" s="29"/>
      <ns0:c r="E1788" s="31"/>
      <ns0:c r="F1788" s="32"/>
      <ns0:c r="G1788" s="29"/>
      <ns0:c r="H1788" s="29"/>
      <ns0:c r="I1788" s="29"/>
      <ns0:c r="J1788" s="29"/>
      <ns0:c r="K1788" s="29"/>
    </ns0:row>
    <ns0:row r="1789" ht="28" customHeight="1">
      <ns0:c r="A1789" s="29"/>
      <ns0:c r="B1789" s="30"/>
      <ns0:c r="C1789" s="28"/>
      <ns0:c r="D1789" s="29"/>
      <ns0:c r="E1789" s="31"/>
      <ns0:c r="F1789" s="32"/>
      <ns0:c r="G1789" s="29"/>
      <ns0:c r="H1789" s="29"/>
      <ns0:c r="I1789" s="29"/>
      <ns0:c r="J1789" s="29"/>
      <ns0:c r="K1789" s="29"/>
    </ns0:row>
    <ns0:row r="1790" ht="28" customHeight="1">
      <ns0:c r="A1790" s="29"/>
      <ns0:c r="B1790" s="30"/>
      <ns0:c r="C1790" s="28"/>
      <ns0:c r="D1790" s="29"/>
      <ns0:c r="E1790" s="31"/>
      <ns0:c r="F1790" s="32"/>
      <ns0:c r="G1790" s="29"/>
      <ns0:c r="H1790" s="29"/>
      <ns0:c r="I1790" s="29"/>
      <ns0:c r="J1790" s="29"/>
      <ns0:c r="K1790" s="29"/>
    </ns0:row>
    <ns0:row r="1791" ht="28" customHeight="1">
      <ns0:c r="A1791" s="29"/>
      <ns0:c r="B1791" s="30"/>
      <ns0:c r="C1791" s="28"/>
      <ns0:c r="D1791" s="29"/>
      <ns0:c r="E1791" s="31"/>
      <ns0:c r="F1791" s="32"/>
      <ns0:c r="G1791" s="29"/>
      <ns0:c r="H1791" s="29"/>
      <ns0:c r="I1791" s="29"/>
      <ns0:c r="J1791" s="29"/>
      <ns0:c r="K1791" s="29"/>
    </ns0:row>
    <ns0:row r="1792" ht="28" customHeight="1">
      <ns0:c r="A1792" s="29"/>
      <ns0:c r="B1792" s="30"/>
      <ns0:c r="C1792" s="28"/>
      <ns0:c r="D1792" s="29"/>
      <ns0:c r="E1792" s="31"/>
      <ns0:c r="F1792" s="32"/>
      <ns0:c r="G1792" s="29"/>
      <ns0:c r="H1792" s="29"/>
      <ns0:c r="I1792" s="29"/>
      <ns0:c r="J1792" s="29"/>
      <ns0:c r="K1792" s="29"/>
    </ns0:row>
    <ns0:row r="1793" ht="28" customHeight="1">
      <ns0:c r="A1793" s="29"/>
      <ns0:c r="B1793" s="30"/>
      <ns0:c r="C1793" s="28"/>
      <ns0:c r="D1793" s="29"/>
      <ns0:c r="E1793" s="31"/>
      <ns0:c r="F1793" s="32"/>
      <ns0:c r="G1793" s="29"/>
      <ns0:c r="H1793" s="29"/>
      <ns0:c r="I1793" s="29"/>
      <ns0:c r="J1793" s="29"/>
      <ns0:c r="K1793" s="29"/>
    </ns0:row>
    <ns0:row r="1794" ht="28" customHeight="1">
      <ns0:c r="A1794" s="29"/>
      <ns0:c r="B1794" s="30"/>
      <ns0:c r="C1794" s="28"/>
      <ns0:c r="D1794" s="29"/>
      <ns0:c r="E1794" s="31"/>
      <ns0:c r="F1794" s="32"/>
      <ns0:c r="G1794" s="29"/>
      <ns0:c r="H1794" s="29"/>
      <ns0:c r="I1794" s="29"/>
      <ns0:c r="J1794" s="29"/>
      <ns0:c r="K1794" s="29"/>
    </ns0:row>
    <ns0:row r="1795" ht="28" customHeight="1">
      <ns0:c r="A1795" s="29"/>
      <ns0:c r="B1795" s="30"/>
      <ns0:c r="C1795" s="28"/>
      <ns0:c r="D1795" s="29"/>
      <ns0:c r="E1795" s="31"/>
      <ns0:c r="F1795" s="32"/>
      <ns0:c r="G1795" s="29"/>
      <ns0:c r="H1795" s="29"/>
      <ns0:c r="I1795" s="29"/>
      <ns0:c r="J1795" s="29"/>
      <ns0:c r="K1795" s="29"/>
    </ns0:row>
    <ns0:row r="1796" ht="28" customHeight="1">
      <ns0:c r="A1796" s="29"/>
      <ns0:c r="B1796" s="30"/>
      <ns0:c r="C1796" s="28"/>
      <ns0:c r="D1796" s="29"/>
      <ns0:c r="E1796" s="31"/>
      <ns0:c r="F1796" s="32"/>
      <ns0:c r="G1796" s="29"/>
      <ns0:c r="H1796" s="29"/>
      <ns0:c r="I1796" s="29"/>
      <ns0:c r="J1796" s="29"/>
      <ns0:c r="K1796" s="29"/>
    </ns0:row>
    <ns0:row r="1797" ht="28" customHeight="1">
      <ns0:c r="A1797" s="29"/>
      <ns0:c r="B1797" s="30"/>
      <ns0:c r="C1797" s="28"/>
      <ns0:c r="D1797" s="29"/>
      <ns0:c r="E1797" s="31"/>
      <ns0:c r="F1797" s="32"/>
      <ns0:c r="G1797" s="29"/>
      <ns0:c r="H1797" s="29"/>
      <ns0:c r="I1797" s="29"/>
      <ns0:c r="J1797" s="29"/>
      <ns0:c r="K1797" s="29"/>
    </ns0:row>
    <ns0:row r="1798" ht="28" customHeight="1">
      <ns0:c r="A1798" s="29"/>
      <ns0:c r="B1798" s="30"/>
      <ns0:c r="C1798" s="28"/>
      <ns0:c r="D1798" s="29"/>
      <ns0:c r="E1798" s="31"/>
      <ns0:c r="F1798" s="32"/>
      <ns0:c r="G1798" s="29"/>
      <ns0:c r="H1798" s="29"/>
      <ns0:c r="I1798" s="29"/>
      <ns0:c r="J1798" s="29"/>
      <ns0:c r="K1798" s="29"/>
    </ns0:row>
    <ns0:row r="1799" ht="28" customHeight="1">
      <ns0:c r="A1799" s="29"/>
      <ns0:c r="B1799" s="30"/>
      <ns0:c r="C1799" s="28"/>
      <ns0:c r="D1799" s="29"/>
      <ns0:c r="E1799" s="31"/>
      <ns0:c r="F1799" s="32"/>
      <ns0:c r="G1799" s="29"/>
      <ns0:c r="H1799" s="29"/>
      <ns0:c r="I1799" s="29"/>
      <ns0:c r="J1799" s="29"/>
      <ns0:c r="K1799" s="29"/>
    </ns0:row>
    <ns0:row r="1800" ht="28" customHeight="1">
      <ns0:c r="A1800" s="29"/>
      <ns0:c r="B1800" s="30"/>
      <ns0:c r="C1800" s="28"/>
      <ns0:c r="D1800" s="29"/>
      <ns0:c r="E1800" s="31"/>
      <ns0:c r="F1800" s="32"/>
      <ns0:c r="G1800" s="29"/>
      <ns0:c r="H1800" s="29"/>
      <ns0:c r="I1800" s="29"/>
      <ns0:c r="J1800" s="29"/>
      <ns0:c r="K1800" s="29"/>
    </ns0:row>
    <ns0:row r="1801" ht="28" customHeight="1">
      <ns0:c r="A1801" s="29"/>
      <ns0:c r="B1801" s="30"/>
      <ns0:c r="C1801" s="28"/>
      <ns0:c r="D1801" s="29"/>
      <ns0:c r="E1801" s="31"/>
      <ns0:c r="F1801" s="32"/>
      <ns0:c r="G1801" s="29"/>
      <ns0:c r="H1801" s="29"/>
      <ns0:c r="I1801" s="29"/>
      <ns0:c r="J1801" s="29"/>
      <ns0:c r="K1801" s="29"/>
    </ns0:row>
    <ns0:row r="1802" ht="28" customHeight="1">
      <ns0:c r="A1802" s="29"/>
      <ns0:c r="B1802" s="30"/>
      <ns0:c r="C1802" s="28"/>
      <ns0:c r="D1802" s="29"/>
      <ns0:c r="E1802" s="31"/>
      <ns0:c r="F1802" s="32"/>
      <ns0:c r="G1802" s="29"/>
      <ns0:c r="H1802" s="29"/>
      <ns0:c r="I1802" s="29"/>
      <ns0:c r="J1802" s="29"/>
      <ns0:c r="K1802" s="29"/>
    </ns0:row>
    <ns0:row r="1803" ht="28" customHeight="1">
      <ns0:c r="A1803" s="29"/>
      <ns0:c r="B1803" s="30"/>
      <ns0:c r="C1803" s="28"/>
      <ns0:c r="D1803" s="29"/>
      <ns0:c r="E1803" s="31"/>
      <ns0:c r="F1803" s="32"/>
      <ns0:c r="G1803" s="29"/>
      <ns0:c r="H1803" s="29"/>
      <ns0:c r="I1803" s="29"/>
      <ns0:c r="J1803" s="29"/>
      <ns0:c r="K1803" s="29"/>
    </ns0:row>
    <ns0:row r="1804" ht="28" customHeight="1">
      <ns0:c r="A1804" s="29"/>
      <ns0:c r="B1804" s="30"/>
      <ns0:c r="C1804" s="28"/>
      <ns0:c r="D1804" s="29"/>
      <ns0:c r="E1804" s="31"/>
      <ns0:c r="F1804" s="32"/>
      <ns0:c r="G1804" s="29"/>
      <ns0:c r="H1804" s="29"/>
      <ns0:c r="I1804" s="29"/>
      <ns0:c r="J1804" s="29"/>
      <ns0:c r="K1804" s="29"/>
    </ns0:row>
  </ns0:sheetData>
  <ns0:mergeCells>
    <ns0:mergeCell ref="A2:F2"/>
    <ns0:mergeCell ref="G2:H2"/>
    <ns0:mergeCell ref="B7:C7"/>
    <ns0:mergeCell ref="A6:H6"/>
    <ns0:mergeCell ref="D7:H7"/>
    <ns0:mergeCell ref="A8:H8"/>
    <ns0:mergeCell ref="A9:H9"/>
    <ns0:mergeCell ref="A10:H10"/>
    <ns0:mergeCell ref="A11:H11"/>
    <ns0:mergeCell ref="A12:H12"/>
  </ns0:mergeCells>
  <ns0:dataValidations count="4">
    <ns0:dataValidation type="list" sqref="B3">
      <ns0:formula1>",IF,IH,IC,IM"</ns0:formula1>
    </ns0:dataValidation>
    <ns0:dataValidation type="list" sqref="E4">
      <ns0:formula1>"相同到期,全部期限,不同到期"</ns0:formula1>
    </ns0:dataValidation>
    <ns0:dataValidation type="list" sqref="B5">
      <ns0:formula1>"4,6,12,24"</ns0:formula1>
    </ns0:dataValidation>
    <ns0:dataValidation type="list" sqref="B7">
      <ns0:formula1>'合约选项'!$G$7:$G$10</ns0:formula1>
    </ns0:dataValidation>
  </ns0:dataValidations>
  <ns0:hyperlinks>
    <ns0:hyperlink ref="G2" location="'跨品种'!A1" display="返回研究结果"/>
  </ns0:hyperlinks>
  <ns0:pageMargins left="0.7" right="0.7" top="0.75" bottom="0.75" header="0.3" footer="0.3"/>
</ns0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5" hidden="0" customWidth="1"/>
    <x:col min="13" max="13" width="20" hidden="0" customWidth="1"/>
    <x:col min="14" max="14" width="60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</x:row>
    <x:row r="2" ht="25" customHeight="1">
      <x:c r="A2" s="34" t="str">
        <x:v>DELTA1 · 数字看板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</x:row>
    <x:row r="6" ht="32" customHeight="1">
      <x:c r="A6" s="37" t="str">
        <x:v>品种</x:v>
      </x:c>
      <x:c r="B6" s="37" t="str">
        <x:v>档位</x:v>
      </x:c>
      <x:c r="C6" s="37" t="str">
        <x:v>具体合约</x:v>
      </x:c>
      <x:c r="D6" s="37" t="str">
        <x:v>期货 F</x:v>
      </x:c>
      <x:c r="E6" s="37" t="str">
        <x:v>指数 S</x:v>
      </x:c>
      <x:c r="F6" s="37" t="str">
        <x:v>分红 D 点</x:v>
      </x:c>
      <x:c r="G6" s="37" t="str">
        <x:v>T 自然日</x:v>
      </x:c>
      <x:c r="H6" s="37" t="str">
        <x:v>基差 点</x:v>
      </x:c>
      <x:c r="I6" s="37" t="str">
        <x:v>基差 bp</x:v>
      </x:c>
      <x:c r="J6" s="37" t="str">
        <x:v>年化 %</x:v>
      </x:c>
      <x:c r="K6" s="37" t="str">
        <x:v>数据类型</x:v>
      </x:c>
      <x:c r="L6" s="37" t="str">
        <x:v>数据时间（北京）</x:v>
      </x:c>
      <x:c r="M6" s="37" t="str">
        <x:v>当前挂牌合约</x:v>
      </x:c>
      <x:c r="N6" s="37" t="str">
        <x:v>说明</x:v>
      </x:c>
    </x:row>
    <x:row r="7" ht="25" customHeight="1">
      <x:c r="A7" s="38"/>
      <x:c r="B7" s="38"/>
      <x:c r="C7" s="38"/>
      <x:c r="D7" s="38"/>
      <x:c r="E7" s="38"/>
      <x:c r="F7" s="38"/>
      <x:c r="G7" s="39"/>
      <x:c r="H7" s="38"/>
      <x:c r="I7" s="38"/>
      <x:c r="J7" s="40"/>
      <x:c r="K7" s="38"/>
      <x:c r="L7" s="41"/>
      <x:c r="M7" s="38"/>
      <x:c r="N7" s="38"/>
    </x:row>
    <x:row r="8" ht="25" customHeight="1">
      <x:c r="A8" s="38"/>
      <x:c r="B8" s="38"/>
      <x:c r="C8" s="38"/>
      <x:c r="D8" s="38"/>
      <x:c r="E8" s="38"/>
      <x:c r="F8" s="38"/>
      <x:c r="G8" s="39"/>
      <x:c r="H8" s="38"/>
      <x:c r="I8" s="38"/>
      <x:c r="J8" s="40"/>
      <x:c r="K8" s="38"/>
      <x:c r="L8" s="41"/>
      <x:c r="M8" s="38"/>
      <x:c r="N8" s="38"/>
    </x:row>
    <x:row r="9" ht="25" customHeight="1">
      <x:c r="A9" s="38"/>
      <x:c r="B9" s="38"/>
      <x:c r="C9" s="38"/>
      <x:c r="D9" s="38"/>
      <x:c r="E9" s="38"/>
      <x:c r="F9" s="38"/>
      <x:c r="G9" s="39"/>
      <x:c r="H9" s="38"/>
      <x:c r="I9" s="38"/>
      <x:c r="J9" s="40"/>
      <x:c r="K9" s="38"/>
      <x:c r="L9" s="41"/>
      <x:c r="M9" s="38"/>
      <x:c r="N9" s="38"/>
    </x:row>
    <x:row r="10" ht="25" customHeight="1">
      <x:c r="A10" s="38"/>
      <x:c r="B10" s="38"/>
      <x:c r="C10" s="38"/>
      <x:c r="D10" s="38"/>
      <x:c r="E10" s="38"/>
      <x:c r="F10" s="38"/>
      <x:c r="G10" s="39"/>
      <x:c r="H10" s="38"/>
      <x:c r="I10" s="38"/>
      <x:c r="J10" s="40"/>
      <x:c r="K10" s="38"/>
      <x:c r="L10" s="41"/>
      <x:c r="M10" s="38"/>
      <x:c r="N10" s="38"/>
    </x:row>
    <x:row r="11" ht="25" customHeight="1">
      <x:c r="A11" s="38"/>
      <x:c r="B11" s="38"/>
      <x:c r="C11" s="38"/>
      <x:c r="D11" s="38"/>
      <x:c r="E11" s="38"/>
      <x:c r="F11" s="38"/>
      <x:c r="G11" s="39"/>
      <x:c r="H11" s="38"/>
      <x:c r="I11" s="38"/>
      <x:c r="J11" s="40"/>
      <x:c r="K11" s="38"/>
      <x:c r="L11" s="41"/>
      <x:c r="M11" s="38"/>
      <x:c r="N11" s="38"/>
    </x:row>
    <x:row r="12" ht="25" customHeight="1">
      <x:c r="A12" s="38"/>
      <x:c r="B12" s="38"/>
      <x:c r="C12" s="38"/>
      <x:c r="D12" s="38"/>
      <x:c r="E12" s="38"/>
      <x:c r="F12" s="38"/>
      <x:c r="G12" s="39"/>
      <x:c r="H12" s="38"/>
      <x:c r="I12" s="38"/>
      <x:c r="J12" s="40"/>
      <x:c r="K12" s="38"/>
      <x:c r="L12" s="41"/>
      <x:c r="M12" s="38"/>
      <x:c r="N12" s="38"/>
    </x:row>
    <x:row r="13" ht="25" customHeight="1">
      <x:c r="A13" s="38"/>
      <x:c r="B13" s="38"/>
      <x:c r="C13" s="38"/>
      <x:c r="D13" s="38"/>
      <x:c r="E13" s="38"/>
      <x:c r="F13" s="38"/>
      <x:c r="G13" s="39"/>
      <x:c r="H13" s="38"/>
      <x:c r="I13" s="38"/>
      <x:c r="J13" s="40"/>
      <x:c r="K13" s="38"/>
      <x:c r="L13" s="41"/>
      <x:c r="M13" s="38"/>
      <x:c r="N13" s="38"/>
    </x:row>
    <x:row r="14" ht="25" customHeight="1">
      <x:c r="A14" s="38"/>
      <x:c r="B14" s="38"/>
      <x:c r="C14" s="38"/>
      <x:c r="D14" s="38"/>
      <x:c r="E14" s="38"/>
      <x:c r="F14" s="38"/>
      <x:c r="G14" s="39"/>
      <x:c r="H14" s="38"/>
      <x:c r="I14" s="38"/>
      <x:c r="J14" s="40"/>
      <x:c r="K14" s="38"/>
      <x:c r="L14" s="41"/>
      <x:c r="M14" s="38"/>
      <x:c r="N14" s="38"/>
    </x:row>
    <x:row r="15" ht="25" customHeight="1">
      <x:c r="A15" s="38"/>
      <x:c r="B15" s="38"/>
      <x:c r="C15" s="38"/>
      <x:c r="D15" s="38"/>
      <x:c r="E15" s="38"/>
      <x:c r="F15" s="38"/>
      <x:c r="G15" s="39"/>
      <x:c r="H15" s="38"/>
      <x:c r="I15" s="38"/>
      <x:c r="J15" s="40"/>
      <x:c r="K15" s="38"/>
      <x:c r="L15" s="41"/>
      <x:c r="M15" s="38"/>
      <x:c r="N15" s="38"/>
    </x:row>
    <x:row r="16" ht="25" customHeight="1">
      <x:c r="A16" s="38"/>
      <x:c r="B16" s="38"/>
      <x:c r="C16" s="38"/>
      <x:c r="D16" s="38"/>
      <x:c r="E16" s="38"/>
      <x:c r="F16" s="38"/>
      <x:c r="G16" s="39"/>
      <x:c r="H16" s="38"/>
      <x:c r="I16" s="38"/>
      <x:c r="J16" s="40"/>
      <x:c r="K16" s="38"/>
      <x:c r="L16" s="41"/>
      <x:c r="M16" s="38"/>
      <x:c r="N16" s="38"/>
    </x:row>
    <x:row r="17" ht="25" customHeight="1">
      <x:c r="A17" s="38"/>
      <x:c r="B17" s="38"/>
      <x:c r="C17" s="38"/>
      <x:c r="D17" s="38"/>
      <x:c r="E17" s="38"/>
      <x:c r="F17" s="38"/>
      <x:c r="G17" s="39"/>
      <x:c r="H17" s="38"/>
      <x:c r="I17" s="38"/>
      <x:c r="J17" s="40"/>
      <x:c r="K17" s="38"/>
      <x:c r="L17" s="41"/>
      <x:c r="M17" s="38"/>
      <x:c r="N17" s="38"/>
    </x:row>
    <x:row r="18" ht="25" customHeight="1">
      <x:c r="A18" s="38"/>
      <x:c r="B18" s="38"/>
      <x:c r="C18" s="38"/>
      <x:c r="D18" s="38"/>
      <x:c r="E18" s="38"/>
      <x:c r="F18" s="38"/>
      <x:c r="G18" s="39"/>
      <x:c r="H18" s="38"/>
      <x:c r="I18" s="38"/>
      <x:c r="J18" s="40"/>
      <x:c r="K18" s="38"/>
      <x:c r="L18" s="41"/>
      <x:c r="M18" s="38"/>
      <x:c r="N18" s="38"/>
    </x:row>
    <x:row r="19" ht="25" customHeight="1">
      <x:c r="A19" s="38"/>
      <x:c r="B19" s="38"/>
      <x:c r="C19" s="38"/>
      <x:c r="D19" s="38"/>
      <x:c r="E19" s="38"/>
      <x:c r="F19" s="38"/>
      <x:c r="G19" s="39"/>
      <x:c r="H19" s="38"/>
      <x:c r="I19" s="38"/>
      <x:c r="J19" s="40"/>
      <x:c r="K19" s="38"/>
      <x:c r="L19" s="41"/>
      <x:c r="M19" s="38"/>
      <x:c r="N19" s="38"/>
    </x:row>
    <x:row r="20" ht="25" customHeight="1">
      <x:c r="A20" s="38"/>
      <x:c r="B20" s="38"/>
      <x:c r="C20" s="38"/>
      <x:c r="D20" s="38"/>
      <x:c r="E20" s="38"/>
      <x:c r="F20" s="38"/>
      <x:c r="G20" s="39"/>
      <x:c r="H20" s="38"/>
      <x:c r="I20" s="38"/>
      <x:c r="J20" s="40"/>
      <x:c r="K20" s="38"/>
      <x:c r="L20" s="41"/>
      <x:c r="M20" s="38"/>
      <x:c r="N20" s="38"/>
    </x:row>
    <x:row r="21" ht="25" customHeight="1">
      <x:c r="A21" s="38"/>
      <x:c r="B21" s="38"/>
      <x:c r="C21" s="38"/>
      <x:c r="D21" s="38"/>
      <x:c r="E21" s="38"/>
      <x:c r="F21" s="38"/>
      <x:c r="G21" s="39"/>
      <x:c r="H21" s="38"/>
      <x:c r="I21" s="38"/>
      <x:c r="J21" s="40"/>
      <x:c r="K21" s="38"/>
      <x:c r="L21" s="41"/>
      <x:c r="M21" s="38"/>
      <x:c r="N21" s="38"/>
    </x:row>
    <x:row r="22" ht="25" customHeight="1">
      <x:c r="A22" s="38"/>
      <x:c r="B22" s="38"/>
      <x:c r="C22" s="38"/>
      <x:c r="D22" s="38"/>
      <x:c r="E22" s="38"/>
      <x:c r="F22" s="38"/>
      <x:c r="G22" s="39"/>
      <x:c r="H22" s="38"/>
      <x:c r="I22" s="38"/>
      <x:c r="J22" s="40"/>
      <x:c r="K22" s="38"/>
      <x:c r="L22" s="41"/>
      <x:c r="M22" s="38"/>
      <x:c r="N22" s="38"/>
    </x:row>
    <x:row r="23" ht="25" customHeight="1">
      <x:c r="A23" s="38"/>
      <x:c r="B23" s="38"/>
      <x:c r="C23" s="38"/>
      <x:c r="D23" s="38"/>
      <x:c r="E23" s="38"/>
      <x:c r="F23" s="38"/>
      <x:c r="G23" s="39"/>
      <x:c r="H23" s="38"/>
      <x:c r="I23" s="38"/>
      <x:c r="J23" s="40"/>
      <x:c r="K23" s="38"/>
      <x:c r="L23" s="41"/>
      <x:c r="M23" s="38"/>
      <x:c r="N23" s="38"/>
    </x:row>
    <x:row r="24" ht="25" customHeight="1">
      <x:c r="A24" s="38"/>
      <x:c r="B24" s="38"/>
      <x:c r="C24" s="38"/>
      <x:c r="D24" s="38"/>
      <x:c r="E24" s="38"/>
      <x:c r="F24" s="38"/>
      <x:c r="G24" s="39"/>
      <x:c r="H24" s="38"/>
      <x:c r="I24" s="38"/>
      <x:c r="J24" s="40"/>
      <x:c r="K24" s="38"/>
      <x:c r="L24" s="41"/>
      <x:c r="M24" s="38"/>
      <x:c r="N24" s="38"/>
    </x:row>
    <x:row r="25" ht="25" customHeight="1">
      <x:c r="A25" s="38"/>
      <x:c r="B25" s="38"/>
      <x:c r="C25" s="38"/>
      <x:c r="D25" s="38"/>
      <x:c r="E25" s="38"/>
      <x:c r="F25" s="38"/>
      <x:c r="G25" s="39"/>
      <x:c r="H25" s="38"/>
      <x:c r="I25" s="38"/>
      <x:c r="J25" s="40"/>
      <x:c r="K25" s="38"/>
      <x:c r="L25" s="41"/>
      <x:c r="M25" s="38"/>
      <x:c r="N25" s="38"/>
    </x:row>
    <x:row r="26" ht="25" customHeight="1">
      <x:c r="A26" s="38"/>
      <x:c r="B26" s="38"/>
      <x:c r="C26" s="38"/>
      <x:c r="D26" s="38"/>
      <x:c r="E26" s="38"/>
      <x:c r="F26" s="38"/>
      <x:c r="G26" s="39"/>
      <x:c r="H26" s="38"/>
      <x:c r="I26" s="38"/>
      <x:c r="J26" s="40"/>
      <x:c r="K26" s="38"/>
      <x:c r="L26" s="41"/>
      <x:c r="M26" s="38"/>
      <x:c r="N26" s="38"/>
    </x:row>
    <x:row r="27" ht="25" customHeight="1">
      <x:c r="A27" s="38"/>
      <x:c r="B27" s="38"/>
      <x:c r="C27" s="38"/>
      <x:c r="D27" s="38"/>
      <x:c r="E27" s="38"/>
      <x:c r="F27" s="38"/>
      <x:c r="G27" s="39"/>
      <x:c r="H27" s="38"/>
      <x:c r="I27" s="38"/>
      <x:c r="J27" s="40"/>
      <x:c r="K27" s="38"/>
      <x:c r="L27" s="41"/>
      <x:c r="M27" s="38"/>
      <x:c r="N27" s="38"/>
    </x:row>
    <x:row r="28" ht="25" customHeight="1">
      <x:c r="A28" s="38"/>
      <x:c r="B28" s="38"/>
      <x:c r="C28" s="38"/>
      <x:c r="D28" s="38"/>
      <x:c r="E28" s="38"/>
      <x:c r="F28" s="38"/>
      <x:c r="G28" s="39"/>
      <x:c r="H28" s="38"/>
      <x:c r="I28" s="38"/>
      <x:c r="J28" s="40"/>
      <x:c r="K28" s="38"/>
      <x:c r="L28" s="41"/>
      <x:c r="M28" s="38"/>
      <x:c r="N28" s="38"/>
    </x:row>
    <x:row r="29" ht="25" customHeight="1">
      <x:c r="A29" s="38"/>
      <x:c r="B29" s="38"/>
      <x:c r="C29" s="38"/>
      <x:c r="D29" s="38"/>
      <x:c r="E29" s="38"/>
      <x:c r="F29" s="38"/>
      <x:c r="G29" s="39"/>
      <x:c r="H29" s="38"/>
      <x:c r="I29" s="38"/>
      <x:c r="J29" s="40"/>
      <x:c r="K29" s="38"/>
      <x:c r="L29" s="41"/>
      <x:c r="M29" s="38"/>
      <x:c r="N29" s="38"/>
    </x:row>
    <x:row r="30" ht="25" customHeight="1">
      <x:c r="A30" s="38"/>
      <x:c r="B30" s="38"/>
      <x:c r="C30" s="38"/>
      <x:c r="D30" s="38"/>
      <x:c r="E30" s="38"/>
      <x:c r="F30" s="38"/>
      <x:c r="G30" s="39"/>
      <x:c r="H30" s="38"/>
      <x:c r="I30" s="38"/>
      <x:c r="J30" s="40"/>
      <x:c r="K30" s="38"/>
      <x:c r="L30" s="41"/>
      <x:c r="M30" s="38"/>
      <x:c r="N30" s="38"/>
    </x:row>
    <x:row r="31" ht="25" customHeight="1">
      <x:c r="A31" s="38"/>
      <x:c r="B31" s="38"/>
      <x:c r="C31" s="38"/>
      <x:c r="D31" s="38"/>
      <x:c r="E31" s="38"/>
      <x:c r="F31" s="38"/>
      <x:c r="G31" s="39"/>
      <x:c r="H31" s="38"/>
      <x:c r="I31" s="38"/>
      <x:c r="J31" s="40"/>
      <x:c r="K31" s="38"/>
      <x:c r="L31" s="41"/>
      <x:c r="M31" s="38"/>
      <x:c r="N31" s="38"/>
    </x:row>
    <x:row r="32" ht="25" customHeight="1">
      <x:c r="A32" s="38"/>
      <x:c r="B32" s="38"/>
      <x:c r="C32" s="38"/>
      <x:c r="D32" s="38"/>
      <x:c r="E32" s="38"/>
      <x:c r="F32" s="38"/>
      <x:c r="G32" s="39"/>
      <x:c r="H32" s="38"/>
      <x:c r="I32" s="38"/>
      <x:c r="J32" s="40"/>
      <x:c r="K32" s="38"/>
      <x:c r="L32" s="41"/>
      <x:c r="M32" s="38"/>
      <x:c r="N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5" hidden="0" customWidth="1"/>
    <x:col min="12" max="12" width="25" hidden="0" customWidth="1"/>
    <x:col min="13" max="13" width="45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</x:row>
    <x:row r="2" ht="25" customHeight="1">
      <x:c r="A2" s="34" t="str">
        <x:v>DELTA1 · 分位与样本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</x:row>
    <x:row r="6" ht="32" customHeight="1">
      <x:c r="A6" s="37" t="str">
        <x:v>品种</x:v>
      </x:c>
      <x:c r="B6" s="37" t="str">
        <x:v>档位</x:v>
      </x:c>
      <x:c r="C6" s="37" t="str">
        <x:v>具体合约</x:v>
      </x:c>
      <x:c r="D6" s="37" t="str">
        <x:v>窗口</x:v>
      </x:c>
      <x:c r="E6" s="37" t="str">
        <x:v>分位 %</x:v>
      </x:c>
      <x:c r="F6" s="37" t="str">
        <x:v>有效 n</x:v>
      </x:c>
      <x:c r="G6" s="37" t="str">
        <x:v>缺失日</x:v>
      </x:c>
      <x:c r="H6" s="37" t="str">
        <x:v>排除日</x:v>
      </x:c>
      <x:c r="I6" s="37" t="str">
        <x:v>定位值</x:v>
      </x:c>
      <x:c r="J6" s="37" t="str">
        <x:v>单位</x:v>
      </x:c>
      <x:c r="K6" s="37" t="str">
        <x:v>定位时间（北京）</x:v>
      </x:c>
      <x:c r="L6" s="37" t="str">
        <x:v>参考截止（北京）</x:v>
      </x:c>
      <x:c r="M6" s="37" t="str">
        <x:v>说明</x:v>
      </x:c>
    </x:row>
    <x:row r="7" ht="25" customHeight="1">
      <x:c r="A7" s="38"/>
      <x:c r="B7" s="38"/>
      <x:c r="C7" s="38"/>
      <x:c r="D7" s="38"/>
      <x:c r="E7" s="42"/>
      <x:c r="F7" s="39"/>
      <x:c r="G7" s="39"/>
      <x:c r="H7" s="39"/>
      <x:c r="I7" s="38"/>
      <x:c r="J7" s="38"/>
      <x:c r="K7" s="41"/>
      <x:c r="L7" s="41"/>
      <x:c r="M7" s="38"/>
    </x:row>
    <x:row r="8" ht="25" customHeight="1">
      <x:c r="A8" s="38"/>
      <x:c r="B8" s="38"/>
      <x:c r="C8" s="38"/>
      <x:c r="D8" s="38"/>
      <x:c r="E8" s="42"/>
      <x:c r="F8" s="39"/>
      <x:c r="G8" s="39"/>
      <x:c r="H8" s="39"/>
      <x:c r="I8" s="38"/>
      <x:c r="J8" s="38"/>
      <x:c r="K8" s="41"/>
      <x:c r="L8" s="41"/>
      <x:c r="M8" s="38"/>
    </x:row>
    <x:row r="9" ht="25" customHeight="1">
      <x:c r="A9" s="38"/>
      <x:c r="B9" s="38"/>
      <x:c r="C9" s="38"/>
      <x:c r="D9" s="38"/>
      <x:c r="E9" s="42"/>
      <x:c r="F9" s="39"/>
      <x:c r="G9" s="39"/>
      <x:c r="H9" s="39"/>
      <x:c r="I9" s="38"/>
      <x:c r="J9" s="38"/>
      <x:c r="K9" s="41"/>
      <x:c r="L9" s="41"/>
      <x:c r="M9" s="38"/>
    </x:row>
    <x:row r="10" ht="25" customHeight="1">
      <x:c r="A10" s="38"/>
      <x:c r="B10" s="38"/>
      <x:c r="C10" s="38"/>
      <x:c r="D10" s="38"/>
      <x:c r="E10" s="42"/>
      <x:c r="F10" s="39"/>
      <x:c r="G10" s="39"/>
      <x:c r="H10" s="39"/>
      <x:c r="I10" s="38"/>
      <x:c r="J10" s="38"/>
      <x:c r="K10" s="41"/>
      <x:c r="L10" s="41"/>
      <x:c r="M10" s="38"/>
    </x:row>
    <x:row r="11" ht="25" customHeight="1">
      <x:c r="A11" s="38"/>
      <x:c r="B11" s="38"/>
      <x:c r="C11" s="38"/>
      <x:c r="D11" s="38"/>
      <x:c r="E11" s="42"/>
      <x:c r="F11" s="39"/>
      <x:c r="G11" s="39"/>
      <x:c r="H11" s="39"/>
      <x:c r="I11" s="38"/>
      <x:c r="J11" s="38"/>
      <x:c r="K11" s="41"/>
      <x:c r="L11" s="41"/>
      <x:c r="M11" s="38"/>
    </x:row>
    <x:row r="12" ht="25" customHeight="1">
      <x:c r="A12" s="38"/>
      <x:c r="B12" s="38"/>
      <x:c r="C12" s="38"/>
      <x:c r="D12" s="38"/>
      <x:c r="E12" s="42"/>
      <x:c r="F12" s="39"/>
      <x:c r="G12" s="39"/>
      <x:c r="H12" s="39"/>
      <x:c r="I12" s="38"/>
      <x:c r="J12" s="38"/>
      <x:c r="K12" s="41"/>
      <x:c r="L12" s="41"/>
      <x:c r="M12" s="38"/>
    </x:row>
    <x:row r="13" ht="25" customHeight="1">
      <x:c r="A13" s="38"/>
      <x:c r="B13" s="38"/>
      <x:c r="C13" s="38"/>
      <x:c r="D13" s="38"/>
      <x:c r="E13" s="42"/>
      <x:c r="F13" s="39"/>
      <x:c r="G13" s="39"/>
      <x:c r="H13" s="39"/>
      <x:c r="I13" s="38"/>
      <x:c r="J13" s="38"/>
      <x:c r="K13" s="41"/>
      <x:c r="L13" s="41"/>
      <x:c r="M13" s="38"/>
    </x:row>
    <x:row r="14" ht="25" customHeight="1">
      <x:c r="A14" s="38"/>
      <x:c r="B14" s="38"/>
      <x:c r="C14" s="38"/>
      <x:c r="D14" s="38"/>
      <x:c r="E14" s="42"/>
      <x:c r="F14" s="39"/>
      <x:c r="G14" s="39"/>
      <x:c r="H14" s="39"/>
      <x:c r="I14" s="38"/>
      <x:c r="J14" s="38"/>
      <x:c r="K14" s="41"/>
      <x:c r="L14" s="41"/>
      <x:c r="M14" s="38"/>
    </x:row>
    <x:row r="15" ht="25" customHeight="1">
      <x:c r="A15" s="38"/>
      <x:c r="B15" s="38"/>
      <x:c r="C15" s="38"/>
      <x:c r="D15" s="38"/>
      <x:c r="E15" s="42"/>
      <x:c r="F15" s="39"/>
      <x:c r="G15" s="39"/>
      <x:c r="H15" s="39"/>
      <x:c r="I15" s="38"/>
      <x:c r="J15" s="38"/>
      <x:c r="K15" s="41"/>
      <x:c r="L15" s="41"/>
      <x:c r="M15" s="38"/>
    </x:row>
    <x:row r="16" ht="25" customHeight="1">
      <x:c r="A16" s="38"/>
      <x:c r="B16" s="38"/>
      <x:c r="C16" s="38"/>
      <x:c r="D16" s="38"/>
      <x:c r="E16" s="42"/>
      <x:c r="F16" s="39"/>
      <x:c r="G16" s="39"/>
      <x:c r="H16" s="39"/>
      <x:c r="I16" s="38"/>
      <x:c r="J16" s="38"/>
      <x:c r="K16" s="41"/>
      <x:c r="L16" s="41"/>
      <x:c r="M16" s="38"/>
    </x:row>
    <x:row r="17" ht="25" customHeight="1">
      <x:c r="A17" s="38"/>
      <x:c r="B17" s="38"/>
      <x:c r="C17" s="38"/>
      <x:c r="D17" s="38"/>
      <x:c r="E17" s="42"/>
      <x:c r="F17" s="39"/>
      <x:c r="G17" s="39"/>
      <x:c r="H17" s="39"/>
      <x:c r="I17" s="38"/>
      <x:c r="J17" s="38"/>
      <x:c r="K17" s="41"/>
      <x:c r="L17" s="41"/>
      <x:c r="M17" s="38"/>
    </x:row>
    <x:row r="18" ht="25" customHeight="1">
      <x:c r="A18" s="38"/>
      <x:c r="B18" s="38"/>
      <x:c r="C18" s="38"/>
      <x:c r="D18" s="38"/>
      <x:c r="E18" s="42"/>
      <x:c r="F18" s="39"/>
      <x:c r="G18" s="39"/>
      <x:c r="H18" s="39"/>
      <x:c r="I18" s="38"/>
      <x:c r="J18" s="38"/>
      <x:c r="K18" s="41"/>
      <x:c r="L18" s="41"/>
      <x:c r="M18" s="38"/>
    </x:row>
    <x:row r="19" ht="25" customHeight="1">
      <x:c r="A19" s="38"/>
      <x:c r="B19" s="38"/>
      <x:c r="C19" s="38"/>
      <x:c r="D19" s="38"/>
      <x:c r="E19" s="42"/>
      <x:c r="F19" s="39"/>
      <x:c r="G19" s="39"/>
      <x:c r="H19" s="39"/>
      <x:c r="I19" s="38"/>
      <x:c r="J19" s="38"/>
      <x:c r="K19" s="41"/>
      <x:c r="L19" s="41"/>
      <x:c r="M19" s="38"/>
    </x:row>
    <x:row r="20" ht="25" customHeight="1">
      <x:c r="A20" s="38"/>
      <x:c r="B20" s="38"/>
      <x:c r="C20" s="38"/>
      <x:c r="D20" s="38"/>
      <x:c r="E20" s="42"/>
      <x:c r="F20" s="39"/>
      <x:c r="G20" s="39"/>
      <x:c r="H20" s="39"/>
      <x:c r="I20" s="38"/>
      <x:c r="J20" s="38"/>
      <x:c r="K20" s="41"/>
      <x:c r="L20" s="41"/>
      <x:c r="M20" s="38"/>
    </x:row>
    <x:row r="21" ht="25" customHeight="1">
      <x:c r="A21" s="38"/>
      <x:c r="B21" s="38"/>
      <x:c r="C21" s="38"/>
      <x:c r="D21" s="38"/>
      <x:c r="E21" s="42"/>
      <x:c r="F21" s="39"/>
      <x:c r="G21" s="39"/>
      <x:c r="H21" s="39"/>
      <x:c r="I21" s="38"/>
      <x:c r="J21" s="38"/>
      <x:c r="K21" s="41"/>
      <x:c r="L21" s="41"/>
      <x:c r="M21" s="38"/>
    </x:row>
    <x:row r="22" ht="25" customHeight="1">
      <x:c r="A22" s="38"/>
      <x:c r="B22" s="38"/>
      <x:c r="C22" s="38"/>
      <x:c r="D22" s="38"/>
      <x:c r="E22" s="42"/>
      <x:c r="F22" s="39"/>
      <x:c r="G22" s="39"/>
      <x:c r="H22" s="39"/>
      <x:c r="I22" s="38"/>
      <x:c r="J22" s="38"/>
      <x:c r="K22" s="41"/>
      <x:c r="L22" s="41"/>
      <x:c r="M22" s="38"/>
    </x:row>
    <x:row r="23" ht="25" customHeight="1">
      <x:c r="A23" s="38"/>
      <x:c r="B23" s="38"/>
      <x:c r="C23" s="38"/>
      <x:c r="D23" s="38"/>
      <x:c r="E23" s="42"/>
      <x:c r="F23" s="39"/>
      <x:c r="G23" s="39"/>
      <x:c r="H23" s="39"/>
      <x:c r="I23" s="38"/>
      <x:c r="J23" s="38"/>
      <x:c r="K23" s="41"/>
      <x:c r="L23" s="41"/>
      <x:c r="M23" s="38"/>
    </x:row>
    <x:row r="24" ht="25" customHeight="1">
      <x:c r="A24" s="38"/>
      <x:c r="B24" s="38"/>
      <x:c r="C24" s="38"/>
      <x:c r="D24" s="38"/>
      <x:c r="E24" s="42"/>
      <x:c r="F24" s="39"/>
      <x:c r="G24" s="39"/>
      <x:c r="H24" s="39"/>
      <x:c r="I24" s="38"/>
      <x:c r="J24" s="38"/>
      <x:c r="K24" s="41"/>
      <x:c r="L24" s="41"/>
      <x:c r="M24" s="38"/>
    </x:row>
    <x:row r="25" ht="25" customHeight="1">
      <x:c r="A25" s="38"/>
      <x:c r="B25" s="38"/>
      <x:c r="C25" s="38"/>
      <x:c r="D25" s="38"/>
      <x:c r="E25" s="42"/>
      <x:c r="F25" s="39"/>
      <x:c r="G25" s="39"/>
      <x:c r="H25" s="39"/>
      <x:c r="I25" s="38"/>
      <x:c r="J25" s="38"/>
      <x:c r="K25" s="41"/>
      <x:c r="L25" s="41"/>
      <x:c r="M25" s="38"/>
    </x:row>
    <x:row r="26" ht="25" customHeight="1">
      <x:c r="A26" s="38"/>
      <x:c r="B26" s="38"/>
      <x:c r="C26" s="38"/>
      <x:c r="D26" s="38"/>
      <x:c r="E26" s="42"/>
      <x:c r="F26" s="39"/>
      <x:c r="G26" s="39"/>
      <x:c r="H26" s="39"/>
      <x:c r="I26" s="38"/>
      <x:c r="J26" s="38"/>
      <x:c r="K26" s="41"/>
      <x:c r="L26" s="41"/>
      <x:c r="M26" s="38"/>
    </x:row>
    <x:row r="27" ht="25" customHeight="1">
      <x:c r="A27" s="38"/>
      <x:c r="B27" s="38"/>
      <x:c r="C27" s="38"/>
      <x:c r="D27" s="38"/>
      <x:c r="E27" s="42"/>
      <x:c r="F27" s="39"/>
      <x:c r="G27" s="39"/>
      <x:c r="H27" s="39"/>
      <x:c r="I27" s="38"/>
      <x:c r="J27" s="38"/>
      <x:c r="K27" s="41"/>
      <x:c r="L27" s="41"/>
      <x:c r="M27" s="38"/>
    </x:row>
    <x:row r="28" ht="25" customHeight="1">
      <x:c r="A28" s="38"/>
      <x:c r="B28" s="38"/>
      <x:c r="C28" s="38"/>
      <x:c r="D28" s="38"/>
      <x:c r="E28" s="42"/>
      <x:c r="F28" s="39"/>
      <x:c r="G28" s="39"/>
      <x:c r="H28" s="39"/>
      <x:c r="I28" s="38"/>
      <x:c r="J28" s="38"/>
      <x:c r="K28" s="41"/>
      <x:c r="L28" s="41"/>
      <x:c r="M28" s="38"/>
    </x:row>
    <x:row r="29" ht="25" customHeight="1">
      <x:c r="A29" s="38"/>
      <x:c r="B29" s="38"/>
      <x:c r="C29" s="38"/>
      <x:c r="D29" s="38"/>
      <x:c r="E29" s="42"/>
      <x:c r="F29" s="39"/>
      <x:c r="G29" s="39"/>
      <x:c r="H29" s="39"/>
      <x:c r="I29" s="38"/>
      <x:c r="J29" s="38"/>
      <x:c r="K29" s="41"/>
      <x:c r="L29" s="41"/>
      <x:c r="M29" s="38"/>
    </x:row>
    <x:row r="30" ht="25" customHeight="1">
      <x:c r="A30" s="38"/>
      <x:c r="B30" s="38"/>
      <x:c r="C30" s="38"/>
      <x:c r="D30" s="38"/>
      <x:c r="E30" s="42"/>
      <x:c r="F30" s="39"/>
      <x:c r="G30" s="39"/>
      <x:c r="H30" s="39"/>
      <x:c r="I30" s="38"/>
      <x:c r="J30" s="38"/>
      <x:c r="K30" s="41"/>
      <x:c r="L30" s="41"/>
      <x:c r="M30" s="38"/>
    </x:row>
    <x:row r="31" ht="25" customHeight="1">
      <x:c r="A31" s="38"/>
      <x:c r="B31" s="38"/>
      <x:c r="C31" s="38"/>
      <x:c r="D31" s="38"/>
      <x:c r="E31" s="42"/>
      <x:c r="F31" s="39"/>
      <x:c r="G31" s="39"/>
      <x:c r="H31" s="39"/>
      <x:c r="I31" s="38"/>
      <x:c r="J31" s="38"/>
      <x:c r="K31" s="41"/>
      <x:c r="L31" s="41"/>
      <x:c r="M31" s="38"/>
    </x:row>
    <x:row r="32" ht="25" customHeight="1">
      <x:c r="A32" s="38"/>
      <x:c r="B32" s="38"/>
      <x:c r="C32" s="38"/>
      <x:c r="D32" s="38"/>
      <x:c r="E32" s="42"/>
      <x:c r="F32" s="39"/>
      <x:c r="G32" s="39"/>
      <x:c r="H32" s="39"/>
      <x:c r="I32" s="38"/>
      <x:c r="J32" s="38"/>
      <x:c r="K32" s="41"/>
      <x:c r="L32" s="41"/>
      <x:c r="M32" s="38"/>
    </x:row>
    <x:row r="33" ht="25" customHeight="1">
      <x:c r="A33" s="38"/>
      <x:c r="B33" s="38"/>
      <x:c r="C33" s="38"/>
      <x:c r="D33" s="38"/>
      <x:c r="E33" s="42"/>
      <x:c r="F33" s="39"/>
      <x:c r="G33" s="39"/>
      <x:c r="H33" s="39"/>
      <x:c r="I33" s="38"/>
      <x:c r="J33" s="38"/>
      <x:c r="K33" s="41"/>
      <x:c r="L33" s="41"/>
      <x:c r="M33" s="38"/>
    </x:row>
    <x:row r="34" ht="25" customHeight="1">
      <x:c r="A34" s="38"/>
      <x:c r="B34" s="38"/>
      <x:c r="C34" s="38"/>
      <x:c r="D34" s="38"/>
      <x:c r="E34" s="42"/>
      <x:c r="F34" s="39"/>
      <x:c r="G34" s="39"/>
      <x:c r="H34" s="39"/>
      <x:c r="I34" s="38"/>
      <x:c r="J34" s="38"/>
      <x:c r="K34" s="41"/>
      <x:c r="L34" s="41"/>
      <x:c r="M34" s="38"/>
    </x:row>
    <x:row r="35" ht="25" customHeight="1">
      <x:c r="A35" s="38"/>
      <x:c r="B35" s="38"/>
      <x:c r="C35" s="38"/>
      <x:c r="D35" s="38"/>
      <x:c r="E35" s="42"/>
      <x:c r="F35" s="39"/>
      <x:c r="G35" s="39"/>
      <x:c r="H35" s="39"/>
      <x:c r="I35" s="38"/>
      <x:c r="J35" s="38"/>
      <x:c r="K35" s="41"/>
      <x:c r="L35" s="41"/>
      <x:c r="M35" s="38"/>
    </x:row>
    <x:row r="36" ht="25" customHeight="1">
      <x:c r="A36" s="38"/>
      <x:c r="B36" s="38"/>
      <x:c r="C36" s="38"/>
      <x:c r="D36" s="38"/>
      <x:c r="E36" s="42"/>
      <x:c r="F36" s="39"/>
      <x:c r="G36" s="39"/>
      <x:c r="H36" s="39"/>
      <x:c r="I36" s="38"/>
      <x:c r="J36" s="38"/>
      <x:c r="K36" s="41"/>
      <x:c r="L36" s="41"/>
      <x:c r="M36" s="38"/>
    </x:row>
    <x:row r="37" ht="25" customHeight="1">
      <x:c r="A37" s="38"/>
      <x:c r="B37" s="38"/>
      <x:c r="C37" s="38"/>
      <x:c r="D37" s="38"/>
      <x:c r="E37" s="42"/>
      <x:c r="F37" s="39"/>
      <x:c r="G37" s="39"/>
      <x:c r="H37" s="39"/>
      <x:c r="I37" s="38"/>
      <x:c r="J37" s="38"/>
      <x:c r="K37" s="41"/>
      <x:c r="L37" s="41"/>
      <x:c r="M37" s="38"/>
    </x:row>
    <x:row r="38" ht="25" customHeight="1">
      <x:c r="A38" s="38"/>
      <x:c r="B38" s="38"/>
      <x:c r="C38" s="38"/>
      <x:c r="D38" s="38"/>
      <x:c r="E38" s="42"/>
      <x:c r="F38" s="39"/>
      <x:c r="G38" s="39"/>
      <x:c r="H38" s="39"/>
      <x:c r="I38" s="38"/>
      <x:c r="J38" s="38"/>
      <x:c r="K38" s="41"/>
      <x:c r="L38" s="41"/>
      <x:c r="M38" s="38"/>
    </x:row>
    <x:row r="39" ht="25" customHeight="1">
      <x:c r="A39" s="38"/>
      <x:c r="B39" s="38"/>
      <x:c r="C39" s="38"/>
      <x:c r="D39" s="38"/>
      <x:c r="E39" s="42"/>
      <x:c r="F39" s="39"/>
      <x:c r="G39" s="39"/>
      <x:c r="H39" s="39"/>
      <x:c r="I39" s="38"/>
      <x:c r="J39" s="38"/>
      <x:c r="K39" s="41"/>
      <x:c r="L39" s="41"/>
      <x:c r="M39" s="38"/>
    </x:row>
    <x:row r="40" ht="25" customHeight="1">
      <x:c r="A40" s="38"/>
      <x:c r="B40" s="38"/>
      <x:c r="C40" s="38"/>
      <x:c r="D40" s="38"/>
      <x:c r="E40" s="42"/>
      <x:c r="F40" s="39"/>
      <x:c r="G40" s="39"/>
      <x:c r="H40" s="39"/>
      <x:c r="I40" s="38"/>
      <x:c r="J40" s="38"/>
      <x:c r="K40" s="41"/>
      <x:c r="L40" s="41"/>
      <x:c r="M40" s="38"/>
    </x:row>
    <x:row r="41" ht="25" customHeight="1">
      <x:c r="A41" s="38"/>
      <x:c r="B41" s="38"/>
      <x:c r="C41" s="38"/>
      <x:c r="D41" s="38"/>
      <x:c r="E41" s="42"/>
      <x:c r="F41" s="39"/>
      <x:c r="G41" s="39"/>
      <x:c r="H41" s="39"/>
      <x:c r="I41" s="38"/>
      <x:c r="J41" s="38"/>
      <x:c r="K41" s="41"/>
      <x:c r="L41" s="41"/>
      <x:c r="M41" s="38"/>
    </x:row>
    <x:row r="42" ht="25" customHeight="1">
      <x:c r="A42" s="38"/>
      <x:c r="B42" s="38"/>
      <x:c r="C42" s="38"/>
      <x:c r="D42" s="38"/>
      <x:c r="E42" s="42"/>
      <x:c r="F42" s="39"/>
      <x:c r="G42" s="39"/>
      <x:c r="H42" s="39"/>
      <x:c r="I42" s="38"/>
      <x:c r="J42" s="38"/>
      <x:c r="K42" s="41"/>
      <x:c r="L42" s="41"/>
      <x:c r="M42" s="38"/>
    </x:row>
    <x:row r="43" ht="25" customHeight="1">
      <x:c r="A43" s="38"/>
      <x:c r="B43" s="38"/>
      <x:c r="C43" s="38"/>
      <x:c r="D43" s="38"/>
      <x:c r="E43" s="42"/>
      <x:c r="F43" s="39"/>
      <x:c r="G43" s="39"/>
      <x:c r="H43" s="39"/>
      <x:c r="I43" s="38"/>
      <x:c r="J43" s="38"/>
      <x:c r="K43" s="41"/>
      <x:c r="L43" s="41"/>
      <x:c r="M43" s="38"/>
    </x:row>
    <x:row r="44" ht="25" customHeight="1">
      <x:c r="A44" s="38"/>
      <x:c r="B44" s="38"/>
      <x:c r="C44" s="38"/>
      <x:c r="D44" s="38"/>
      <x:c r="E44" s="42"/>
      <x:c r="F44" s="39"/>
      <x:c r="G44" s="39"/>
      <x:c r="H44" s="39"/>
      <x:c r="I44" s="38"/>
      <x:c r="J44" s="38"/>
      <x:c r="K44" s="41"/>
      <x:c r="L44" s="41"/>
      <x:c r="M44" s="38"/>
    </x:row>
    <x:row r="45" ht="25" customHeight="1">
      <x:c r="A45" s="38"/>
      <x:c r="B45" s="38"/>
      <x:c r="C45" s="38"/>
      <x:c r="D45" s="38"/>
      <x:c r="E45" s="42"/>
      <x:c r="F45" s="39"/>
      <x:c r="G45" s="39"/>
      <x:c r="H45" s="39"/>
      <x:c r="I45" s="38"/>
      <x:c r="J45" s="38"/>
      <x:c r="K45" s="41"/>
      <x:c r="L45" s="41"/>
      <x:c r="M45" s="38"/>
    </x:row>
    <x:row r="46" ht="25" customHeight="1">
      <x:c r="A46" s="38"/>
      <x:c r="B46" s="38"/>
      <x:c r="C46" s="38"/>
      <x:c r="D46" s="38"/>
      <x:c r="E46" s="42"/>
      <x:c r="F46" s="39"/>
      <x:c r="G46" s="39"/>
      <x:c r="H46" s="39"/>
      <x:c r="I46" s="38"/>
      <x:c r="J46" s="38"/>
      <x:c r="K46" s="41"/>
      <x:c r="L46" s="41"/>
      <x:c r="M46" s="38"/>
    </x:row>
    <x:row r="47" ht="25" customHeight="1">
      <x:c r="A47" s="38"/>
      <x:c r="B47" s="38"/>
      <x:c r="C47" s="38"/>
      <x:c r="D47" s="38"/>
      <x:c r="E47" s="42"/>
      <x:c r="F47" s="39"/>
      <x:c r="G47" s="39"/>
      <x:c r="H47" s="39"/>
      <x:c r="I47" s="38"/>
      <x:c r="J47" s="38"/>
      <x:c r="K47" s="41"/>
      <x:c r="L47" s="41"/>
      <x:c r="M47" s="38"/>
    </x:row>
    <x:row r="48" ht="25" customHeight="1">
      <x:c r="A48" s="38"/>
      <x:c r="B48" s="38"/>
      <x:c r="C48" s="38"/>
      <x:c r="D48" s="38"/>
      <x:c r="E48" s="42"/>
      <x:c r="F48" s="39"/>
      <x:c r="G48" s="39"/>
      <x:c r="H48" s="39"/>
      <x:c r="I48" s="38"/>
      <x:c r="J48" s="38"/>
      <x:c r="K48" s="41"/>
      <x:c r="L48" s="41"/>
      <x:c r="M48" s="38"/>
    </x:row>
    <x:row r="49" ht="25" customHeight="1">
      <x:c r="A49" s="38"/>
      <x:c r="B49" s="38"/>
      <x:c r="C49" s="38"/>
      <x:c r="D49" s="38"/>
      <x:c r="E49" s="42"/>
      <x:c r="F49" s="39"/>
      <x:c r="G49" s="39"/>
      <x:c r="H49" s="39"/>
      <x:c r="I49" s="38"/>
      <x:c r="J49" s="38"/>
      <x:c r="K49" s="41"/>
      <x:c r="L49" s="41"/>
      <x:c r="M49" s="38"/>
    </x:row>
    <x:row r="50" ht="25" customHeight="1">
      <x:c r="A50" s="38"/>
      <x:c r="B50" s="38"/>
      <x:c r="C50" s="38"/>
      <x:c r="D50" s="38"/>
      <x:c r="E50" s="42"/>
      <x:c r="F50" s="39"/>
      <x:c r="G50" s="39"/>
      <x:c r="H50" s="39"/>
      <x:c r="I50" s="38"/>
      <x:c r="J50" s="38"/>
      <x:c r="K50" s="41"/>
      <x:c r="L50" s="41"/>
      <x:c r="M50" s="38"/>
    </x:row>
    <x:row r="51" ht="25" customHeight="1">
      <x:c r="A51" s="38"/>
      <x:c r="B51" s="38"/>
      <x:c r="C51" s="38"/>
      <x:c r="D51" s="38"/>
      <x:c r="E51" s="42"/>
      <x:c r="F51" s="39"/>
      <x:c r="G51" s="39"/>
      <x:c r="H51" s="39"/>
      <x:c r="I51" s="38"/>
      <x:c r="J51" s="38"/>
      <x:c r="K51" s="41"/>
      <x:c r="L51" s="41"/>
      <x:c r="M51" s="38"/>
    </x:row>
    <x:row r="52" ht="25" customHeight="1">
      <x:c r="A52" s="38"/>
      <x:c r="B52" s="38"/>
      <x:c r="C52" s="38"/>
      <x:c r="D52" s="38"/>
      <x:c r="E52" s="42"/>
      <x:c r="F52" s="39"/>
      <x:c r="G52" s="39"/>
      <x:c r="H52" s="39"/>
      <x:c r="I52" s="38"/>
      <x:c r="J52" s="38"/>
      <x:c r="K52" s="41"/>
      <x:c r="L52" s="41"/>
      <x:c r="M52" s="38"/>
    </x:row>
    <x:row r="53" ht="25" customHeight="1">
      <x:c r="A53" s="38"/>
      <x:c r="B53" s="38"/>
      <x:c r="C53" s="38"/>
      <x:c r="D53" s="38"/>
      <x:c r="E53" s="42"/>
      <x:c r="F53" s="39"/>
      <x:c r="G53" s="39"/>
      <x:c r="H53" s="39"/>
      <x:c r="I53" s="38"/>
      <x:c r="J53" s="38"/>
      <x:c r="K53" s="41"/>
      <x:c r="L53" s="41"/>
      <x:c r="M53" s="38"/>
    </x:row>
    <x:row r="54" ht="25" customHeight="1">
      <x:c r="A54" s="38"/>
      <x:c r="B54" s="38"/>
      <x:c r="C54" s="38"/>
      <x:c r="D54" s="38"/>
      <x:c r="E54" s="42"/>
      <x:c r="F54" s="39"/>
      <x:c r="G54" s="39"/>
      <x:c r="H54" s="39"/>
      <x:c r="I54" s="38"/>
      <x:c r="J54" s="38"/>
      <x:c r="K54" s="41"/>
      <x:c r="L54" s="41"/>
      <x:c r="M54" s="38"/>
    </x:row>
    <x:row r="55" ht="25" customHeight="1">
      <x:c r="A55" s="38"/>
      <x:c r="B55" s="38"/>
      <x:c r="C55" s="38"/>
      <x:c r="D55" s="38"/>
      <x:c r="E55" s="42"/>
      <x:c r="F55" s="39"/>
      <x:c r="G55" s="39"/>
      <x:c r="H55" s="39"/>
      <x:c r="I55" s="38"/>
      <x:c r="J55" s="38"/>
      <x:c r="K55" s="41"/>
      <x:c r="L55" s="41"/>
      <x:c r="M55" s="38"/>
    </x:row>
    <x:row r="56" ht="25" customHeight="1">
      <x:c r="A56" s="38"/>
      <x:c r="B56" s="38"/>
      <x:c r="C56" s="38"/>
      <x:c r="D56" s="38"/>
      <x:c r="E56" s="42"/>
      <x:c r="F56" s="39"/>
      <x:c r="G56" s="39"/>
      <x:c r="H56" s="39"/>
      <x:c r="I56" s="38"/>
      <x:c r="J56" s="38"/>
      <x:c r="K56" s="41"/>
      <x:c r="L56" s="41"/>
      <x:c r="M56" s="38"/>
    </x:row>
    <x:row r="57" ht="25" customHeight="1">
      <x:c r="A57" s="38"/>
      <x:c r="B57" s="38"/>
      <x:c r="C57" s="38"/>
      <x:c r="D57" s="38"/>
      <x:c r="E57" s="42"/>
      <x:c r="F57" s="39"/>
      <x:c r="G57" s="39"/>
      <x:c r="H57" s="39"/>
      <x:c r="I57" s="38"/>
      <x:c r="J57" s="38"/>
      <x:c r="K57" s="41"/>
      <x:c r="L57" s="41"/>
      <x:c r="M57" s="38"/>
    </x:row>
    <x:row r="58" ht="25" customHeight="1">
      <x:c r="A58" s="38"/>
      <x:c r="B58" s="38"/>
      <x:c r="C58" s="38"/>
      <x:c r="D58" s="38"/>
      <x:c r="E58" s="42"/>
      <x:c r="F58" s="39"/>
      <x:c r="G58" s="39"/>
      <x:c r="H58" s="39"/>
      <x:c r="I58" s="38"/>
      <x:c r="J58" s="38"/>
      <x:c r="K58" s="41"/>
      <x:c r="L58" s="41"/>
      <x:c r="M58" s="38"/>
    </x:row>
    <x:row r="59" ht="25" customHeight="1">
      <x:c r="A59" s="38"/>
      <x:c r="B59" s="38"/>
      <x:c r="C59" s="38"/>
      <x:c r="D59" s="38"/>
      <x:c r="E59" s="42"/>
      <x:c r="F59" s="39"/>
      <x:c r="G59" s="39"/>
      <x:c r="H59" s="39"/>
      <x:c r="I59" s="38"/>
      <x:c r="J59" s="38"/>
      <x:c r="K59" s="41"/>
      <x:c r="L59" s="41"/>
      <x:c r="M59" s="38"/>
    </x:row>
    <x:row r="60" ht="25" customHeight="1">
      <x:c r="A60" s="38"/>
      <x:c r="B60" s="38"/>
      <x:c r="C60" s="38"/>
      <x:c r="D60" s="38"/>
      <x:c r="E60" s="42"/>
      <x:c r="F60" s="39"/>
      <x:c r="G60" s="39"/>
      <x:c r="H60" s="39"/>
      <x:c r="I60" s="38"/>
      <x:c r="J60" s="38"/>
      <x:c r="K60" s="41"/>
      <x:c r="L60" s="41"/>
      <x:c r="M60" s="38"/>
    </x:row>
    <x:row r="61" ht="25" customHeight="1">
      <x:c r="A61" s="38"/>
      <x:c r="B61" s="38"/>
      <x:c r="C61" s="38"/>
      <x:c r="D61" s="38"/>
      <x:c r="E61" s="42"/>
      <x:c r="F61" s="39"/>
      <x:c r="G61" s="39"/>
      <x:c r="H61" s="39"/>
      <x:c r="I61" s="38"/>
      <x:c r="J61" s="38"/>
      <x:c r="K61" s="41"/>
      <x:c r="L61" s="41"/>
      <x:c r="M61" s="38"/>
    </x:row>
    <x:row r="62" ht="25" customHeight="1">
      <x:c r="A62" s="38"/>
      <x:c r="B62" s="38"/>
      <x:c r="C62" s="38"/>
      <x:c r="D62" s="38"/>
      <x:c r="E62" s="42"/>
      <x:c r="F62" s="39"/>
      <x:c r="G62" s="39"/>
      <x:c r="H62" s="39"/>
      <x:c r="I62" s="38"/>
      <x:c r="J62" s="38"/>
      <x:c r="K62" s="41"/>
      <x:c r="L62" s="41"/>
      <x:c r="M62" s="38"/>
    </x:row>
    <x:row r="63" ht="25" customHeight="1">
      <x:c r="A63" s="38"/>
      <x:c r="B63" s="38"/>
      <x:c r="C63" s="38"/>
      <x:c r="D63" s="38"/>
      <x:c r="E63" s="42"/>
      <x:c r="F63" s="39"/>
      <x:c r="G63" s="39"/>
      <x:c r="H63" s="39"/>
      <x:c r="I63" s="38"/>
      <x:c r="J63" s="38"/>
      <x:c r="K63" s="41"/>
      <x:c r="L63" s="41"/>
      <x:c r="M63" s="38"/>
    </x:row>
    <x:row r="64" ht="25" customHeight="1">
      <x:c r="A64" s="38"/>
      <x:c r="B64" s="38"/>
      <x:c r="C64" s="38"/>
      <x:c r="D64" s="38"/>
      <x:c r="E64" s="42"/>
      <x:c r="F64" s="39"/>
      <x:c r="G64" s="39"/>
      <x:c r="H64" s="39"/>
      <x:c r="I64" s="38"/>
      <x:c r="J64" s="38"/>
      <x:c r="K64" s="41"/>
      <x:c r="L64" s="41"/>
      <x:c r="M64" s="38"/>
    </x:row>
    <x:row r="65" ht="25" customHeight="1">
      <x:c r="A65" s="38"/>
      <x:c r="B65" s="38"/>
      <x:c r="C65" s="38"/>
      <x:c r="D65" s="38"/>
      <x:c r="E65" s="42"/>
      <x:c r="F65" s="39"/>
      <x:c r="G65" s="39"/>
      <x:c r="H65" s="39"/>
      <x:c r="I65" s="38"/>
      <x:c r="J65" s="38"/>
      <x:c r="K65" s="41"/>
      <x:c r="L65" s="41"/>
      <x:c r="M65" s="38"/>
    </x:row>
    <x:row r="66" ht="25" customHeight="1">
      <x:c r="A66" s="38"/>
      <x:c r="B66" s="38"/>
      <x:c r="C66" s="38"/>
      <x:c r="D66" s="38"/>
      <x:c r="E66" s="42"/>
      <x:c r="F66" s="39"/>
      <x:c r="G66" s="39"/>
      <x:c r="H66" s="39"/>
      <x:c r="I66" s="38"/>
      <x:c r="J66" s="38"/>
      <x:c r="K66" s="41"/>
      <x:c r="L66" s="41"/>
      <x:c r="M66" s="38"/>
    </x:row>
    <x:row r="67" ht="25" customHeight="1">
      <x:c r="A67" s="38"/>
      <x:c r="B67" s="38"/>
      <x:c r="C67" s="38"/>
      <x:c r="D67" s="38"/>
      <x:c r="E67" s="42"/>
      <x:c r="F67" s="39"/>
      <x:c r="G67" s="39"/>
      <x:c r="H67" s="39"/>
      <x:c r="I67" s="38"/>
      <x:c r="J67" s="38"/>
      <x:c r="K67" s="41"/>
      <x:c r="L67" s="41"/>
      <x:c r="M67" s="38"/>
    </x:row>
    <x:row r="68" ht="25" customHeight="1">
      <x:c r="A68" s="38"/>
      <x:c r="B68" s="38"/>
      <x:c r="C68" s="38"/>
      <x:c r="D68" s="38"/>
      <x:c r="E68" s="42"/>
      <x:c r="F68" s="39"/>
      <x:c r="G68" s="39"/>
      <x:c r="H68" s="39"/>
      <x:c r="I68" s="38"/>
      <x:c r="J68" s="38"/>
      <x:c r="K68" s="41"/>
      <x:c r="L68" s="41"/>
      <x:c r="M68" s="38"/>
    </x:row>
    <x:row r="69" ht="25" customHeight="1">
      <x:c r="A69" s="38"/>
      <x:c r="B69" s="38"/>
      <x:c r="C69" s="38"/>
      <x:c r="D69" s="38"/>
      <x:c r="E69" s="42"/>
      <x:c r="F69" s="39"/>
      <x:c r="G69" s="39"/>
      <x:c r="H69" s="39"/>
      <x:c r="I69" s="38"/>
      <x:c r="J69" s="38"/>
      <x:c r="K69" s="41"/>
      <x:c r="L69" s="41"/>
      <x:c r="M69" s="38"/>
    </x:row>
    <x:row r="70" ht="25" customHeight="1">
      <x:c r="A70" s="38"/>
      <x:c r="B70" s="38"/>
      <x:c r="C70" s="38"/>
      <x:c r="D70" s="38"/>
      <x:c r="E70" s="42"/>
      <x:c r="F70" s="39"/>
      <x:c r="G70" s="39"/>
      <x:c r="H70" s="39"/>
      <x:c r="I70" s="38"/>
      <x:c r="J70" s="38"/>
      <x:c r="K70" s="41"/>
      <x:c r="L70" s="41"/>
      <x:c r="M70" s="38"/>
    </x:row>
    <x:row r="71" ht="25" customHeight="1">
      <x:c r="A71" s="38"/>
      <x:c r="B71" s="38"/>
      <x:c r="C71" s="38"/>
      <x:c r="D71" s="38"/>
      <x:c r="E71" s="42"/>
      <x:c r="F71" s="39"/>
      <x:c r="G71" s="39"/>
      <x:c r="H71" s="39"/>
      <x:c r="I71" s="38"/>
      <x:c r="J71" s="38"/>
      <x:c r="K71" s="41"/>
      <x:c r="L71" s="41"/>
      <x:c r="M71" s="38"/>
    </x:row>
    <x:row r="72" ht="25" customHeight="1">
      <x:c r="A72" s="38"/>
      <x:c r="B72" s="38"/>
      <x:c r="C72" s="38"/>
      <x:c r="D72" s="38"/>
      <x:c r="E72" s="42"/>
      <x:c r="F72" s="39"/>
      <x:c r="G72" s="39"/>
      <x:c r="H72" s="39"/>
      <x:c r="I72" s="38"/>
      <x:c r="J72" s="38"/>
      <x:c r="K72" s="41"/>
      <x:c r="L72" s="41"/>
      <x:c r="M72" s="38"/>
    </x:row>
    <x:row r="73" ht="25" customHeight="1">
      <x:c r="A73" s="38"/>
      <x:c r="B73" s="38"/>
      <x:c r="C73" s="38"/>
      <x:c r="D73" s="38"/>
      <x:c r="E73" s="42"/>
      <x:c r="F73" s="39"/>
      <x:c r="G73" s="39"/>
      <x:c r="H73" s="39"/>
      <x:c r="I73" s="38"/>
      <x:c r="J73" s="38"/>
      <x:c r="K73" s="41"/>
      <x:c r="L73" s="41"/>
      <x:c r="M73" s="38"/>
    </x:row>
    <x:row r="74" ht="25" customHeight="1">
      <x:c r="A74" s="38"/>
      <x:c r="B74" s="38"/>
      <x:c r="C74" s="38"/>
      <x:c r="D74" s="38"/>
      <x:c r="E74" s="42"/>
      <x:c r="F74" s="39"/>
      <x:c r="G74" s="39"/>
      <x:c r="H74" s="39"/>
      <x:c r="I74" s="38"/>
      <x:c r="J74" s="38"/>
      <x:c r="K74" s="41"/>
      <x:c r="L74" s="41"/>
      <x:c r="M74" s="38"/>
    </x:row>
    <x:row r="75" ht="25" customHeight="1">
      <x:c r="A75" s="38"/>
      <x:c r="B75" s="38"/>
      <x:c r="C75" s="38"/>
      <x:c r="D75" s="38"/>
      <x:c r="E75" s="42"/>
      <x:c r="F75" s="39"/>
      <x:c r="G75" s="39"/>
      <x:c r="H75" s="39"/>
      <x:c r="I75" s="38"/>
      <x:c r="J75" s="38"/>
      <x:c r="K75" s="41"/>
      <x:c r="L75" s="41"/>
      <x:c r="M75" s="38"/>
    </x:row>
    <x:row r="76" ht="25" customHeight="1">
      <x:c r="A76" s="38"/>
      <x:c r="B76" s="38"/>
      <x:c r="C76" s="38"/>
      <x:c r="D76" s="38"/>
      <x:c r="E76" s="42"/>
      <x:c r="F76" s="39"/>
      <x:c r="G76" s="39"/>
      <x:c r="H76" s="39"/>
      <x:c r="I76" s="38"/>
      <x:c r="J76" s="38"/>
      <x:c r="K76" s="41"/>
      <x:c r="L76" s="41"/>
      <x:c r="M76" s="38"/>
    </x:row>
    <x:row r="77" ht="25" customHeight="1">
      <x:c r="A77" s="38"/>
      <x:c r="B77" s="38"/>
      <x:c r="C77" s="38"/>
      <x:c r="D77" s="38"/>
      <x:c r="E77" s="42"/>
      <x:c r="F77" s="39"/>
      <x:c r="G77" s="39"/>
      <x:c r="H77" s="39"/>
      <x:c r="I77" s="38"/>
      <x:c r="J77" s="38"/>
      <x:c r="K77" s="41"/>
      <x:c r="L77" s="41"/>
      <x:c r="M77" s="38"/>
    </x:row>
    <x:row r="78" ht="25" customHeight="1">
      <x:c r="A78" s="38"/>
      <x:c r="B78" s="38"/>
      <x:c r="C78" s="38"/>
      <x:c r="D78" s="38"/>
      <x:c r="E78" s="42"/>
      <x:c r="F78" s="39"/>
      <x:c r="G78" s="39"/>
      <x:c r="H78" s="39"/>
      <x:c r="I78" s="38"/>
      <x:c r="J78" s="38"/>
      <x:c r="K78" s="41"/>
      <x:c r="L78" s="41"/>
      <x:c r="M78" s="38"/>
    </x:row>
    <x:row r="79" ht="25" customHeight="1">
      <x:c r="A79" s="38"/>
      <x:c r="B79" s="38"/>
      <x:c r="C79" s="38"/>
      <x:c r="D79" s="38"/>
      <x:c r="E79" s="42"/>
      <x:c r="F79" s="39"/>
      <x:c r="G79" s="39"/>
      <x:c r="H79" s="39"/>
      <x:c r="I79" s="38"/>
      <x:c r="J79" s="38"/>
      <x:c r="K79" s="41"/>
      <x:c r="L79" s="41"/>
      <x:c r="M79" s="38"/>
    </x:row>
    <x:row r="80" ht="25" customHeight="1">
      <x:c r="A80" s="38"/>
      <x:c r="B80" s="38"/>
      <x:c r="C80" s="38"/>
      <x:c r="D80" s="38"/>
      <x:c r="E80" s="42"/>
      <x:c r="F80" s="39"/>
      <x:c r="G80" s="39"/>
      <x:c r="H80" s="39"/>
      <x:c r="I80" s="38"/>
      <x:c r="J80" s="38"/>
      <x:c r="K80" s="41"/>
      <x:c r="L80" s="41"/>
      <x:c r="M80" s="3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4" hidden="0" customWidth="1"/>
    <x:col min="5" max="5" width="29" hidden="0" customWidth="1"/>
    <x:col min="6" max="6" width="16" hidden="0" customWidth="1"/>
    <x:col min="7" max="7" width="16" hidden="0" customWidth="1"/>
    <x:col min="8" max="8" width="16" hidden="0" customWidth="1"/>
    <x:col min="9" max="9" width="25" hidden="0" customWidth="1"/>
    <x:col min="10" max="10" width="65" hidden="0" customWidth="1"/>
    <x:col min="11" max="11" width="65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</x:row>
    <x:row r="2" ht="25" customHeight="1">
      <x:c r="A2" s="34" t="str">
        <x:v>DELTA1 · 研究指标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</x:row>
    <x:row r="6" ht="32" customHeight="1">
      <x:c r="A6" s="37" t="str">
        <x:v>品种</x:v>
      </x:c>
      <x:c r="B6" s="37" t="str">
        <x:v>档位</x:v>
      </x:c>
      <x:c r="C6" s="37" t="str">
        <x:v>具体合约</x:v>
      </x:c>
      <x:c r="D6" s="37" t="str">
        <x:v>指标ID</x:v>
      </x:c>
      <x:c r="E6" s="37" t="str">
        <x:v>指标名称</x:v>
      </x:c>
      <x:c r="F6" s="37" t="str">
        <x:v>数值</x:v>
      </x:c>
      <x:c r="G6" s="37" t="str">
        <x:v>单位</x:v>
      </x:c>
      <x:c r="H6" s="37" t="str">
        <x:v>数据类型</x:v>
      </x:c>
      <x:c r="I6" s="37" t="str">
        <x:v>数据时间（北京）</x:v>
      </x:c>
      <x:c r="J6" s="37" t="str">
        <x:v>可用性说明</x:v>
      </x:c>
      <x:c r="K6" s="37" t="str">
        <x:v>口径 / 公式</x:v>
      </x:c>
    </x:row>
    <x:row r="7" ht="25" customHeight="1">
      <x:c r="A7" s="38"/>
      <x:c r="B7" s="38"/>
      <x:c r="C7" s="38"/>
      <x:c r="D7" s="38"/>
      <x:c r="E7" s="38"/>
      <x:c r="F7" s="38"/>
      <x:c r="G7" s="38"/>
      <x:c r="H7" s="38"/>
      <x:c r="I7" s="41"/>
      <x:c r="J7" s="38"/>
      <x:c r="K7" s="38"/>
    </x:row>
    <x:row r="8" ht="25" customHeight="1">
      <x:c r="A8" s="38"/>
      <x:c r="B8" s="38"/>
      <x:c r="C8" s="38"/>
      <x:c r="D8" s="38"/>
      <x:c r="E8" s="38"/>
      <x:c r="F8" s="38"/>
      <x:c r="G8" s="38"/>
      <x:c r="H8" s="38"/>
      <x:c r="I8" s="41"/>
      <x:c r="J8" s="38"/>
      <x:c r="K8" s="38"/>
    </x:row>
    <x:row r="9" ht="25" customHeight="1">
      <x:c r="A9" s="38"/>
      <x:c r="B9" s="38"/>
      <x:c r="C9" s="38"/>
      <x:c r="D9" s="38"/>
      <x:c r="E9" s="38"/>
      <x:c r="F9" s="38"/>
      <x:c r="G9" s="38"/>
      <x:c r="H9" s="38"/>
      <x:c r="I9" s="41"/>
      <x:c r="J9" s="38"/>
      <x:c r="K9" s="38"/>
    </x:row>
    <x:row r="10" ht="25" customHeight="1">
      <x:c r="A10" s="38"/>
      <x:c r="B10" s="38"/>
      <x:c r="C10" s="38"/>
      <x:c r="D10" s="38"/>
      <x:c r="E10" s="38"/>
      <x:c r="F10" s="38"/>
      <x:c r="G10" s="38"/>
      <x:c r="H10" s="38"/>
      <x:c r="I10" s="41"/>
      <x:c r="J10" s="38"/>
      <x:c r="K10" s="38"/>
    </x:row>
    <x:row r="11" ht="25" customHeight="1">
      <x:c r="A11" s="38"/>
      <x:c r="B11" s="38"/>
      <x:c r="C11" s="38"/>
      <x:c r="D11" s="38"/>
      <x:c r="E11" s="38"/>
      <x:c r="F11" s="38"/>
      <x:c r="G11" s="38"/>
      <x:c r="H11" s="38"/>
      <x:c r="I11" s="41"/>
      <x:c r="J11" s="38"/>
      <x:c r="K11" s="38"/>
    </x:row>
    <x:row r="12" ht="25" customHeight="1">
      <x:c r="A12" s="38"/>
      <x:c r="B12" s="38"/>
      <x:c r="C12" s="38"/>
      <x:c r="D12" s="38"/>
      <x:c r="E12" s="38"/>
      <x:c r="F12" s="38"/>
      <x:c r="G12" s="38"/>
      <x:c r="H12" s="38"/>
      <x:c r="I12" s="41"/>
      <x:c r="J12" s="38"/>
      <x:c r="K12" s="38"/>
    </x:row>
    <x:row r="13" ht="25" customHeight="1">
      <x:c r="A13" s="38"/>
      <x:c r="B13" s="38"/>
      <x:c r="C13" s="38"/>
      <x:c r="D13" s="38"/>
      <x:c r="E13" s="38"/>
      <x:c r="F13" s="38"/>
      <x:c r="G13" s="38"/>
      <x:c r="H13" s="38"/>
      <x:c r="I13" s="41"/>
      <x:c r="J13" s="38"/>
      <x:c r="K13" s="38"/>
    </x:row>
    <x:row r="14" ht="25" customHeight="1">
      <x:c r="A14" s="38"/>
      <x:c r="B14" s="38"/>
      <x:c r="C14" s="38"/>
      <x:c r="D14" s="38"/>
      <x:c r="E14" s="38"/>
      <x:c r="F14" s="38"/>
      <x:c r="G14" s="38"/>
      <x:c r="H14" s="38"/>
      <x:c r="I14" s="41"/>
      <x:c r="J14" s="38"/>
      <x:c r="K14" s="38"/>
    </x:row>
    <x:row r="15" ht="25" customHeight="1">
      <x:c r="A15" s="38"/>
      <x:c r="B15" s="38"/>
      <x:c r="C15" s="38"/>
      <x:c r="D15" s="38"/>
      <x:c r="E15" s="38"/>
      <x:c r="F15" s="38"/>
      <x:c r="G15" s="38"/>
      <x:c r="H15" s="38"/>
      <x:c r="I15" s="41"/>
      <x:c r="J15" s="38"/>
      <x:c r="K15" s="38"/>
    </x:row>
    <x:row r="16" ht="25" customHeight="1">
      <x:c r="A16" s="38"/>
      <x:c r="B16" s="38"/>
      <x:c r="C16" s="38"/>
      <x:c r="D16" s="38"/>
      <x:c r="E16" s="38"/>
      <x:c r="F16" s="38"/>
      <x:c r="G16" s="38"/>
      <x:c r="H16" s="38"/>
      <x:c r="I16" s="41"/>
      <x:c r="J16" s="38"/>
      <x:c r="K16" s="38"/>
    </x:row>
    <x:row r="17" ht="25" customHeight="1">
      <x:c r="A17" s="38"/>
      <x:c r="B17" s="38"/>
      <x:c r="C17" s="38"/>
      <x:c r="D17" s="38"/>
      <x:c r="E17" s="38"/>
      <x:c r="F17" s="38"/>
      <x:c r="G17" s="38"/>
      <x:c r="H17" s="38"/>
      <x:c r="I17" s="41"/>
      <x:c r="J17" s="38"/>
      <x:c r="K17" s="38"/>
    </x:row>
    <x:row r="18" ht="25" customHeight="1">
      <x:c r="A18" s="38"/>
      <x:c r="B18" s="38"/>
      <x:c r="C18" s="38"/>
      <x:c r="D18" s="38"/>
      <x:c r="E18" s="38"/>
      <x:c r="F18" s="38"/>
      <x:c r="G18" s="38"/>
      <x:c r="H18" s="38"/>
      <x:c r="I18" s="41"/>
      <x:c r="J18" s="38"/>
      <x:c r="K18" s="38"/>
    </x:row>
    <x:row r="19" ht="25" customHeight="1">
      <x:c r="A19" s="38"/>
      <x:c r="B19" s="38"/>
      <x:c r="C19" s="38"/>
      <x:c r="D19" s="38"/>
      <x:c r="E19" s="38"/>
      <x:c r="F19" s="38"/>
      <x:c r="G19" s="38"/>
      <x:c r="H19" s="38"/>
      <x:c r="I19" s="41"/>
      <x:c r="J19" s="38"/>
      <x:c r="K19" s="38"/>
    </x:row>
    <x:row r="20" ht="25" customHeight="1">
      <x:c r="A20" s="38"/>
      <x:c r="B20" s="38"/>
      <x:c r="C20" s="38"/>
      <x:c r="D20" s="38"/>
      <x:c r="E20" s="38"/>
      <x:c r="F20" s="38"/>
      <x:c r="G20" s="38"/>
      <x:c r="H20" s="38"/>
      <x:c r="I20" s="41"/>
      <x:c r="J20" s="38"/>
      <x:c r="K20" s="38"/>
    </x:row>
    <x:row r="21" ht="25" customHeight="1">
      <x:c r="A21" s="38"/>
      <x:c r="B21" s="38"/>
      <x:c r="C21" s="38"/>
      <x:c r="D21" s="38"/>
      <x:c r="E21" s="38"/>
      <x:c r="F21" s="38"/>
      <x:c r="G21" s="38"/>
      <x:c r="H21" s="38"/>
      <x:c r="I21" s="41"/>
      <x:c r="J21" s="38"/>
      <x:c r="K21" s="38"/>
    </x:row>
    <x:row r="22" ht="25" customHeight="1">
      <x:c r="A22" s="38"/>
      <x:c r="B22" s="38"/>
      <x:c r="C22" s="38"/>
      <x:c r="D22" s="38"/>
      <x:c r="E22" s="38"/>
      <x:c r="F22" s="38"/>
      <x:c r="G22" s="38"/>
      <x:c r="H22" s="38"/>
      <x:c r="I22" s="41"/>
      <x:c r="J22" s="38"/>
      <x:c r="K22" s="38"/>
    </x:row>
    <x:row r="23" ht="25" customHeight="1">
      <x:c r="A23" s="38"/>
      <x:c r="B23" s="38"/>
      <x:c r="C23" s="38"/>
      <x:c r="D23" s="38"/>
      <x:c r="E23" s="38"/>
      <x:c r="F23" s="38"/>
      <x:c r="G23" s="38"/>
      <x:c r="H23" s="38"/>
      <x:c r="I23" s="41"/>
      <x:c r="J23" s="38"/>
      <x:c r="K23" s="38"/>
    </x:row>
    <x:row r="24" ht="25" customHeight="1">
      <x:c r="A24" s="38"/>
      <x:c r="B24" s="38"/>
      <x:c r="C24" s="38"/>
      <x:c r="D24" s="38"/>
      <x:c r="E24" s="38"/>
      <x:c r="F24" s="38"/>
      <x:c r="G24" s="38"/>
      <x:c r="H24" s="38"/>
      <x:c r="I24" s="41"/>
      <x:c r="J24" s="38"/>
      <x:c r="K24" s="38"/>
    </x:row>
    <x:row r="25" ht="25" customHeight="1">
      <x:c r="A25" s="38"/>
      <x:c r="B25" s="38"/>
      <x:c r="C25" s="38"/>
      <x:c r="D25" s="38"/>
      <x:c r="E25" s="38"/>
      <x:c r="F25" s="38"/>
      <x:c r="G25" s="38"/>
      <x:c r="H25" s="38"/>
      <x:c r="I25" s="41"/>
      <x:c r="J25" s="38"/>
      <x:c r="K25" s="38"/>
    </x:row>
    <x:row r="26" ht="25" customHeight="1">
      <x:c r="A26" s="38"/>
      <x:c r="B26" s="38"/>
      <x:c r="C26" s="38"/>
      <x:c r="D26" s="38"/>
      <x:c r="E26" s="38"/>
      <x:c r="F26" s="38"/>
      <x:c r="G26" s="38"/>
      <x:c r="H26" s="38"/>
      <x:c r="I26" s="41"/>
      <x:c r="J26" s="38"/>
      <x:c r="K26" s="38"/>
    </x:row>
    <x:row r="27" ht="25" customHeight="1">
      <x:c r="A27" s="38"/>
      <x:c r="B27" s="38"/>
      <x:c r="C27" s="38"/>
      <x:c r="D27" s="38"/>
      <x:c r="E27" s="38"/>
      <x:c r="F27" s="38"/>
      <x:c r="G27" s="38"/>
      <x:c r="H27" s="38"/>
      <x:c r="I27" s="41"/>
      <x:c r="J27" s="38"/>
      <x:c r="K27" s="38"/>
    </x:row>
    <x:row r="28" ht="25" customHeight="1">
      <x:c r="A28" s="38"/>
      <x:c r="B28" s="38"/>
      <x:c r="C28" s="38"/>
      <x:c r="D28" s="38"/>
      <x:c r="E28" s="38"/>
      <x:c r="F28" s="38"/>
      <x:c r="G28" s="38"/>
      <x:c r="H28" s="38"/>
      <x:c r="I28" s="41"/>
      <x:c r="J28" s="38"/>
      <x:c r="K28" s="38"/>
    </x:row>
    <x:row r="29" ht="25" customHeight="1">
      <x:c r="A29" s="38"/>
      <x:c r="B29" s="38"/>
      <x:c r="C29" s="38"/>
      <x:c r="D29" s="38"/>
      <x:c r="E29" s="38"/>
      <x:c r="F29" s="38"/>
      <x:c r="G29" s="38"/>
      <x:c r="H29" s="38"/>
      <x:c r="I29" s="41"/>
      <x:c r="J29" s="38"/>
      <x:c r="K29" s="38"/>
    </x:row>
    <x:row r="30" ht="25" customHeight="1">
      <x:c r="A30" s="38"/>
      <x:c r="B30" s="38"/>
      <x:c r="C30" s="38"/>
      <x:c r="D30" s="38"/>
      <x:c r="E30" s="38"/>
      <x:c r="F30" s="38"/>
      <x:c r="G30" s="38"/>
      <x:c r="H30" s="38"/>
      <x:c r="I30" s="41"/>
      <x:c r="J30" s="38"/>
      <x:c r="K30" s="38"/>
    </x:row>
    <x:row r="31" ht="25" customHeight="1">
      <x:c r="A31" s="38"/>
      <x:c r="B31" s="38"/>
      <x:c r="C31" s="38"/>
      <x:c r="D31" s="38"/>
      <x:c r="E31" s="38"/>
      <x:c r="F31" s="38"/>
      <x:c r="G31" s="38"/>
      <x:c r="H31" s="38"/>
      <x:c r="I31" s="41"/>
      <x:c r="J31" s="38"/>
      <x:c r="K31" s="38"/>
    </x:row>
    <x:row r="32" ht="25" customHeight="1">
      <x:c r="A32" s="38"/>
      <x:c r="B32" s="38"/>
      <x:c r="C32" s="38"/>
      <x:c r="D32" s="38"/>
      <x:c r="E32" s="38"/>
      <x:c r="F32" s="38"/>
      <x:c r="G32" s="38"/>
      <x:c r="H32" s="38"/>
      <x:c r="I32" s="41"/>
      <x:c r="J32" s="38"/>
      <x:c r="K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41"/>
      <x:c r="J33" s="38"/>
      <x:c r="K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41"/>
      <x:c r="J34" s="38"/>
      <x:c r="K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41"/>
      <x:c r="J35" s="38"/>
      <x:c r="K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41"/>
      <x:c r="J36" s="38"/>
      <x:c r="K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41"/>
      <x:c r="J37" s="38"/>
      <x:c r="K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41"/>
      <x:c r="J38" s="38"/>
      <x:c r="K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41"/>
      <x:c r="J39" s="38"/>
      <x:c r="K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41"/>
      <x:c r="J40" s="38"/>
      <x:c r="K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41"/>
      <x:c r="J41" s="38"/>
      <x:c r="K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41"/>
      <x:c r="J42" s="38"/>
      <x:c r="K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41"/>
      <x:c r="J43" s="38"/>
      <x:c r="K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41"/>
      <x:c r="J44" s="38"/>
      <x:c r="K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41"/>
      <x:c r="J45" s="38"/>
      <x:c r="K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41"/>
      <x:c r="J46" s="38"/>
      <x:c r="K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41"/>
      <x:c r="J47" s="38"/>
      <x:c r="K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41"/>
      <x:c r="J48" s="38"/>
      <x:c r="K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41"/>
      <x:c r="J49" s="38"/>
      <x:c r="K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41"/>
      <x:c r="J50" s="38"/>
      <x:c r="K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41"/>
      <x:c r="J51" s="38"/>
      <x:c r="K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41"/>
      <x:c r="J52" s="38"/>
      <x:c r="K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41"/>
      <x:c r="J53" s="38"/>
      <x:c r="K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41"/>
      <x:c r="J54" s="38"/>
      <x:c r="K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41"/>
      <x:c r="J55" s="38"/>
      <x:c r="K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41"/>
      <x:c r="J56" s="38"/>
      <x:c r="K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41"/>
      <x:c r="J57" s="38"/>
      <x:c r="K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41"/>
      <x:c r="J58" s="38"/>
      <x:c r="K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41"/>
      <x:c r="J59" s="38"/>
      <x:c r="K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41"/>
      <x:c r="J60" s="38"/>
      <x:c r="K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41"/>
      <x:c r="J61" s="38"/>
      <x:c r="K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41"/>
      <x:c r="J62" s="38"/>
      <x:c r="K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41"/>
      <x:c r="J63" s="38"/>
      <x:c r="K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41"/>
      <x:c r="J64" s="38"/>
      <x:c r="K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41"/>
      <x:c r="J65" s="38"/>
      <x:c r="K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41"/>
      <x:c r="J66" s="38"/>
      <x:c r="K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41"/>
      <x:c r="J67" s="38"/>
      <x:c r="K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41"/>
      <x:c r="J68" s="38"/>
      <x:c r="K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41"/>
      <x:c r="J69" s="38"/>
      <x:c r="K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41"/>
      <x:c r="J70" s="38"/>
      <x:c r="K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41"/>
      <x:c r="J71" s="38"/>
      <x:c r="K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41"/>
      <x:c r="J72" s="38"/>
      <x:c r="K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41"/>
      <x:c r="J73" s="38"/>
      <x:c r="K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41"/>
      <x:c r="J74" s="38"/>
      <x:c r="K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41"/>
      <x:c r="J75" s="38"/>
      <x:c r="K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41"/>
      <x:c r="J76" s="38"/>
      <x:c r="K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41"/>
      <x:c r="J77" s="38"/>
      <x:c r="K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41"/>
      <x:c r="J78" s="38"/>
      <x:c r="K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41"/>
      <x:c r="J79" s="38"/>
      <x:c r="K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41"/>
      <x:c r="J80" s="38"/>
      <x:c r="K80" s="38"/>
    </x:row>
    <x:row r="81" ht="25" customHeight="1">
      <x:c r="A81" s="38"/>
      <x:c r="B81" s="38"/>
      <x:c r="C81" s="38"/>
      <x:c r="D81" s="38"/>
      <x:c r="E81" s="38"/>
      <x:c r="F81" s="38"/>
      <x:c r="G81" s="38"/>
      <x:c r="H81" s="38"/>
      <x:c r="I81" s="41"/>
      <x:c r="J81" s="38"/>
      <x:c r="K81" s="38"/>
    </x:row>
    <x:row r="82" ht="25" customHeight="1">
      <x:c r="A82" s="38"/>
      <x:c r="B82" s="38"/>
      <x:c r="C82" s="38"/>
      <x:c r="D82" s="38"/>
      <x:c r="E82" s="38"/>
      <x:c r="F82" s="38"/>
      <x:c r="G82" s="38"/>
      <x:c r="H82" s="38"/>
      <x:c r="I82" s="41"/>
      <x:c r="J82" s="38"/>
      <x:c r="K82" s="38"/>
    </x:row>
    <x:row r="83" ht="25" customHeight="1">
      <x:c r="A83" s="38"/>
      <x:c r="B83" s="38"/>
      <x:c r="C83" s="38"/>
      <x:c r="D83" s="38"/>
      <x:c r="E83" s="38"/>
      <x:c r="F83" s="38"/>
      <x:c r="G83" s="38"/>
      <x:c r="H83" s="38"/>
      <x:c r="I83" s="41"/>
      <x:c r="J83" s="38"/>
      <x:c r="K83" s="38"/>
    </x:row>
    <x:row r="84" ht="25" customHeight="1">
      <x:c r="A84" s="38"/>
      <x:c r="B84" s="38"/>
      <x:c r="C84" s="38"/>
      <x:c r="D84" s="38"/>
      <x:c r="E84" s="38"/>
      <x:c r="F84" s="38"/>
      <x:c r="G84" s="38"/>
      <x:c r="H84" s="38"/>
      <x:c r="I84" s="41"/>
      <x:c r="J84" s="38"/>
      <x:c r="K84" s="38"/>
    </x:row>
    <x:row r="85" ht="25" customHeight="1">
      <x:c r="A85" s="38"/>
      <x:c r="B85" s="38"/>
      <x:c r="C85" s="38"/>
      <x:c r="D85" s="38"/>
      <x:c r="E85" s="38"/>
      <x:c r="F85" s="38"/>
      <x:c r="G85" s="38"/>
      <x:c r="H85" s="38"/>
      <x:c r="I85" s="41"/>
      <x:c r="J85" s="38"/>
      <x:c r="K85" s="38"/>
    </x:row>
    <x:row r="86" ht="25" customHeight="1">
      <x:c r="A86" s="38"/>
      <x:c r="B86" s="38"/>
      <x:c r="C86" s="38"/>
      <x:c r="D86" s="38"/>
      <x:c r="E86" s="38"/>
      <x:c r="F86" s="38"/>
      <x:c r="G86" s="38"/>
      <x:c r="H86" s="38"/>
      <x:c r="I86" s="41"/>
      <x:c r="J86" s="38"/>
      <x:c r="K86" s="38"/>
    </x:row>
    <x:row r="87" ht="25" customHeight="1">
      <x:c r="A87" s="38"/>
      <x:c r="B87" s="38"/>
      <x:c r="C87" s="38"/>
      <x:c r="D87" s="38"/>
      <x:c r="E87" s="38"/>
      <x:c r="F87" s="38"/>
      <x:c r="G87" s="38"/>
      <x:c r="H87" s="38"/>
      <x:c r="I87" s="41"/>
      <x:c r="J87" s="38"/>
      <x:c r="K87" s="38"/>
    </x:row>
    <x:row r="88" ht="25" customHeight="1">
      <x:c r="A88" s="38"/>
      <x:c r="B88" s="38"/>
      <x:c r="C88" s="38"/>
      <x:c r="D88" s="38"/>
      <x:c r="E88" s="38"/>
      <x:c r="F88" s="38"/>
      <x:c r="G88" s="38"/>
      <x:c r="H88" s="38"/>
      <x:c r="I88" s="41"/>
      <x:c r="J88" s="38"/>
      <x:c r="K88" s="38"/>
    </x:row>
    <x:row r="89" ht="25" customHeight="1">
      <x:c r="A89" s="38"/>
      <x:c r="B89" s="38"/>
      <x:c r="C89" s="38"/>
      <x:c r="D89" s="38"/>
      <x:c r="E89" s="38"/>
      <x:c r="F89" s="38"/>
      <x:c r="G89" s="38"/>
      <x:c r="H89" s="38"/>
      <x:c r="I89" s="41"/>
      <x:c r="J89" s="38"/>
      <x:c r="K89" s="38"/>
    </x:row>
    <x:row r="90" ht="25" customHeight="1">
      <x:c r="A90" s="38"/>
      <x:c r="B90" s="38"/>
      <x:c r="C90" s="38"/>
      <x:c r="D90" s="38"/>
      <x:c r="E90" s="38"/>
      <x:c r="F90" s="38"/>
      <x:c r="G90" s="38"/>
      <x:c r="H90" s="38"/>
      <x:c r="I90" s="41"/>
      <x:c r="J90" s="38"/>
      <x:c r="K90" s="38"/>
    </x:row>
    <x:row r="91" ht="25" customHeight="1">
      <x:c r="A91" s="38"/>
      <x:c r="B91" s="38"/>
      <x:c r="C91" s="38"/>
      <x:c r="D91" s="38"/>
      <x:c r="E91" s="38"/>
      <x:c r="F91" s="38"/>
      <x:c r="G91" s="38"/>
      <x:c r="H91" s="38"/>
      <x:c r="I91" s="41"/>
      <x:c r="J91" s="38"/>
      <x:c r="K91" s="38"/>
    </x:row>
    <x:row r="92" ht="25" customHeight="1">
      <x:c r="A92" s="38"/>
      <x:c r="B92" s="38"/>
      <x:c r="C92" s="38"/>
      <x:c r="D92" s="38"/>
      <x:c r="E92" s="38"/>
      <x:c r="F92" s="38"/>
      <x:c r="G92" s="38"/>
      <x:c r="H92" s="38"/>
      <x:c r="I92" s="41"/>
      <x:c r="J92" s="38"/>
      <x:c r="K92" s="38"/>
    </x:row>
    <x:row r="93" ht="25" customHeight="1">
      <x:c r="A93" s="38"/>
      <x:c r="B93" s="38"/>
      <x:c r="C93" s="38"/>
      <x:c r="D93" s="38"/>
      <x:c r="E93" s="38"/>
      <x:c r="F93" s="38"/>
      <x:c r="G93" s="38"/>
      <x:c r="H93" s="38"/>
      <x:c r="I93" s="41"/>
      <x:c r="J93" s="38"/>
      <x:c r="K93" s="38"/>
    </x:row>
    <x:row r="94" ht="25" customHeight="1">
      <x:c r="A94" s="38"/>
      <x:c r="B94" s="38"/>
      <x:c r="C94" s="38"/>
      <x:c r="D94" s="38"/>
      <x:c r="E94" s="38"/>
      <x:c r="F94" s="38"/>
      <x:c r="G94" s="38"/>
      <x:c r="H94" s="38"/>
      <x:c r="I94" s="41"/>
      <x:c r="J94" s="38"/>
      <x:c r="K94" s="38"/>
    </x:row>
    <x:row r="95" ht="25" customHeight="1">
      <x:c r="A95" s="38"/>
      <x:c r="B95" s="38"/>
      <x:c r="C95" s="38"/>
      <x:c r="D95" s="38"/>
      <x:c r="E95" s="38"/>
      <x:c r="F95" s="38"/>
      <x:c r="G95" s="38"/>
      <x:c r="H95" s="38"/>
      <x:c r="I95" s="41"/>
      <x:c r="J95" s="38"/>
      <x:c r="K95" s="38"/>
    </x:row>
    <x:row r="96" ht="25" customHeight="1">
      <x:c r="A96" s="38"/>
      <x:c r="B96" s="38"/>
      <x:c r="C96" s="38"/>
      <x:c r="D96" s="38"/>
      <x:c r="E96" s="38"/>
      <x:c r="F96" s="38"/>
      <x:c r="G96" s="38"/>
      <x:c r="H96" s="38"/>
      <x:c r="I96" s="41"/>
      <x:c r="J96" s="38"/>
      <x:c r="K96" s="38"/>
    </x:row>
    <x:row r="97" ht="25" customHeight="1">
      <x:c r="A97" s="38"/>
      <x:c r="B97" s="38"/>
      <x:c r="C97" s="38"/>
      <x:c r="D97" s="38"/>
      <x:c r="E97" s="38"/>
      <x:c r="F97" s="38"/>
      <x:c r="G97" s="38"/>
      <x:c r="H97" s="38"/>
      <x:c r="I97" s="41"/>
      <x:c r="J97" s="38"/>
      <x:c r="K97" s="38"/>
    </x:row>
    <x:row r="98" ht="25" customHeight="1">
      <x:c r="A98" s="38"/>
      <x:c r="B98" s="38"/>
      <x:c r="C98" s="38"/>
      <x:c r="D98" s="38"/>
      <x:c r="E98" s="38"/>
      <x:c r="F98" s="38"/>
      <x:c r="G98" s="38"/>
      <x:c r="H98" s="38"/>
      <x:c r="I98" s="41"/>
      <x:c r="J98" s="38"/>
      <x:c r="K98" s="38"/>
    </x:row>
    <x:row r="99" ht="25" customHeight="1">
      <x:c r="A99" s="38"/>
      <x:c r="B99" s="38"/>
      <x:c r="C99" s="38"/>
      <x:c r="D99" s="38"/>
      <x:c r="E99" s="38"/>
      <x:c r="F99" s="38"/>
      <x:c r="G99" s="38"/>
      <x:c r="H99" s="38"/>
      <x:c r="I99" s="41"/>
      <x:c r="J99" s="38"/>
      <x:c r="K99" s="38"/>
    </x:row>
    <x:row r="100" ht="25" customHeight="1">
      <x:c r="A100" s="38"/>
      <x:c r="B100" s="38"/>
      <x:c r="C100" s="38"/>
      <x:c r="D100" s="38"/>
      <x:c r="E100" s="38"/>
      <x:c r="F100" s="38"/>
      <x:c r="G100" s="38"/>
      <x:c r="H100" s="38"/>
      <x:c r="I100" s="41"/>
      <x:c r="J100" s="38"/>
      <x:c r="K100" s="38"/>
    </x:row>
    <x:row r="101" ht="25" customHeight="1">
      <x:c r="A101" s="38"/>
      <x:c r="B101" s="38"/>
      <x:c r="C101" s="38"/>
      <x:c r="D101" s="38"/>
      <x:c r="E101" s="38"/>
      <x:c r="F101" s="38"/>
      <x:c r="G101" s="38"/>
      <x:c r="H101" s="38"/>
      <x:c r="I101" s="41"/>
      <x:c r="J101" s="38"/>
      <x:c r="K101" s="38"/>
    </x:row>
    <x:row r="102" ht="25" customHeight="1">
      <x:c r="A102" s="38"/>
      <x:c r="B102" s="38"/>
      <x:c r="C102" s="38"/>
      <x:c r="D102" s="38"/>
      <x:c r="E102" s="38"/>
      <x:c r="F102" s="38"/>
      <x:c r="G102" s="38"/>
      <x:c r="H102" s="38"/>
      <x:c r="I102" s="41"/>
      <x:c r="J102" s="38"/>
      <x:c r="K102" s="38"/>
    </x:row>
    <x:row r="103" ht="25" customHeight="1">
      <x:c r="A103" s="38"/>
      <x:c r="B103" s="38"/>
      <x:c r="C103" s="38"/>
      <x:c r="D103" s="38"/>
      <x:c r="E103" s="38"/>
      <x:c r="F103" s="38"/>
      <x:c r="G103" s="38"/>
      <x:c r="H103" s="38"/>
      <x:c r="I103" s="41"/>
      <x:c r="J103" s="38"/>
      <x:c r="K103" s="38"/>
    </x:row>
    <x:row r="104" ht="25" customHeight="1">
      <x:c r="A104" s="38"/>
      <x:c r="B104" s="38"/>
      <x:c r="C104" s="38"/>
      <x:c r="D104" s="38"/>
      <x:c r="E104" s="38"/>
      <x:c r="F104" s="38"/>
      <x:c r="G104" s="38"/>
      <x:c r="H104" s="38"/>
      <x:c r="I104" s="41"/>
      <x:c r="J104" s="38"/>
      <x:c r="K104" s="38"/>
    </x:row>
    <x:row r="105" ht="25" customHeight="1">
      <x:c r="A105" s="38"/>
      <x:c r="B105" s="38"/>
      <x:c r="C105" s="38"/>
      <x:c r="D105" s="38"/>
      <x:c r="E105" s="38"/>
      <x:c r="F105" s="38"/>
      <x:c r="G105" s="38"/>
      <x:c r="H105" s="38"/>
      <x:c r="I105" s="41"/>
      <x:c r="J105" s="38"/>
      <x:c r="K105" s="38"/>
    </x:row>
    <x:row r="106" ht="25" customHeight="1">
      <x:c r="A106" s="38"/>
      <x:c r="B106" s="38"/>
      <x:c r="C106" s="38"/>
      <x:c r="D106" s="38"/>
      <x:c r="E106" s="38"/>
      <x:c r="F106" s="38"/>
      <x:c r="G106" s="38"/>
      <x:c r="H106" s="38"/>
      <x:c r="I106" s="41"/>
      <x:c r="J106" s="38"/>
      <x:c r="K106" s="38"/>
    </x:row>
    <x:row r="107" ht="25" customHeight="1">
      <x:c r="A107" s="38"/>
      <x:c r="B107" s="38"/>
      <x:c r="C107" s="38"/>
      <x:c r="D107" s="38"/>
      <x:c r="E107" s="38"/>
      <x:c r="F107" s="38"/>
      <x:c r="G107" s="38"/>
      <x:c r="H107" s="38"/>
      <x:c r="I107" s="41"/>
      <x:c r="J107" s="38"/>
      <x:c r="K107" s="38"/>
    </x:row>
    <x:row r="108" ht="25" customHeight="1">
      <x:c r="A108" s="38"/>
      <x:c r="B108" s="38"/>
      <x:c r="C108" s="38"/>
      <x:c r="D108" s="38"/>
      <x:c r="E108" s="38"/>
      <x:c r="F108" s="38"/>
      <x:c r="G108" s="38"/>
      <x:c r="H108" s="38"/>
      <x:c r="I108" s="41"/>
      <x:c r="J108" s="38"/>
      <x:c r="K108" s="38"/>
    </x:row>
    <x:row r="109" ht="25" customHeight="1">
      <x:c r="A109" s="38"/>
      <x:c r="B109" s="38"/>
      <x:c r="C109" s="38"/>
      <x:c r="D109" s="38"/>
      <x:c r="E109" s="38"/>
      <x:c r="F109" s="38"/>
      <x:c r="G109" s="38"/>
      <x:c r="H109" s="38"/>
      <x:c r="I109" s="41"/>
      <x:c r="J109" s="38"/>
      <x:c r="K109" s="38"/>
    </x:row>
    <x:row r="110" ht="25" customHeight="1">
      <x:c r="A110" s="38"/>
      <x:c r="B110" s="38"/>
      <x:c r="C110" s="38"/>
      <x:c r="D110" s="38"/>
      <x:c r="E110" s="38"/>
      <x:c r="F110" s="38"/>
      <x:c r="G110" s="38"/>
      <x:c r="H110" s="38"/>
      <x:c r="I110" s="41"/>
      <x:c r="J110" s="38"/>
      <x:c r="K110" s="38"/>
    </x:row>
    <x:row r="111" ht="25" customHeight="1">
      <x:c r="A111" s="38"/>
      <x:c r="B111" s="38"/>
      <x:c r="C111" s="38"/>
      <x:c r="D111" s="38"/>
      <x:c r="E111" s="38"/>
      <x:c r="F111" s="38"/>
      <x:c r="G111" s="38"/>
      <x:c r="H111" s="38"/>
      <x:c r="I111" s="41"/>
      <x:c r="J111" s="38"/>
      <x:c r="K111" s="38"/>
    </x:row>
    <x:row r="112" ht="25" customHeight="1">
      <x:c r="A112" s="38"/>
      <x:c r="B112" s="38"/>
      <x:c r="C112" s="38"/>
      <x:c r="D112" s="38"/>
      <x:c r="E112" s="38"/>
      <x:c r="F112" s="38"/>
      <x:c r="G112" s="38"/>
      <x:c r="H112" s="38"/>
      <x:c r="I112" s="41"/>
      <x:c r="J112" s="38"/>
      <x:c r="K112" s="38"/>
    </x:row>
    <x:row r="113" ht="25" customHeight="1">
      <x:c r="A113" s="38"/>
      <x:c r="B113" s="38"/>
      <x:c r="C113" s="38"/>
      <x:c r="D113" s="38"/>
      <x:c r="E113" s="38"/>
      <x:c r="F113" s="38"/>
      <x:c r="G113" s="38"/>
      <x:c r="H113" s="38"/>
      <x:c r="I113" s="41"/>
      <x:c r="J113" s="38"/>
      <x:c r="K113" s="38"/>
    </x:row>
    <x:row r="114" ht="25" customHeight="1">
      <x:c r="A114" s="38"/>
      <x:c r="B114" s="38"/>
      <x:c r="C114" s="38"/>
      <x:c r="D114" s="38"/>
      <x:c r="E114" s="38"/>
      <x:c r="F114" s="38"/>
      <x:c r="G114" s="38"/>
      <x:c r="H114" s="38"/>
      <x:c r="I114" s="41"/>
      <x:c r="J114" s="38"/>
      <x:c r="K114" s="38"/>
    </x:row>
    <x:row r="115" ht="25" customHeight="1">
      <x:c r="A115" s="38"/>
      <x:c r="B115" s="38"/>
      <x:c r="C115" s="38"/>
      <x:c r="D115" s="38"/>
      <x:c r="E115" s="38"/>
      <x:c r="F115" s="38"/>
      <x:c r="G115" s="38"/>
      <x:c r="H115" s="38"/>
      <x:c r="I115" s="41"/>
      <x:c r="J115" s="38"/>
      <x:c r="K115" s="38"/>
    </x:row>
    <x:row r="116" ht="25" customHeight="1">
      <x:c r="A116" s="38"/>
      <x:c r="B116" s="38"/>
      <x:c r="C116" s="38"/>
      <x:c r="D116" s="38"/>
      <x:c r="E116" s="38"/>
      <x:c r="F116" s="38"/>
      <x:c r="G116" s="38"/>
      <x:c r="H116" s="38"/>
      <x:c r="I116" s="41"/>
      <x:c r="J116" s="38"/>
      <x:c r="K116" s="38"/>
    </x:row>
    <x:row r="117" ht="25" customHeight="1">
      <x:c r="A117" s="38"/>
      <x:c r="B117" s="38"/>
      <x:c r="C117" s="38"/>
      <x:c r="D117" s="38"/>
      <x:c r="E117" s="38"/>
      <x:c r="F117" s="38"/>
      <x:c r="G117" s="38"/>
      <x:c r="H117" s="38"/>
      <x:c r="I117" s="41"/>
      <x:c r="J117" s="38"/>
      <x:c r="K117" s="38"/>
    </x:row>
    <x:row r="118" ht="25" customHeight="1">
      <x:c r="A118" s="38"/>
      <x:c r="B118" s="38"/>
      <x:c r="C118" s="38"/>
      <x:c r="D118" s="38"/>
      <x:c r="E118" s="38"/>
      <x:c r="F118" s="38"/>
      <x:c r="G118" s="38"/>
      <x:c r="H118" s="38"/>
      <x:c r="I118" s="41"/>
      <x:c r="J118" s="38"/>
      <x:c r="K118" s="38"/>
    </x:row>
    <x:row r="119" ht="25" customHeight="1">
      <x:c r="A119" s="38"/>
      <x:c r="B119" s="38"/>
      <x:c r="C119" s="38"/>
      <x:c r="D119" s="38"/>
      <x:c r="E119" s="38"/>
      <x:c r="F119" s="38"/>
      <x:c r="G119" s="38"/>
      <x:c r="H119" s="38"/>
      <x:c r="I119" s="41"/>
      <x:c r="J119" s="38"/>
      <x:c r="K119" s="38"/>
    </x:row>
    <x:row r="120" ht="25" customHeight="1">
      <x:c r="A120" s="38"/>
      <x:c r="B120" s="38"/>
      <x:c r="C120" s="38"/>
      <x:c r="D120" s="38"/>
      <x:c r="E120" s="38"/>
      <x:c r="F120" s="38"/>
      <x:c r="G120" s="38"/>
      <x:c r="H120" s="38"/>
      <x:c r="I120" s="41"/>
      <x:c r="J120" s="38"/>
      <x:c r="K120" s="38"/>
    </x:row>
    <x:row r="121" ht="25" customHeight="1">
      <x:c r="A121" s="38"/>
      <x:c r="B121" s="38"/>
      <x:c r="C121" s="38"/>
      <x:c r="D121" s="38"/>
      <x:c r="E121" s="38"/>
      <x:c r="F121" s="38"/>
      <x:c r="G121" s="38"/>
      <x:c r="H121" s="38"/>
      <x:c r="I121" s="41"/>
      <x:c r="J121" s="38"/>
      <x:c r="K121" s="38"/>
    </x:row>
    <x:row r="122" ht="25" customHeight="1">
      <x:c r="A122" s="38"/>
      <x:c r="B122" s="38"/>
      <x:c r="C122" s="38"/>
      <x:c r="D122" s="38"/>
      <x:c r="E122" s="38"/>
      <x:c r="F122" s="38"/>
      <x:c r="G122" s="38"/>
      <x:c r="H122" s="38"/>
      <x:c r="I122" s="41"/>
      <x:c r="J122" s="38"/>
      <x:c r="K122" s="38"/>
    </x:row>
    <x:row r="123" ht="25" customHeight="1">
      <x:c r="A123" s="38"/>
      <x:c r="B123" s="38"/>
      <x:c r="C123" s="38"/>
      <x:c r="D123" s="38"/>
      <x:c r="E123" s="38"/>
      <x:c r="F123" s="38"/>
      <x:c r="G123" s="38"/>
      <x:c r="H123" s="38"/>
      <x:c r="I123" s="41"/>
      <x:c r="J123" s="38"/>
      <x:c r="K123" s="38"/>
    </x:row>
    <x:row r="124" ht="25" customHeight="1">
      <x:c r="A124" s="38"/>
      <x:c r="B124" s="38"/>
      <x:c r="C124" s="38"/>
      <x:c r="D124" s="38"/>
      <x:c r="E124" s="38"/>
      <x:c r="F124" s="38"/>
      <x:c r="G124" s="38"/>
      <x:c r="H124" s="38"/>
      <x:c r="I124" s="41"/>
      <x:c r="J124" s="38"/>
      <x:c r="K124" s="38"/>
    </x:row>
    <x:row r="125" ht="25" customHeight="1">
      <x:c r="A125" s="38"/>
      <x:c r="B125" s="38"/>
      <x:c r="C125" s="38"/>
      <x:c r="D125" s="38"/>
      <x:c r="E125" s="38"/>
      <x:c r="F125" s="38"/>
      <x:c r="G125" s="38"/>
      <x:c r="H125" s="38"/>
      <x:c r="I125" s="41"/>
      <x:c r="J125" s="38"/>
      <x:c r="K125" s="38"/>
    </x:row>
    <x:row r="126" ht="25" customHeight="1">
      <x:c r="A126" s="38"/>
      <x:c r="B126" s="38"/>
      <x:c r="C126" s="38"/>
      <x:c r="D126" s="38"/>
      <x:c r="E126" s="38"/>
      <x:c r="F126" s="38"/>
      <x:c r="G126" s="38"/>
      <x:c r="H126" s="38"/>
      <x:c r="I126" s="41"/>
      <x:c r="J126" s="38"/>
      <x:c r="K126" s="38"/>
    </x:row>
    <x:row r="127" ht="25" customHeight="1">
      <x:c r="A127" s="38"/>
      <x:c r="B127" s="38"/>
      <x:c r="C127" s="38"/>
      <x:c r="D127" s="38"/>
      <x:c r="E127" s="38"/>
      <x:c r="F127" s="38"/>
      <x:c r="G127" s="38"/>
      <x:c r="H127" s="38"/>
      <x:c r="I127" s="41"/>
      <x:c r="J127" s="38"/>
      <x:c r="K127" s="38"/>
    </x:row>
    <x:row r="128" ht="25" customHeight="1">
      <x:c r="A128" s="38"/>
      <x:c r="B128" s="38"/>
      <x:c r="C128" s="38"/>
      <x:c r="D128" s="38"/>
      <x:c r="E128" s="38"/>
      <x:c r="F128" s="38"/>
      <x:c r="G128" s="38"/>
      <x:c r="H128" s="38"/>
      <x:c r="I128" s="41"/>
      <x:c r="J128" s="38"/>
      <x:c r="K128" s="38"/>
    </x:row>
    <x:row r="129" ht="25" customHeight="1">
      <x:c r="A129" s="38"/>
      <x:c r="B129" s="38"/>
      <x:c r="C129" s="38"/>
      <x:c r="D129" s="38"/>
      <x:c r="E129" s="38"/>
      <x:c r="F129" s="38"/>
      <x:c r="G129" s="38"/>
      <x:c r="H129" s="38"/>
      <x:c r="I129" s="41"/>
      <x:c r="J129" s="38"/>
      <x:c r="K129" s="38"/>
    </x:row>
    <x:row r="130" ht="25" customHeight="1">
      <x:c r="A130" s="38"/>
      <x:c r="B130" s="38"/>
      <x:c r="C130" s="38"/>
      <x:c r="D130" s="38"/>
      <x:c r="E130" s="38"/>
      <x:c r="F130" s="38"/>
      <x:c r="G130" s="38"/>
      <x:c r="H130" s="38"/>
      <x:c r="I130" s="41"/>
      <x:c r="J130" s="38"/>
      <x:c r="K130" s="38"/>
    </x:row>
    <x:row r="131" ht="25" customHeight="1">
      <x:c r="A131" s="38"/>
      <x:c r="B131" s="38"/>
      <x:c r="C131" s="38"/>
      <x:c r="D131" s="38"/>
      <x:c r="E131" s="38"/>
      <x:c r="F131" s="38"/>
      <x:c r="G131" s="38"/>
      <x:c r="H131" s="38"/>
      <x:c r="I131" s="41"/>
      <x:c r="J131" s="38"/>
      <x:c r="K131" s="38"/>
    </x:row>
    <x:row r="132" ht="25" customHeight="1">
      <x:c r="A132" s="38"/>
      <x:c r="B132" s="38"/>
      <x:c r="C132" s="38"/>
      <x:c r="D132" s="38"/>
      <x:c r="E132" s="38"/>
      <x:c r="F132" s="38"/>
      <x:c r="G132" s="38"/>
      <x:c r="H132" s="38"/>
      <x:c r="I132" s="41"/>
      <x:c r="J132" s="38"/>
      <x:c r="K132" s="38"/>
    </x:row>
    <x:row r="133" ht="25" customHeight="1">
      <x:c r="A133" s="38"/>
      <x:c r="B133" s="38"/>
      <x:c r="C133" s="38"/>
      <x:c r="D133" s="38"/>
      <x:c r="E133" s="38"/>
      <x:c r="F133" s="38"/>
      <x:c r="G133" s="38"/>
      <x:c r="H133" s="38"/>
      <x:c r="I133" s="41"/>
      <x:c r="J133" s="38"/>
      <x:c r="K133" s="38"/>
    </x:row>
    <x:row r="134" ht="25" customHeight="1">
      <x:c r="A134" s="38"/>
      <x:c r="B134" s="38"/>
      <x:c r="C134" s="38"/>
      <x:c r="D134" s="38"/>
      <x:c r="E134" s="38"/>
      <x:c r="F134" s="38"/>
      <x:c r="G134" s="38"/>
      <x:c r="H134" s="38"/>
      <x:c r="I134" s="41"/>
      <x:c r="J134" s="38"/>
      <x:c r="K134" s="38"/>
    </x:row>
    <x:row r="135" ht="25" customHeight="1">
      <x:c r="A135" s="38"/>
      <x:c r="B135" s="38"/>
      <x:c r="C135" s="38"/>
      <x:c r="D135" s="38"/>
      <x:c r="E135" s="38"/>
      <x:c r="F135" s="38"/>
      <x:c r="G135" s="38"/>
      <x:c r="H135" s="38"/>
      <x:c r="I135" s="41"/>
      <x:c r="J135" s="38"/>
      <x:c r="K135" s="38"/>
    </x:row>
    <x:row r="136" ht="25" customHeight="1">
      <x:c r="A136" s="38"/>
      <x:c r="B136" s="38"/>
      <x:c r="C136" s="38"/>
      <x:c r="D136" s="38"/>
      <x:c r="E136" s="38"/>
      <x:c r="F136" s="38"/>
      <x:c r="G136" s="38"/>
      <x:c r="H136" s="38"/>
      <x:c r="I136" s="41"/>
      <x:c r="J136" s="38"/>
      <x:c r="K136" s="38"/>
    </x:row>
    <x:row r="137" ht="25" customHeight="1">
      <x:c r="A137" s="38"/>
      <x:c r="B137" s="38"/>
      <x:c r="C137" s="38"/>
      <x:c r="D137" s="38"/>
      <x:c r="E137" s="38"/>
      <x:c r="F137" s="38"/>
      <x:c r="G137" s="38"/>
      <x:c r="H137" s="38"/>
      <x:c r="I137" s="41"/>
      <x:c r="J137" s="38"/>
      <x:c r="K137" s="38"/>
    </x:row>
    <x:row r="138" ht="25" customHeight="1">
      <x:c r="A138" s="38"/>
      <x:c r="B138" s="38"/>
      <x:c r="C138" s="38"/>
      <x:c r="D138" s="38"/>
      <x:c r="E138" s="38"/>
      <x:c r="F138" s="38"/>
      <x:c r="G138" s="38"/>
      <x:c r="H138" s="38"/>
      <x:c r="I138" s="41"/>
      <x:c r="J138" s="38"/>
      <x:c r="K138" s="38"/>
    </x:row>
    <x:row r="139" ht="25" customHeight="1">
      <x:c r="A139" s="38"/>
      <x:c r="B139" s="38"/>
      <x:c r="C139" s="38"/>
      <x:c r="D139" s="38"/>
      <x:c r="E139" s="38"/>
      <x:c r="F139" s="38"/>
      <x:c r="G139" s="38"/>
      <x:c r="H139" s="38"/>
      <x:c r="I139" s="41"/>
      <x:c r="J139" s="38"/>
      <x:c r="K139" s="38"/>
    </x:row>
    <x:row r="140" ht="25" customHeight="1">
      <x:c r="A140" s="38"/>
      <x:c r="B140" s="38"/>
      <x:c r="C140" s="38"/>
      <x:c r="D140" s="38"/>
      <x:c r="E140" s="38"/>
      <x:c r="F140" s="38"/>
      <x:c r="G140" s="38"/>
      <x:c r="H140" s="38"/>
      <x:c r="I140" s="41"/>
      <x:c r="J140" s="38"/>
      <x:c r="K140" s="38"/>
    </x:row>
    <x:row r="141" ht="25" customHeight="1">
      <x:c r="A141" s="38"/>
      <x:c r="B141" s="38"/>
      <x:c r="C141" s="38"/>
      <x:c r="D141" s="38"/>
      <x:c r="E141" s="38"/>
      <x:c r="F141" s="38"/>
      <x:c r="G141" s="38"/>
      <x:c r="H141" s="38"/>
      <x:c r="I141" s="41"/>
      <x:c r="J141" s="38"/>
      <x:c r="K141" s="38"/>
    </x:row>
    <x:row r="142" ht="25" customHeight="1">
      <x:c r="A142" s="38"/>
      <x:c r="B142" s="38"/>
      <x:c r="C142" s="38"/>
      <x:c r="D142" s="38"/>
      <x:c r="E142" s="38"/>
      <x:c r="F142" s="38"/>
      <x:c r="G142" s="38"/>
      <x:c r="H142" s="38"/>
      <x:c r="I142" s="41"/>
      <x:c r="J142" s="38"/>
      <x:c r="K142" s="38"/>
    </x:row>
    <x:row r="143" ht="25" customHeight="1">
      <x:c r="A143" s="38"/>
      <x:c r="B143" s="38"/>
      <x:c r="C143" s="38"/>
      <x:c r="D143" s="38"/>
      <x:c r="E143" s="38"/>
      <x:c r="F143" s="38"/>
      <x:c r="G143" s="38"/>
      <x:c r="H143" s="38"/>
      <x:c r="I143" s="41"/>
      <x:c r="J143" s="38"/>
      <x:c r="K143" s="38"/>
    </x:row>
    <x:row r="144" ht="25" customHeight="1">
      <x:c r="A144" s="38"/>
      <x:c r="B144" s="38"/>
      <x:c r="C144" s="38"/>
      <x:c r="D144" s="38"/>
      <x:c r="E144" s="38"/>
      <x:c r="F144" s="38"/>
      <x:c r="G144" s="38"/>
      <x:c r="H144" s="38"/>
      <x:c r="I144" s="41"/>
      <x:c r="J144" s="38"/>
      <x:c r="K144" s="38"/>
    </x:row>
    <x:row r="145" ht="25" customHeight="1">
      <x:c r="A145" s="38"/>
      <x:c r="B145" s="38"/>
      <x:c r="C145" s="38"/>
      <x:c r="D145" s="38"/>
      <x:c r="E145" s="38"/>
      <x:c r="F145" s="38"/>
      <x:c r="G145" s="38"/>
      <x:c r="H145" s="38"/>
      <x:c r="I145" s="41"/>
      <x:c r="J145" s="38"/>
      <x:c r="K145" s="38"/>
    </x:row>
    <x:row r="146" ht="25" customHeight="1">
      <x:c r="A146" s="38"/>
      <x:c r="B146" s="38"/>
      <x:c r="C146" s="38"/>
      <x:c r="D146" s="38"/>
      <x:c r="E146" s="38"/>
      <x:c r="F146" s="38"/>
      <x:c r="G146" s="38"/>
      <x:c r="H146" s="38"/>
      <x:c r="I146" s="41"/>
      <x:c r="J146" s="38"/>
      <x:c r="K146" s="38"/>
    </x:row>
    <x:row r="147" ht="25" customHeight="1">
      <x:c r="A147" s="38"/>
      <x:c r="B147" s="38"/>
      <x:c r="C147" s="38"/>
      <x:c r="D147" s="38"/>
      <x:c r="E147" s="38"/>
      <x:c r="F147" s="38"/>
      <x:c r="G147" s="38"/>
      <x:c r="H147" s="38"/>
      <x:c r="I147" s="41"/>
      <x:c r="J147" s="38"/>
      <x:c r="K147" s="38"/>
    </x:row>
    <x:row r="148" ht="25" customHeight="1">
      <x:c r="A148" s="38"/>
      <x:c r="B148" s="38"/>
      <x:c r="C148" s="38"/>
      <x:c r="D148" s="38"/>
      <x:c r="E148" s="38"/>
      <x:c r="F148" s="38"/>
      <x:c r="G148" s="38"/>
      <x:c r="H148" s="38"/>
      <x:c r="I148" s="41"/>
      <x:c r="J148" s="38"/>
      <x:c r="K148" s="38"/>
    </x:row>
    <x:row r="149" ht="25" customHeight="1">
      <x:c r="A149" s="38"/>
      <x:c r="B149" s="38"/>
      <x:c r="C149" s="38"/>
      <x:c r="D149" s="38"/>
      <x:c r="E149" s="38"/>
      <x:c r="F149" s="38"/>
      <x:c r="G149" s="38"/>
      <x:c r="H149" s="38"/>
      <x:c r="I149" s="41"/>
      <x:c r="J149" s="38"/>
      <x:c r="K149" s="38"/>
    </x:row>
    <x:row r="150" ht="25" customHeight="1">
      <x:c r="A150" s="38"/>
      <x:c r="B150" s="38"/>
      <x:c r="C150" s="38"/>
      <x:c r="D150" s="38"/>
      <x:c r="E150" s="38"/>
      <x:c r="F150" s="38"/>
      <x:c r="G150" s="38"/>
      <x:c r="H150" s="38"/>
      <x:c r="I150" s="41"/>
      <x:c r="J150" s="38"/>
      <x:c r="K150" s="38"/>
    </x:row>
    <x:row r="151" ht="25" customHeight="1">
      <x:c r="A151" s="38"/>
      <x:c r="B151" s="38"/>
      <x:c r="C151" s="38"/>
      <x:c r="D151" s="38"/>
      <x:c r="E151" s="38"/>
      <x:c r="F151" s="38"/>
      <x:c r="G151" s="38"/>
      <x:c r="H151" s="38"/>
      <x:c r="I151" s="41"/>
      <x:c r="J151" s="38"/>
      <x:c r="K151" s="38"/>
    </x:row>
    <x:row r="152" ht="25" customHeight="1">
      <x:c r="A152" s="38"/>
      <x:c r="B152" s="38"/>
      <x:c r="C152" s="38"/>
      <x:c r="D152" s="38"/>
      <x:c r="E152" s="38"/>
      <x:c r="F152" s="38"/>
      <x:c r="G152" s="38"/>
      <x:c r="H152" s="38"/>
      <x:c r="I152" s="41"/>
      <x:c r="J152" s="38"/>
      <x:c r="K152" s="38"/>
    </x:row>
    <x:row r="153" ht="25" customHeight="1">
      <x:c r="A153" s="38"/>
      <x:c r="B153" s="38"/>
      <x:c r="C153" s="38"/>
      <x:c r="D153" s="38"/>
      <x:c r="E153" s="38"/>
      <x:c r="F153" s="38"/>
      <x:c r="G153" s="38"/>
      <x:c r="H153" s="38"/>
      <x:c r="I153" s="41"/>
      <x:c r="J153" s="38"/>
      <x:c r="K153" s="38"/>
    </x:row>
    <x:row r="154" ht="25" customHeight="1">
      <x:c r="A154" s="38"/>
      <x:c r="B154" s="38"/>
      <x:c r="C154" s="38"/>
      <x:c r="D154" s="38"/>
      <x:c r="E154" s="38"/>
      <x:c r="F154" s="38"/>
      <x:c r="G154" s="38"/>
      <x:c r="H154" s="38"/>
      <x:c r="I154" s="41"/>
      <x:c r="J154" s="38"/>
      <x:c r="K154" s="38"/>
    </x:row>
    <x:row r="155" ht="25" customHeight="1">
      <x:c r="A155" s="38"/>
      <x:c r="B155" s="38"/>
      <x:c r="C155" s="38"/>
      <x:c r="D155" s="38"/>
      <x:c r="E155" s="38"/>
      <x:c r="F155" s="38"/>
      <x:c r="G155" s="38"/>
      <x:c r="H155" s="38"/>
      <x:c r="I155" s="41"/>
      <x:c r="J155" s="38"/>
      <x:c r="K155" s="38"/>
    </x:row>
    <x:row r="156" ht="25" customHeight="1">
      <x:c r="A156" s="38"/>
      <x:c r="B156" s="38"/>
      <x:c r="C156" s="38"/>
      <x:c r="D156" s="38"/>
      <x:c r="E156" s="38"/>
      <x:c r="F156" s="38"/>
      <x:c r="G156" s="38"/>
      <x:c r="H156" s="38"/>
      <x:c r="I156" s="41"/>
      <x:c r="J156" s="38"/>
      <x:c r="K156" s="38"/>
    </x:row>
    <x:row r="157" ht="25" customHeight="1">
      <x:c r="A157" s="38"/>
      <x:c r="B157" s="38"/>
      <x:c r="C157" s="38"/>
      <x:c r="D157" s="38"/>
      <x:c r="E157" s="38"/>
      <x:c r="F157" s="38"/>
      <x:c r="G157" s="38"/>
      <x:c r="H157" s="38"/>
      <x:c r="I157" s="41"/>
      <x:c r="J157" s="38"/>
      <x:c r="K157" s="38"/>
    </x:row>
    <x:row r="158" ht="25" customHeight="1">
      <x:c r="A158" s="38"/>
      <x:c r="B158" s="38"/>
      <x:c r="C158" s="38"/>
      <x:c r="D158" s="38"/>
      <x:c r="E158" s="38"/>
      <x:c r="F158" s="38"/>
      <x:c r="G158" s="38"/>
      <x:c r="H158" s="38"/>
      <x:c r="I158" s="41"/>
      <x:c r="J158" s="38"/>
      <x:c r="K158" s="38"/>
    </x:row>
    <x:row r="159" ht="25" customHeight="1">
      <x:c r="A159" s="38"/>
      <x:c r="B159" s="38"/>
      <x:c r="C159" s="38"/>
      <x:c r="D159" s="38"/>
      <x:c r="E159" s="38"/>
      <x:c r="F159" s="38"/>
      <x:c r="G159" s="38"/>
      <x:c r="H159" s="38"/>
      <x:c r="I159" s="41"/>
      <x:c r="J159" s="38"/>
      <x:c r="K159" s="38"/>
    </x:row>
    <x:row r="160" ht="25" customHeight="1">
      <x:c r="A160" s="38"/>
      <x:c r="B160" s="38"/>
      <x:c r="C160" s="38"/>
      <x:c r="D160" s="38"/>
      <x:c r="E160" s="38"/>
      <x:c r="F160" s="38"/>
      <x:c r="G160" s="38"/>
      <x:c r="H160" s="38"/>
      <x:c r="I160" s="41"/>
      <x:c r="J160" s="38"/>
      <x:c r="K160" s="38"/>
    </x:row>
    <x:row r="161" ht="25" customHeight="1">
      <x:c r="A161" s="38"/>
      <x:c r="B161" s="38"/>
      <x:c r="C161" s="38"/>
      <x:c r="D161" s="38"/>
      <x:c r="E161" s="38"/>
      <x:c r="F161" s="38"/>
      <x:c r="G161" s="38"/>
      <x:c r="H161" s="38"/>
      <x:c r="I161" s="41"/>
      <x:c r="J161" s="38"/>
      <x:c r="K161" s="38"/>
    </x:row>
    <x:row r="162" ht="25" customHeight="1">
      <x:c r="A162" s="38"/>
      <x:c r="B162" s="38"/>
      <x:c r="C162" s="38"/>
      <x:c r="D162" s="38"/>
      <x:c r="E162" s="38"/>
      <x:c r="F162" s="38"/>
      <x:c r="G162" s="38"/>
      <x:c r="H162" s="38"/>
      <x:c r="I162" s="41"/>
      <x:c r="J162" s="38"/>
      <x:c r="K162" s="38"/>
    </x:row>
    <x:row r="163" ht="25" customHeight="1">
      <x:c r="A163" s="38"/>
      <x:c r="B163" s="38"/>
      <x:c r="C163" s="38"/>
      <x:c r="D163" s="38"/>
      <x:c r="E163" s="38"/>
      <x:c r="F163" s="38"/>
      <x:c r="G163" s="38"/>
      <x:c r="H163" s="38"/>
      <x:c r="I163" s="41"/>
      <x:c r="J163" s="38"/>
      <x:c r="K163" s="38"/>
    </x:row>
    <x:row r="164" ht="25" customHeight="1">
      <x:c r="A164" s="38"/>
      <x:c r="B164" s="38"/>
      <x:c r="C164" s="38"/>
      <x:c r="D164" s="38"/>
      <x:c r="E164" s="38"/>
      <x:c r="F164" s="38"/>
      <x:c r="G164" s="38"/>
      <x:c r="H164" s="38"/>
      <x:c r="I164" s="41"/>
      <x:c r="J164" s="38"/>
      <x:c r="K164" s="38"/>
    </x:row>
    <x:row r="165" ht="25" customHeight="1">
      <x:c r="A165" s="38"/>
      <x:c r="B165" s="38"/>
      <x:c r="C165" s="38"/>
      <x:c r="D165" s="38"/>
      <x:c r="E165" s="38"/>
      <x:c r="F165" s="38"/>
      <x:c r="G165" s="38"/>
      <x:c r="H165" s="38"/>
      <x:c r="I165" s="41"/>
      <x:c r="J165" s="38"/>
      <x:c r="K165" s="38"/>
    </x:row>
    <x:row r="166" ht="25" customHeight="1">
      <x:c r="A166" s="38"/>
      <x:c r="B166" s="38"/>
      <x:c r="C166" s="38"/>
      <x:c r="D166" s="38"/>
      <x:c r="E166" s="38"/>
      <x:c r="F166" s="38"/>
      <x:c r="G166" s="38"/>
      <x:c r="H166" s="38"/>
      <x:c r="I166" s="41"/>
      <x:c r="J166" s="38"/>
      <x:c r="K166" s="38"/>
    </x:row>
    <x:row r="167" ht="25" customHeight="1">
      <x:c r="A167" s="38"/>
      <x:c r="B167" s="38"/>
      <x:c r="C167" s="38"/>
      <x:c r="D167" s="38"/>
      <x:c r="E167" s="38"/>
      <x:c r="F167" s="38"/>
      <x:c r="G167" s="38"/>
      <x:c r="H167" s="38"/>
      <x:c r="I167" s="41"/>
      <x:c r="J167" s="38"/>
      <x:c r="K167" s="38"/>
    </x:row>
    <x:row r="168" ht="25" customHeight="1">
      <x:c r="A168" s="38"/>
      <x:c r="B168" s="38"/>
      <x:c r="C168" s="38"/>
      <x:c r="D168" s="38"/>
      <x:c r="E168" s="38"/>
      <x:c r="F168" s="38"/>
      <x:c r="G168" s="38"/>
      <x:c r="H168" s="38"/>
      <x:c r="I168" s="41"/>
      <x:c r="J168" s="38"/>
      <x:c r="K168" s="38"/>
    </x:row>
    <x:row r="169" ht="25" customHeight="1">
      <x:c r="A169" s="38"/>
      <x:c r="B169" s="38"/>
      <x:c r="C169" s="38"/>
      <x:c r="D169" s="38"/>
      <x:c r="E169" s="38"/>
      <x:c r="F169" s="38"/>
      <x:c r="G169" s="38"/>
      <x:c r="H169" s="38"/>
      <x:c r="I169" s="41"/>
      <x:c r="J169" s="38"/>
      <x:c r="K169" s="38"/>
    </x:row>
    <x:row r="170" ht="25" customHeight="1">
      <x:c r="A170" s="38"/>
      <x:c r="B170" s="38"/>
      <x:c r="C170" s="38"/>
      <x:c r="D170" s="38"/>
      <x:c r="E170" s="38"/>
      <x:c r="F170" s="38"/>
      <x:c r="G170" s="38"/>
      <x:c r="H170" s="38"/>
      <x:c r="I170" s="41"/>
      <x:c r="J170" s="38"/>
      <x:c r="K170" s="38"/>
    </x:row>
    <x:row r="171" ht="25" customHeight="1">
      <x:c r="A171" s="38"/>
      <x:c r="B171" s="38"/>
      <x:c r="C171" s="38"/>
      <x:c r="D171" s="38"/>
      <x:c r="E171" s="38"/>
      <x:c r="F171" s="38"/>
      <x:c r="G171" s="38"/>
      <x:c r="H171" s="38"/>
      <x:c r="I171" s="41"/>
      <x:c r="J171" s="38"/>
      <x:c r="K171" s="38"/>
    </x:row>
    <x:row r="172" ht="25" customHeight="1">
      <x:c r="A172" s="38"/>
      <x:c r="B172" s="38"/>
      <x:c r="C172" s="38"/>
      <x:c r="D172" s="38"/>
      <x:c r="E172" s="38"/>
      <x:c r="F172" s="38"/>
      <x:c r="G172" s="38"/>
      <x:c r="H172" s="38"/>
      <x:c r="I172" s="41"/>
      <x:c r="J172" s="38"/>
      <x:c r="K172" s="38"/>
    </x:row>
    <x:row r="173" ht="25" customHeight="1">
      <x:c r="A173" s="38"/>
      <x:c r="B173" s="38"/>
      <x:c r="C173" s="38"/>
      <x:c r="D173" s="38"/>
      <x:c r="E173" s="38"/>
      <x:c r="F173" s="38"/>
      <x:c r="G173" s="38"/>
      <x:c r="H173" s="38"/>
      <x:c r="I173" s="41"/>
      <x:c r="J173" s="38"/>
      <x:c r="K173" s="38"/>
    </x:row>
    <x:row r="174" ht="25" customHeight="1">
      <x:c r="A174" s="38"/>
      <x:c r="B174" s="38"/>
      <x:c r="C174" s="38"/>
      <x:c r="D174" s="38"/>
      <x:c r="E174" s="38"/>
      <x:c r="F174" s="38"/>
      <x:c r="G174" s="38"/>
      <x:c r="H174" s="38"/>
      <x:c r="I174" s="41"/>
      <x:c r="J174" s="38"/>
      <x:c r="K174" s="38"/>
    </x:row>
    <x:row r="175" ht="25" customHeight="1">
      <x:c r="A175" s="38"/>
      <x:c r="B175" s="38"/>
      <x:c r="C175" s="38"/>
      <x:c r="D175" s="38"/>
      <x:c r="E175" s="38"/>
      <x:c r="F175" s="38"/>
      <x:c r="G175" s="38"/>
      <x:c r="H175" s="38"/>
      <x:c r="I175" s="41"/>
      <x:c r="J175" s="38"/>
      <x:c r="K175" s="38"/>
    </x:row>
    <x:row r="176" ht="25" customHeight="1">
      <x:c r="A176" s="38"/>
      <x:c r="B176" s="38"/>
      <x:c r="C176" s="38"/>
      <x:c r="D176" s="38"/>
      <x:c r="E176" s="38"/>
      <x:c r="F176" s="38"/>
      <x:c r="G176" s="38"/>
      <x:c r="H176" s="38"/>
      <x:c r="I176" s="41"/>
      <x:c r="J176" s="38"/>
      <x:c r="K176" s="38"/>
    </x:row>
    <x:row r="177" ht="25" customHeight="1">
      <x:c r="A177" s="38"/>
      <x:c r="B177" s="38"/>
      <x:c r="C177" s="38"/>
      <x:c r="D177" s="38"/>
      <x:c r="E177" s="38"/>
      <x:c r="F177" s="38"/>
      <x:c r="G177" s="38"/>
      <x:c r="H177" s="38"/>
      <x:c r="I177" s="41"/>
      <x:c r="J177" s="38"/>
      <x:c r="K177" s="38"/>
    </x:row>
    <x:row r="178" ht="25" customHeight="1">
      <x:c r="A178" s="38"/>
      <x:c r="B178" s="38"/>
      <x:c r="C178" s="38"/>
      <x:c r="D178" s="38"/>
      <x:c r="E178" s="38"/>
      <x:c r="F178" s="38"/>
      <x:c r="G178" s="38"/>
      <x:c r="H178" s="38"/>
      <x:c r="I178" s="41"/>
      <x:c r="J178" s="38"/>
      <x:c r="K178" s="38"/>
    </x:row>
    <x:row r="179" ht="25" customHeight="1">
      <x:c r="A179" s="38"/>
      <x:c r="B179" s="38"/>
      <x:c r="C179" s="38"/>
      <x:c r="D179" s="38"/>
      <x:c r="E179" s="38"/>
      <x:c r="F179" s="38"/>
      <x:c r="G179" s="38"/>
      <x:c r="H179" s="38"/>
      <x:c r="I179" s="41"/>
      <x:c r="J179" s="38"/>
      <x:c r="K179" s="38"/>
    </x:row>
    <x:row r="180" ht="25" customHeight="1">
      <x:c r="A180" s="38"/>
      <x:c r="B180" s="38"/>
      <x:c r="C180" s="38"/>
      <x:c r="D180" s="38"/>
      <x:c r="E180" s="38"/>
      <x:c r="F180" s="38"/>
      <x:c r="G180" s="38"/>
      <x:c r="H180" s="38"/>
      <x:c r="I180" s="41"/>
      <x:c r="J180" s="38"/>
      <x:c r="K180" s="38"/>
    </x:row>
    <x:row r="181" ht="25" customHeight="1">
      <x:c r="A181" s="38"/>
      <x:c r="B181" s="38"/>
      <x:c r="C181" s="38"/>
      <x:c r="D181" s="38"/>
      <x:c r="E181" s="38"/>
      <x:c r="F181" s="38"/>
      <x:c r="G181" s="38"/>
      <x:c r="H181" s="38"/>
      <x:c r="I181" s="41"/>
      <x:c r="J181" s="38"/>
      <x:c r="K181" s="38"/>
    </x:row>
    <x:row r="182" ht="25" customHeight="1">
      <x:c r="A182" s="38"/>
      <x:c r="B182" s="38"/>
      <x:c r="C182" s="38"/>
      <x:c r="D182" s="38"/>
      <x:c r="E182" s="38"/>
      <x:c r="F182" s="38"/>
      <x:c r="G182" s="38"/>
      <x:c r="H182" s="38"/>
      <x:c r="I182" s="41"/>
      <x:c r="J182" s="38"/>
      <x:c r="K182" s="38"/>
    </x:row>
    <x:row r="183" ht="25" customHeight="1">
      <x:c r="A183" s="38"/>
      <x:c r="B183" s="38"/>
      <x:c r="C183" s="38"/>
      <x:c r="D183" s="38"/>
      <x:c r="E183" s="38"/>
      <x:c r="F183" s="38"/>
      <x:c r="G183" s="38"/>
      <x:c r="H183" s="38"/>
      <x:c r="I183" s="41"/>
      <x:c r="J183" s="38"/>
      <x:c r="K183" s="38"/>
    </x:row>
    <x:row r="184" ht="25" customHeight="1">
      <x:c r="A184" s="38"/>
      <x:c r="B184" s="38"/>
      <x:c r="C184" s="38"/>
      <x:c r="D184" s="38"/>
      <x:c r="E184" s="38"/>
      <x:c r="F184" s="38"/>
      <x:c r="G184" s="38"/>
      <x:c r="H184" s="38"/>
      <x:c r="I184" s="41"/>
      <x:c r="J184" s="38"/>
      <x:c r="K184" s="38"/>
    </x:row>
    <x:row r="185" ht="25" customHeight="1">
      <x:c r="A185" s="38"/>
      <x:c r="B185" s="38"/>
      <x:c r="C185" s="38"/>
      <x:c r="D185" s="38"/>
      <x:c r="E185" s="38"/>
      <x:c r="F185" s="38"/>
      <x:c r="G185" s="38"/>
      <x:c r="H185" s="38"/>
      <x:c r="I185" s="41"/>
      <x:c r="J185" s="38"/>
      <x:c r="K185" s="38"/>
    </x:row>
    <x:row r="186" ht="25" customHeight="1">
      <x:c r="A186" s="38"/>
      <x:c r="B186" s="38"/>
      <x:c r="C186" s="38"/>
      <x:c r="D186" s="38"/>
      <x:c r="E186" s="38"/>
      <x:c r="F186" s="38"/>
      <x:c r="G186" s="38"/>
      <x:c r="H186" s="38"/>
      <x:c r="I186" s="41"/>
      <x:c r="J186" s="38"/>
      <x:c r="K186" s="38"/>
    </x:row>
    <x:row r="187" ht="25" customHeight="1">
      <x:c r="A187" s="38"/>
      <x:c r="B187" s="38"/>
      <x:c r="C187" s="38"/>
      <x:c r="D187" s="38"/>
      <x:c r="E187" s="38"/>
      <x:c r="F187" s="38"/>
      <x:c r="G187" s="38"/>
      <x:c r="H187" s="38"/>
      <x:c r="I187" s="41"/>
      <x:c r="J187" s="38"/>
      <x:c r="K187" s="38"/>
    </x:row>
    <x:row r="188" ht="25" customHeight="1">
      <x:c r="A188" s="38"/>
      <x:c r="B188" s="38"/>
      <x:c r="C188" s="38"/>
      <x:c r="D188" s="38"/>
      <x:c r="E188" s="38"/>
      <x:c r="F188" s="38"/>
      <x:c r="G188" s="38"/>
      <x:c r="H188" s="38"/>
      <x:c r="I188" s="41"/>
      <x:c r="J188" s="38"/>
      <x:c r="K188" s="38"/>
    </x:row>
    <x:row r="189" ht="25" customHeight="1">
      <x:c r="A189" s="38"/>
      <x:c r="B189" s="38"/>
      <x:c r="C189" s="38"/>
      <x:c r="D189" s="38"/>
      <x:c r="E189" s="38"/>
      <x:c r="F189" s="38"/>
      <x:c r="G189" s="38"/>
      <x:c r="H189" s="38"/>
      <x:c r="I189" s="41"/>
      <x:c r="J189" s="38"/>
      <x:c r="K189" s="38"/>
    </x:row>
    <x:row r="190" ht="25" customHeight="1">
      <x:c r="A190" s="38"/>
      <x:c r="B190" s="38"/>
      <x:c r="C190" s="38"/>
      <x:c r="D190" s="38"/>
      <x:c r="E190" s="38"/>
      <x:c r="F190" s="38"/>
      <x:c r="G190" s="38"/>
      <x:c r="H190" s="38"/>
      <x:c r="I190" s="41"/>
      <x:c r="J190" s="38"/>
      <x:c r="K190" s="38"/>
    </x:row>
    <x:row r="191" ht="25" customHeight="1">
      <x:c r="A191" s="38"/>
      <x:c r="B191" s="38"/>
      <x:c r="C191" s="38"/>
      <x:c r="D191" s="38"/>
      <x:c r="E191" s="38"/>
      <x:c r="F191" s="38"/>
      <x:c r="G191" s="38"/>
      <x:c r="H191" s="38"/>
      <x:c r="I191" s="41"/>
      <x:c r="J191" s="38"/>
      <x:c r="K191" s="38"/>
    </x:row>
    <x:row r="192" ht="25" customHeight="1">
      <x:c r="A192" s="38"/>
      <x:c r="B192" s="38"/>
      <x:c r="C192" s="38"/>
      <x:c r="D192" s="38"/>
      <x:c r="E192" s="38"/>
      <x:c r="F192" s="38"/>
      <x:c r="G192" s="38"/>
      <x:c r="H192" s="38"/>
      <x:c r="I192" s="41"/>
      <x:c r="J192" s="38"/>
      <x:c r="K192" s="38"/>
    </x:row>
    <x:row r="193" ht="25" customHeight="1">
      <x:c r="A193" s="38"/>
      <x:c r="B193" s="38"/>
      <x:c r="C193" s="38"/>
      <x:c r="D193" s="38"/>
      <x:c r="E193" s="38"/>
      <x:c r="F193" s="38"/>
      <x:c r="G193" s="38"/>
      <x:c r="H193" s="38"/>
      <x:c r="I193" s="41"/>
      <x:c r="J193" s="38"/>
      <x:c r="K193" s="38"/>
    </x:row>
    <x:row r="194" ht="25" customHeight="1">
      <x:c r="A194" s="38"/>
      <x:c r="B194" s="38"/>
      <x:c r="C194" s="38"/>
      <x:c r="D194" s="38"/>
      <x:c r="E194" s="38"/>
      <x:c r="F194" s="38"/>
      <x:c r="G194" s="38"/>
      <x:c r="H194" s="38"/>
      <x:c r="I194" s="41"/>
      <x:c r="J194" s="38"/>
      <x:c r="K194" s="38"/>
    </x:row>
    <x:row r="195" ht="25" customHeight="1">
      <x:c r="A195" s="38"/>
      <x:c r="B195" s="38"/>
      <x:c r="C195" s="38"/>
      <x:c r="D195" s="38"/>
      <x:c r="E195" s="38"/>
      <x:c r="F195" s="38"/>
      <x:c r="G195" s="38"/>
      <x:c r="H195" s="38"/>
      <x:c r="I195" s="41"/>
      <x:c r="J195" s="38"/>
      <x:c r="K195" s="38"/>
    </x:row>
    <x:row r="196" ht="25" customHeight="1">
      <x:c r="A196" s="38"/>
      <x:c r="B196" s="38"/>
      <x:c r="C196" s="38"/>
      <x:c r="D196" s="38"/>
      <x:c r="E196" s="38"/>
      <x:c r="F196" s="38"/>
      <x:c r="G196" s="38"/>
      <x:c r="H196" s="38"/>
      <x:c r="I196" s="41"/>
      <x:c r="J196" s="38"/>
      <x:c r="K196" s="38"/>
    </x:row>
    <x:row r="197" ht="25" customHeight="1">
      <x:c r="A197" s="38"/>
      <x:c r="B197" s="38"/>
      <x:c r="C197" s="38"/>
      <x:c r="D197" s="38"/>
      <x:c r="E197" s="38"/>
      <x:c r="F197" s="38"/>
      <x:c r="G197" s="38"/>
      <x:c r="H197" s="38"/>
      <x:c r="I197" s="41"/>
      <x:c r="J197" s="38"/>
      <x:c r="K197" s="38"/>
    </x:row>
    <x:row r="198" ht="25" customHeight="1">
      <x:c r="A198" s="38"/>
      <x:c r="B198" s="38"/>
      <x:c r="C198" s="38"/>
      <x:c r="D198" s="38"/>
      <x:c r="E198" s="38"/>
      <x:c r="F198" s="38"/>
      <x:c r="G198" s="38"/>
      <x:c r="H198" s="38"/>
      <x:c r="I198" s="41"/>
      <x:c r="J198" s="38"/>
      <x:c r="K198" s="38"/>
    </x:row>
    <x:row r="199" ht="25" customHeight="1">
      <x:c r="A199" s="38"/>
      <x:c r="B199" s="38"/>
      <x:c r="C199" s="38"/>
      <x:c r="D199" s="38"/>
      <x:c r="E199" s="38"/>
      <x:c r="F199" s="38"/>
      <x:c r="G199" s="38"/>
      <x:c r="H199" s="38"/>
      <x:c r="I199" s="41"/>
      <x:c r="J199" s="38"/>
      <x:c r="K199" s="38"/>
    </x:row>
    <x:row r="200" ht="25" customHeight="1">
      <x:c r="A200" s="38"/>
      <x:c r="B200" s="38"/>
      <x:c r="C200" s="38"/>
      <x:c r="D200" s="38"/>
      <x:c r="E200" s="38"/>
      <x:c r="F200" s="38"/>
      <x:c r="G200" s="38"/>
      <x:c r="H200" s="38"/>
      <x:c r="I200" s="41"/>
      <x:c r="J200" s="38"/>
      <x:c r="K200" s="38"/>
    </x:row>
    <x:row r="201" ht="25" customHeight="1">
      <x:c r="A201" s="38"/>
      <x:c r="B201" s="38"/>
      <x:c r="C201" s="38"/>
      <x:c r="D201" s="38"/>
      <x:c r="E201" s="38"/>
      <x:c r="F201" s="38"/>
      <x:c r="G201" s="38"/>
      <x:c r="H201" s="38"/>
      <x:c r="I201" s="41"/>
      <x:c r="J201" s="38"/>
      <x:c r="K201" s="38"/>
    </x:row>
    <x:row r="202" ht="25" customHeight="1">
      <x:c r="A202" s="38"/>
      <x:c r="B202" s="38"/>
      <x:c r="C202" s="38"/>
      <x:c r="D202" s="38"/>
      <x:c r="E202" s="38"/>
      <x:c r="F202" s="38"/>
      <x:c r="G202" s="38"/>
      <x:c r="H202" s="38"/>
      <x:c r="I202" s="41"/>
      <x:c r="J202" s="38"/>
      <x:c r="K202" s="38"/>
    </x:row>
    <x:row r="203" ht="25" customHeight="1">
      <x:c r="A203" s="38"/>
      <x:c r="B203" s="38"/>
      <x:c r="C203" s="38"/>
      <x:c r="D203" s="38"/>
      <x:c r="E203" s="38"/>
      <x:c r="F203" s="38"/>
      <x:c r="G203" s="38"/>
      <x:c r="H203" s="38"/>
      <x:c r="I203" s="41"/>
      <x:c r="J203" s="38"/>
      <x:c r="K203" s="38"/>
    </x:row>
    <x:row r="204" ht="25" customHeight="1">
      <x:c r="A204" s="38"/>
      <x:c r="B204" s="38"/>
      <x:c r="C204" s="38"/>
      <x:c r="D204" s="38"/>
      <x:c r="E204" s="38"/>
      <x:c r="F204" s="38"/>
      <x:c r="G204" s="38"/>
      <x:c r="H204" s="38"/>
      <x:c r="I204" s="41"/>
      <x:c r="J204" s="38"/>
      <x:c r="K204" s="38"/>
    </x:row>
    <x:row r="205" ht="25" customHeight="1">
      <x:c r="A205" s="38"/>
      <x:c r="B205" s="38"/>
      <x:c r="C205" s="38"/>
      <x:c r="D205" s="38"/>
      <x:c r="E205" s="38"/>
      <x:c r="F205" s="38"/>
      <x:c r="G205" s="38"/>
      <x:c r="H205" s="38"/>
      <x:c r="I205" s="41"/>
      <x:c r="J205" s="38"/>
      <x:c r="K205" s="38"/>
    </x:row>
    <x:row r="206" ht="25" customHeight="1">
      <x:c r="A206" s="38"/>
      <x:c r="B206" s="38"/>
      <x:c r="C206" s="38"/>
      <x:c r="D206" s="38"/>
      <x:c r="E206" s="38"/>
      <x:c r="F206" s="38"/>
      <x:c r="G206" s="38"/>
      <x:c r="H206" s="38"/>
      <x:c r="I206" s="41"/>
      <x:c r="J206" s="38"/>
      <x:c r="K206" s="38"/>
    </x:row>
    <x:row r="207" ht="25" customHeight="1">
      <x:c r="A207" s="38"/>
      <x:c r="B207" s="38"/>
      <x:c r="C207" s="38"/>
      <x:c r="D207" s="38"/>
      <x:c r="E207" s="38"/>
      <x:c r="F207" s="38"/>
      <x:c r="G207" s="38"/>
      <x:c r="H207" s="38"/>
      <x:c r="I207" s="41"/>
      <x:c r="J207" s="38"/>
      <x:c r="K207" s="38"/>
    </x:row>
    <x:row r="208" ht="25" customHeight="1">
      <x:c r="A208" s="38"/>
      <x:c r="B208" s="38"/>
      <x:c r="C208" s="38"/>
      <x:c r="D208" s="38"/>
      <x:c r="E208" s="38"/>
      <x:c r="F208" s="38"/>
      <x:c r="G208" s="38"/>
      <x:c r="H208" s="38"/>
      <x:c r="I208" s="41"/>
      <x:c r="J208" s="38"/>
      <x:c r="K208" s="38"/>
    </x:row>
    <x:row r="209" ht="25" customHeight="1">
      <x:c r="A209" s="38"/>
      <x:c r="B209" s="38"/>
      <x:c r="C209" s="38"/>
      <x:c r="D209" s="38"/>
      <x:c r="E209" s="38"/>
      <x:c r="F209" s="38"/>
      <x:c r="G209" s="38"/>
      <x:c r="H209" s="38"/>
      <x:c r="I209" s="41"/>
      <x:c r="J209" s="38"/>
      <x:c r="K209" s="38"/>
    </x:row>
    <x:row r="210" ht="25" customHeight="1">
      <x:c r="A210" s="38"/>
      <x:c r="B210" s="38"/>
      <x:c r="C210" s="38"/>
      <x:c r="D210" s="38"/>
      <x:c r="E210" s="38"/>
      <x:c r="F210" s="38"/>
      <x:c r="G210" s="38"/>
      <x:c r="H210" s="38"/>
      <x:c r="I210" s="41"/>
      <x:c r="J210" s="38"/>
      <x:c r="K210" s="38"/>
    </x:row>
    <x:row r="211" ht="25" customHeight="1">
      <x:c r="A211" s="38"/>
      <x:c r="B211" s="38"/>
      <x:c r="C211" s="38"/>
      <x:c r="D211" s="38"/>
      <x:c r="E211" s="38"/>
      <x:c r="F211" s="38"/>
      <x:c r="G211" s="38"/>
      <x:c r="H211" s="38"/>
      <x:c r="I211" s="41"/>
      <x:c r="J211" s="38"/>
      <x:c r="K211" s="38"/>
    </x:row>
    <x:row r="212" ht="25" customHeight="1">
      <x:c r="A212" s="38"/>
      <x:c r="B212" s="38"/>
      <x:c r="C212" s="38"/>
      <x:c r="D212" s="38"/>
      <x:c r="E212" s="38"/>
      <x:c r="F212" s="38"/>
      <x:c r="G212" s="38"/>
      <x:c r="H212" s="38"/>
      <x:c r="I212" s="41"/>
      <x:c r="J212" s="38"/>
      <x:c r="K212" s="38"/>
    </x:row>
    <x:row r="213" ht="25" customHeight="1">
      <x:c r="A213" s="38"/>
      <x:c r="B213" s="38"/>
      <x:c r="C213" s="38"/>
      <x:c r="D213" s="38"/>
      <x:c r="E213" s="38"/>
      <x:c r="F213" s="38"/>
      <x:c r="G213" s="38"/>
      <x:c r="H213" s="38"/>
      <x:c r="I213" s="41"/>
      <x:c r="J213" s="38"/>
      <x:c r="K213" s="38"/>
    </x:row>
    <x:row r="214" ht="25" customHeight="1">
      <x:c r="A214" s="38"/>
      <x:c r="B214" s="38"/>
      <x:c r="C214" s="38"/>
      <x:c r="D214" s="38"/>
      <x:c r="E214" s="38"/>
      <x:c r="F214" s="38"/>
      <x:c r="G214" s="38"/>
      <x:c r="H214" s="38"/>
      <x:c r="I214" s="41"/>
      <x:c r="J214" s="38"/>
      <x:c r="K214" s="38"/>
    </x:row>
    <x:row r="215" ht="25" customHeight="1">
      <x:c r="A215" s="38"/>
      <x:c r="B215" s="38"/>
      <x:c r="C215" s="38"/>
      <x:c r="D215" s="38"/>
      <x:c r="E215" s="38"/>
      <x:c r="F215" s="38"/>
      <x:c r="G215" s="38"/>
      <x:c r="H215" s="38"/>
      <x:c r="I215" s="41"/>
      <x:c r="J215" s="38"/>
      <x:c r="K215" s="38"/>
    </x:row>
    <x:row r="216" ht="25" customHeight="1">
      <x:c r="A216" s="38"/>
      <x:c r="B216" s="38"/>
      <x:c r="C216" s="38"/>
      <x:c r="D216" s="38"/>
      <x:c r="E216" s="38"/>
      <x:c r="F216" s="38"/>
      <x:c r="G216" s="38"/>
      <x:c r="H216" s="38"/>
      <x:c r="I216" s="41"/>
      <x:c r="J216" s="38"/>
      <x:c r="K216" s="38"/>
    </x:row>
    <x:row r="217" ht="25" customHeight="1">
      <x:c r="A217" s="38"/>
      <x:c r="B217" s="38"/>
      <x:c r="C217" s="38"/>
      <x:c r="D217" s="38"/>
      <x:c r="E217" s="38"/>
      <x:c r="F217" s="38"/>
      <x:c r="G217" s="38"/>
      <x:c r="H217" s="38"/>
      <x:c r="I217" s="41"/>
      <x:c r="J217" s="38"/>
      <x:c r="K217" s="38"/>
    </x:row>
    <x:row r="218" ht="25" customHeight="1">
      <x:c r="A218" s="38"/>
      <x:c r="B218" s="38"/>
      <x:c r="C218" s="38"/>
      <x:c r="D218" s="38"/>
      <x:c r="E218" s="38"/>
      <x:c r="F218" s="38"/>
      <x:c r="G218" s="38"/>
      <x:c r="H218" s="38"/>
      <x:c r="I218" s="41"/>
      <x:c r="J218" s="38"/>
      <x:c r="K218" s="38"/>
    </x:row>
    <x:row r="219" ht="25" customHeight="1">
      <x:c r="A219" s="38"/>
      <x:c r="B219" s="38"/>
      <x:c r="C219" s="38"/>
      <x:c r="D219" s="38"/>
      <x:c r="E219" s="38"/>
      <x:c r="F219" s="38"/>
      <x:c r="G219" s="38"/>
      <x:c r="H219" s="38"/>
      <x:c r="I219" s="41"/>
      <x:c r="J219" s="38"/>
      <x:c r="K219" s="38"/>
    </x:row>
    <x:row r="220" ht="25" customHeight="1">
      <x:c r="A220" s="38"/>
      <x:c r="B220" s="38"/>
      <x:c r="C220" s="38"/>
      <x:c r="D220" s="38"/>
      <x:c r="E220" s="38"/>
      <x:c r="F220" s="38"/>
      <x:c r="G220" s="38"/>
      <x:c r="H220" s="38"/>
      <x:c r="I220" s="41"/>
      <x:c r="J220" s="38"/>
      <x:c r="K220" s="38"/>
    </x:row>
    <x:row r="221" ht="25" customHeight="1">
      <x:c r="A221" s="38"/>
      <x:c r="B221" s="38"/>
      <x:c r="C221" s="38"/>
      <x:c r="D221" s="38"/>
      <x:c r="E221" s="38"/>
      <x:c r="F221" s="38"/>
      <x:c r="G221" s="38"/>
      <x:c r="H221" s="38"/>
      <x:c r="I221" s="41"/>
      <x:c r="J221" s="38"/>
      <x:c r="K221" s="38"/>
    </x:row>
    <x:row r="222" ht="25" customHeight="1">
      <x:c r="A222" s="38"/>
      <x:c r="B222" s="38"/>
      <x:c r="C222" s="38"/>
      <x:c r="D222" s="38"/>
      <x:c r="E222" s="38"/>
      <x:c r="F222" s="38"/>
      <x:c r="G222" s="38"/>
      <x:c r="H222" s="38"/>
      <x:c r="I222" s="41"/>
      <x:c r="J222" s="38"/>
      <x:c r="K222" s="38"/>
    </x:row>
    <x:row r="223" ht="25" customHeight="1">
      <x:c r="A223" s="38"/>
      <x:c r="B223" s="38"/>
      <x:c r="C223" s="38"/>
      <x:c r="D223" s="38"/>
      <x:c r="E223" s="38"/>
      <x:c r="F223" s="38"/>
      <x:c r="G223" s="38"/>
      <x:c r="H223" s="38"/>
      <x:c r="I223" s="41"/>
      <x:c r="J223" s="38"/>
      <x:c r="K223" s="38"/>
    </x:row>
    <x:row r="224" ht="25" customHeight="1">
      <x:c r="A224" s="38"/>
      <x:c r="B224" s="38"/>
      <x:c r="C224" s="38"/>
      <x:c r="D224" s="38"/>
      <x:c r="E224" s="38"/>
      <x:c r="F224" s="38"/>
      <x:c r="G224" s="38"/>
      <x:c r="H224" s="38"/>
      <x:c r="I224" s="41"/>
      <x:c r="J224" s="38"/>
      <x:c r="K224" s="38"/>
    </x:row>
    <x:row r="225" ht="25" customHeight="1">
      <x:c r="A225" s="38"/>
      <x:c r="B225" s="38"/>
      <x:c r="C225" s="38"/>
      <x:c r="D225" s="38"/>
      <x:c r="E225" s="38"/>
      <x:c r="F225" s="38"/>
      <x:c r="G225" s="38"/>
      <x:c r="H225" s="38"/>
      <x:c r="I225" s="41"/>
      <x:c r="J225" s="38"/>
      <x:c r="K225" s="38"/>
    </x:row>
    <x:row r="226" ht="25" customHeight="1">
      <x:c r="A226" s="38"/>
      <x:c r="B226" s="38"/>
      <x:c r="C226" s="38"/>
      <x:c r="D226" s="38"/>
      <x:c r="E226" s="38"/>
      <x:c r="F226" s="38"/>
      <x:c r="G226" s="38"/>
      <x:c r="H226" s="38"/>
      <x:c r="I226" s="41"/>
      <x:c r="J226" s="38"/>
      <x:c r="K226" s="38"/>
    </x:row>
    <x:row r="227" ht="25" customHeight="1">
      <x:c r="A227" s="38"/>
      <x:c r="B227" s="38"/>
      <x:c r="C227" s="38"/>
      <x:c r="D227" s="38"/>
      <x:c r="E227" s="38"/>
      <x:c r="F227" s="38"/>
      <x:c r="G227" s="38"/>
      <x:c r="H227" s="38"/>
      <x:c r="I227" s="41"/>
      <x:c r="J227" s="38"/>
      <x:c r="K227" s="38"/>
    </x:row>
    <x:row r="228" ht="25" customHeight="1">
      <x:c r="A228" s="38"/>
      <x:c r="B228" s="38"/>
      <x:c r="C228" s="38"/>
      <x:c r="D228" s="38"/>
      <x:c r="E228" s="38"/>
      <x:c r="F228" s="38"/>
      <x:c r="G228" s="38"/>
      <x:c r="H228" s="38"/>
      <x:c r="I228" s="41"/>
      <x:c r="J228" s="38"/>
      <x:c r="K228" s="38"/>
    </x:row>
    <x:row r="229" ht="25" customHeight="1">
      <x:c r="A229" s="38"/>
      <x:c r="B229" s="38"/>
      <x:c r="C229" s="38"/>
      <x:c r="D229" s="38"/>
      <x:c r="E229" s="38"/>
      <x:c r="F229" s="38"/>
      <x:c r="G229" s="38"/>
      <x:c r="H229" s="38"/>
      <x:c r="I229" s="41"/>
      <x:c r="J229" s="38"/>
      <x:c r="K229" s="38"/>
    </x:row>
    <x:row r="230" ht="25" customHeight="1">
      <x:c r="A230" s="38"/>
      <x:c r="B230" s="38"/>
      <x:c r="C230" s="38"/>
      <x:c r="D230" s="38"/>
      <x:c r="E230" s="38"/>
      <x:c r="F230" s="38"/>
      <x:c r="G230" s="38"/>
      <x:c r="H230" s="38"/>
      <x:c r="I230" s="41"/>
      <x:c r="J230" s="38"/>
      <x:c r="K230" s="38"/>
    </x:row>
    <x:row r="231" ht="25" customHeight="1">
      <x:c r="A231" s="38"/>
      <x:c r="B231" s="38"/>
      <x:c r="C231" s="38"/>
      <x:c r="D231" s="38"/>
      <x:c r="E231" s="38"/>
      <x:c r="F231" s="38"/>
      <x:c r="G231" s="38"/>
      <x:c r="H231" s="38"/>
      <x:c r="I231" s="41"/>
      <x:c r="J231" s="38"/>
      <x:c r="K231" s="38"/>
    </x:row>
    <x:row r="232" ht="25" customHeight="1">
      <x:c r="A232" s="38"/>
      <x:c r="B232" s="38"/>
      <x:c r="C232" s="38"/>
      <x:c r="D232" s="38"/>
      <x:c r="E232" s="38"/>
      <x:c r="F232" s="38"/>
      <x:c r="G232" s="38"/>
      <x:c r="H232" s="38"/>
      <x:c r="I232" s="41"/>
      <x:c r="J232" s="38"/>
      <x:c r="K232" s="38"/>
    </x:row>
    <x:row r="233" ht="25" customHeight="1">
      <x:c r="A233" s="38"/>
      <x:c r="B233" s="38"/>
      <x:c r="C233" s="38"/>
      <x:c r="D233" s="38"/>
      <x:c r="E233" s="38"/>
      <x:c r="F233" s="38"/>
      <x:c r="G233" s="38"/>
      <x:c r="H233" s="38"/>
      <x:c r="I233" s="41"/>
      <x:c r="J233" s="38"/>
      <x:c r="K233" s="38"/>
    </x:row>
    <x:row r="234" ht="25" customHeight="1">
      <x:c r="A234" s="38"/>
      <x:c r="B234" s="38"/>
      <x:c r="C234" s="38"/>
      <x:c r="D234" s="38"/>
      <x:c r="E234" s="38"/>
      <x:c r="F234" s="38"/>
      <x:c r="G234" s="38"/>
      <x:c r="H234" s="38"/>
      <x:c r="I234" s="41"/>
      <x:c r="J234" s="38"/>
      <x:c r="K234" s="38"/>
    </x:row>
    <x:row r="235" ht="25" customHeight="1">
      <x:c r="A235" s="38"/>
      <x:c r="B235" s="38"/>
      <x:c r="C235" s="38"/>
      <x:c r="D235" s="38"/>
      <x:c r="E235" s="38"/>
      <x:c r="F235" s="38"/>
      <x:c r="G235" s="38"/>
      <x:c r="H235" s="38"/>
      <x:c r="I235" s="41"/>
      <x:c r="J235" s="38"/>
      <x:c r="K235" s="38"/>
    </x:row>
    <x:row r="236" ht="25" customHeight="1">
      <x:c r="A236" s="38"/>
      <x:c r="B236" s="38"/>
      <x:c r="C236" s="38"/>
      <x:c r="D236" s="38"/>
      <x:c r="E236" s="38"/>
      <x:c r="F236" s="38"/>
      <x:c r="G236" s="38"/>
      <x:c r="H236" s="38"/>
      <x:c r="I236" s="41"/>
      <x:c r="J236" s="38"/>
      <x:c r="K236" s="38"/>
    </x:row>
    <x:row r="237" ht="25" customHeight="1">
      <x:c r="A237" s="38"/>
      <x:c r="B237" s="38"/>
      <x:c r="C237" s="38"/>
      <x:c r="D237" s="38"/>
      <x:c r="E237" s="38"/>
      <x:c r="F237" s="38"/>
      <x:c r="G237" s="38"/>
      <x:c r="H237" s="38"/>
      <x:c r="I237" s="41"/>
      <x:c r="J237" s="38"/>
      <x:c r="K237" s="38"/>
    </x:row>
    <x:row r="238" ht="25" customHeight="1">
      <x:c r="A238" s="38"/>
      <x:c r="B238" s="38"/>
      <x:c r="C238" s="38"/>
      <x:c r="D238" s="38"/>
      <x:c r="E238" s="38"/>
      <x:c r="F238" s="38"/>
      <x:c r="G238" s="38"/>
      <x:c r="H238" s="38"/>
      <x:c r="I238" s="41"/>
      <x:c r="J238" s="38"/>
      <x:c r="K238" s="38"/>
    </x:row>
    <x:row r="239" ht="25" customHeight="1">
      <x:c r="A239" s="38"/>
      <x:c r="B239" s="38"/>
      <x:c r="C239" s="38"/>
      <x:c r="D239" s="38"/>
      <x:c r="E239" s="38"/>
      <x:c r="F239" s="38"/>
      <x:c r="G239" s="38"/>
      <x:c r="H239" s="38"/>
      <x:c r="I239" s="41"/>
      <x:c r="J239" s="38"/>
      <x:c r="K239" s="38"/>
    </x:row>
    <x:row r="240" ht="25" customHeight="1">
      <x:c r="A240" s="38"/>
      <x:c r="B240" s="38"/>
      <x:c r="C240" s="38"/>
      <x:c r="D240" s="38"/>
      <x:c r="E240" s="38"/>
      <x:c r="F240" s="38"/>
      <x:c r="G240" s="38"/>
      <x:c r="H240" s="38"/>
      <x:c r="I240" s="41"/>
      <x:c r="J240" s="38"/>
      <x:c r="K240" s="38"/>
    </x:row>
    <x:row r="241" ht="25" customHeight="1">
      <x:c r="A241" s="38"/>
      <x:c r="B241" s="38"/>
      <x:c r="C241" s="38"/>
      <x:c r="D241" s="38"/>
      <x:c r="E241" s="38"/>
      <x:c r="F241" s="38"/>
      <x:c r="G241" s="38"/>
      <x:c r="H241" s="38"/>
      <x:c r="I241" s="41"/>
      <x:c r="J241" s="38"/>
      <x:c r="K241" s="38"/>
    </x:row>
    <x:row r="242" ht="25" customHeight="1">
      <x:c r="A242" s="38"/>
      <x:c r="B242" s="38"/>
      <x:c r="C242" s="38"/>
      <x:c r="D242" s="38"/>
      <x:c r="E242" s="38"/>
      <x:c r="F242" s="38"/>
      <x:c r="G242" s="38"/>
      <x:c r="H242" s="38"/>
      <x:c r="I242" s="41"/>
      <x:c r="J242" s="38"/>
      <x:c r="K242" s="38"/>
    </x:row>
    <x:row r="243" ht="25" customHeight="1">
      <x:c r="A243" s="38"/>
      <x:c r="B243" s="38"/>
      <x:c r="C243" s="38"/>
      <x:c r="D243" s="38"/>
      <x:c r="E243" s="38"/>
      <x:c r="F243" s="38"/>
      <x:c r="G243" s="38"/>
      <x:c r="H243" s="38"/>
      <x:c r="I243" s="41"/>
      <x:c r="J243" s="38"/>
      <x:c r="K243" s="38"/>
    </x:row>
    <x:row r="244" ht="25" customHeight="1">
      <x:c r="A244" s="38"/>
      <x:c r="B244" s="38"/>
      <x:c r="C244" s="38"/>
      <x:c r="D244" s="38"/>
      <x:c r="E244" s="38"/>
      <x:c r="F244" s="38"/>
      <x:c r="G244" s="38"/>
      <x:c r="H244" s="38"/>
      <x:c r="I244" s="41"/>
      <x:c r="J244" s="38"/>
      <x:c r="K244" s="38"/>
    </x:row>
    <x:row r="245" ht="25" customHeight="1">
      <x:c r="A245" s="38"/>
      <x:c r="B245" s="38"/>
      <x:c r="C245" s="38"/>
      <x:c r="D245" s="38"/>
      <x:c r="E245" s="38"/>
      <x:c r="F245" s="38"/>
      <x:c r="G245" s="38"/>
      <x:c r="H245" s="38"/>
      <x:c r="I245" s="41"/>
      <x:c r="J245" s="38"/>
      <x:c r="K245" s="38"/>
    </x:row>
    <x:row r="246" ht="25" customHeight="1">
      <x:c r="A246" s="38"/>
      <x:c r="B246" s="38"/>
      <x:c r="C246" s="38"/>
      <x:c r="D246" s="38"/>
      <x:c r="E246" s="38"/>
      <x:c r="F246" s="38"/>
      <x:c r="G246" s="38"/>
      <x:c r="H246" s="38"/>
      <x:c r="I246" s="41"/>
      <x:c r="J246" s="38"/>
      <x:c r="K246" s="38"/>
    </x:row>
    <x:row r="247" ht="25" customHeight="1">
      <x:c r="A247" s="38"/>
      <x:c r="B247" s="38"/>
      <x:c r="C247" s="38"/>
      <x:c r="D247" s="38"/>
      <x:c r="E247" s="38"/>
      <x:c r="F247" s="38"/>
      <x:c r="G247" s="38"/>
      <x:c r="H247" s="38"/>
      <x:c r="I247" s="41"/>
      <x:c r="J247" s="38"/>
      <x:c r="K247" s="38"/>
    </x:row>
    <x:row r="248" ht="25" customHeight="1">
      <x:c r="A248" s="38"/>
      <x:c r="B248" s="38"/>
      <x:c r="C248" s="38"/>
      <x:c r="D248" s="38"/>
      <x:c r="E248" s="38"/>
      <x:c r="F248" s="38"/>
      <x:c r="G248" s="38"/>
      <x:c r="H248" s="38"/>
      <x:c r="I248" s="41"/>
      <x:c r="J248" s="38"/>
      <x:c r="K248" s="38"/>
    </x:row>
    <x:row r="249" ht="25" customHeight="1">
      <x:c r="A249" s="38"/>
      <x:c r="B249" s="38"/>
      <x:c r="C249" s="38"/>
      <x:c r="D249" s="38"/>
      <x:c r="E249" s="38"/>
      <x:c r="F249" s="38"/>
      <x:c r="G249" s="38"/>
      <x:c r="H249" s="38"/>
      <x:c r="I249" s="41"/>
      <x:c r="J249" s="38"/>
      <x:c r="K249" s="38"/>
    </x:row>
    <x:row r="250" ht="25" customHeight="1">
      <x:c r="A250" s="38"/>
      <x:c r="B250" s="38"/>
      <x:c r="C250" s="38"/>
      <x:c r="D250" s="38"/>
      <x:c r="E250" s="38"/>
      <x:c r="F250" s="38"/>
      <x:c r="G250" s="38"/>
      <x:c r="H250" s="38"/>
      <x:c r="I250" s="41"/>
      <x:c r="J250" s="38"/>
      <x:c r="K250" s="38"/>
    </x:row>
    <x:row r="251" ht="25" customHeight="1">
      <x:c r="A251" s="38"/>
      <x:c r="B251" s="38"/>
      <x:c r="C251" s="38"/>
      <x:c r="D251" s="38"/>
      <x:c r="E251" s="38"/>
      <x:c r="F251" s="38"/>
      <x:c r="G251" s="38"/>
      <x:c r="H251" s="38"/>
      <x:c r="I251" s="41"/>
      <x:c r="J251" s="38"/>
      <x:c r="K251" s="38"/>
    </x:row>
    <x:row r="252" ht="25" customHeight="1">
      <x:c r="A252" s="38"/>
      <x:c r="B252" s="38"/>
      <x:c r="C252" s="38"/>
      <x:c r="D252" s="38"/>
      <x:c r="E252" s="38"/>
      <x:c r="F252" s="38"/>
      <x:c r="G252" s="38"/>
      <x:c r="H252" s="38"/>
      <x:c r="I252" s="41"/>
      <x:c r="J252" s="38"/>
      <x:c r="K252" s="38"/>
    </x:row>
    <x:row r="253" ht="25" customHeight="1">
      <x:c r="A253" s="38"/>
      <x:c r="B253" s="38"/>
      <x:c r="C253" s="38"/>
      <x:c r="D253" s="38"/>
      <x:c r="E253" s="38"/>
      <x:c r="F253" s="38"/>
      <x:c r="G253" s="38"/>
      <x:c r="H253" s="38"/>
      <x:c r="I253" s="41"/>
      <x:c r="J253" s="38"/>
      <x:c r="K253" s="38"/>
    </x:row>
    <x:row r="254" ht="25" customHeight="1">
      <x:c r="A254" s="38"/>
      <x:c r="B254" s="38"/>
      <x:c r="C254" s="38"/>
      <x:c r="D254" s="38"/>
      <x:c r="E254" s="38"/>
      <x:c r="F254" s="38"/>
      <x:c r="G254" s="38"/>
      <x:c r="H254" s="38"/>
      <x:c r="I254" s="41"/>
      <x:c r="J254" s="38"/>
      <x:c r="K254" s="38"/>
    </x:row>
    <x:row r="255" ht="25" customHeight="1">
      <x:c r="A255" s="38"/>
      <x:c r="B255" s="38"/>
      <x:c r="C255" s="38"/>
      <x:c r="D255" s="38"/>
      <x:c r="E255" s="38"/>
      <x:c r="F255" s="38"/>
      <x:c r="G255" s="38"/>
      <x:c r="H255" s="38"/>
      <x:c r="I255" s="41"/>
      <x:c r="J255" s="38"/>
      <x:c r="K255" s="38"/>
    </x:row>
    <x:row r="256" ht="25" customHeight="1">
      <x:c r="A256" s="38"/>
      <x:c r="B256" s="38"/>
      <x:c r="C256" s="38"/>
      <x:c r="D256" s="38"/>
      <x:c r="E256" s="38"/>
      <x:c r="F256" s="38"/>
      <x:c r="G256" s="38"/>
      <x:c r="H256" s="38"/>
      <x:c r="I256" s="41"/>
      <x:c r="J256" s="38"/>
      <x:c r="K256" s="38"/>
    </x:row>
    <x:row r="257" ht="25" customHeight="1">
      <x:c r="A257" s="38"/>
      <x:c r="B257" s="38"/>
      <x:c r="C257" s="38"/>
      <x:c r="D257" s="38"/>
      <x:c r="E257" s="38"/>
      <x:c r="F257" s="38"/>
      <x:c r="G257" s="38"/>
      <x:c r="H257" s="38"/>
      <x:c r="I257" s="41"/>
      <x:c r="J257" s="38"/>
      <x:c r="K257" s="38"/>
    </x:row>
    <x:row r="258" ht="25" customHeight="1">
      <x:c r="A258" s="38"/>
      <x:c r="B258" s="38"/>
      <x:c r="C258" s="38"/>
      <x:c r="D258" s="38"/>
      <x:c r="E258" s="38"/>
      <x:c r="F258" s="38"/>
      <x:c r="G258" s="38"/>
      <x:c r="H258" s="38"/>
      <x:c r="I258" s="41"/>
      <x:c r="J258" s="38"/>
      <x:c r="K258" s="38"/>
    </x:row>
    <x:row r="259" ht="25" customHeight="1">
      <x:c r="A259" s="38"/>
      <x:c r="B259" s="38"/>
      <x:c r="C259" s="38"/>
      <x:c r="D259" s="38"/>
      <x:c r="E259" s="38"/>
      <x:c r="F259" s="38"/>
      <x:c r="G259" s="38"/>
      <x:c r="H259" s="38"/>
      <x:c r="I259" s="41"/>
      <x:c r="J259" s="38"/>
      <x:c r="K259" s="38"/>
    </x:row>
    <x:row r="260" ht="25" customHeight="1">
      <x:c r="A260" s="38"/>
      <x:c r="B260" s="38"/>
      <x:c r="C260" s="38"/>
      <x:c r="D260" s="38"/>
      <x:c r="E260" s="38"/>
      <x:c r="F260" s="38"/>
      <x:c r="G260" s="38"/>
      <x:c r="H260" s="38"/>
      <x:c r="I260" s="41"/>
      <x:c r="J260" s="38"/>
      <x:c r="K260" s="38"/>
    </x:row>
    <x:row r="261" ht="25" customHeight="1">
      <x:c r="A261" s="38"/>
      <x:c r="B261" s="38"/>
      <x:c r="C261" s="38"/>
      <x:c r="D261" s="38"/>
      <x:c r="E261" s="38"/>
      <x:c r="F261" s="38"/>
      <x:c r="G261" s="38"/>
      <x:c r="H261" s="38"/>
      <x:c r="I261" s="41"/>
      <x:c r="J261" s="38"/>
      <x:c r="K261" s="38"/>
    </x:row>
    <x:row r="262" ht="25" customHeight="1">
      <x:c r="A262" s="38"/>
      <x:c r="B262" s="38"/>
      <x:c r="C262" s="38"/>
      <x:c r="D262" s="38"/>
      <x:c r="E262" s="38"/>
      <x:c r="F262" s="38"/>
      <x:c r="G262" s="38"/>
      <x:c r="H262" s="38"/>
      <x:c r="I262" s="41"/>
      <x:c r="J262" s="38"/>
      <x:c r="K262" s="38"/>
    </x:row>
    <x:row r="263" ht="25" customHeight="1">
      <x:c r="A263" s="38"/>
      <x:c r="B263" s="38"/>
      <x:c r="C263" s="38"/>
      <x:c r="D263" s="38"/>
      <x:c r="E263" s="38"/>
      <x:c r="F263" s="38"/>
      <x:c r="G263" s="38"/>
      <x:c r="H263" s="38"/>
      <x:c r="I263" s="41"/>
      <x:c r="J263" s="38"/>
      <x:c r="K263" s="38"/>
    </x:row>
    <x:row r="264" ht="25" customHeight="1">
      <x:c r="A264" s="38"/>
      <x:c r="B264" s="38"/>
      <x:c r="C264" s="38"/>
      <x:c r="D264" s="38"/>
      <x:c r="E264" s="38"/>
      <x:c r="F264" s="38"/>
      <x:c r="G264" s="38"/>
      <x:c r="H264" s="38"/>
      <x:c r="I264" s="41"/>
      <x:c r="J264" s="38"/>
      <x:c r="K264" s="38"/>
    </x:row>
    <x:row r="265" ht="25" customHeight="1">
      <x:c r="A265" s="38"/>
      <x:c r="B265" s="38"/>
      <x:c r="C265" s="38"/>
      <x:c r="D265" s="38"/>
      <x:c r="E265" s="38"/>
      <x:c r="F265" s="38"/>
      <x:c r="G265" s="38"/>
      <x:c r="H265" s="38"/>
      <x:c r="I265" s="41"/>
      <x:c r="J265" s="38"/>
      <x:c r="K265" s="38"/>
    </x:row>
    <x:row r="266" ht="25" customHeight="1">
      <x:c r="A266" s="38"/>
      <x:c r="B266" s="38"/>
      <x:c r="C266" s="38"/>
      <x:c r="D266" s="38"/>
      <x:c r="E266" s="38"/>
      <x:c r="F266" s="38"/>
      <x:c r="G266" s="38"/>
      <x:c r="H266" s="38"/>
      <x:c r="I266" s="41"/>
      <x:c r="J266" s="38"/>
      <x:c r="K266" s="38"/>
    </x:row>
    <x:row r="267" ht="25" customHeight="1">
      <x:c r="A267" s="38"/>
      <x:c r="B267" s="38"/>
      <x:c r="C267" s="38"/>
      <x:c r="D267" s="38"/>
      <x:c r="E267" s="38"/>
      <x:c r="F267" s="38"/>
      <x:c r="G267" s="38"/>
      <x:c r="H267" s="38"/>
      <x:c r="I267" s="41"/>
      <x:c r="J267" s="38"/>
      <x:c r="K267" s="38"/>
    </x:row>
    <x:row r="268" ht="25" customHeight="1">
      <x:c r="A268" s="38"/>
      <x:c r="B268" s="38"/>
      <x:c r="C268" s="38"/>
      <x:c r="D268" s="38"/>
      <x:c r="E268" s="38"/>
      <x:c r="F268" s="38"/>
      <x:c r="G268" s="38"/>
      <x:c r="H268" s="38"/>
      <x:c r="I268" s="41"/>
      <x:c r="J268" s="38"/>
      <x:c r="K268" s="38"/>
    </x:row>
    <x:row r="269" ht="25" customHeight="1">
      <x:c r="A269" s="38"/>
      <x:c r="B269" s="38"/>
      <x:c r="C269" s="38"/>
      <x:c r="D269" s="38"/>
      <x:c r="E269" s="38"/>
      <x:c r="F269" s="38"/>
      <x:c r="G269" s="38"/>
      <x:c r="H269" s="38"/>
      <x:c r="I269" s="41"/>
      <x:c r="J269" s="38"/>
      <x:c r="K269" s="38"/>
    </x:row>
    <x:row r="270" ht="25" customHeight="1">
      <x:c r="A270" s="38"/>
      <x:c r="B270" s="38"/>
      <x:c r="C270" s="38"/>
      <x:c r="D270" s="38"/>
      <x:c r="E270" s="38"/>
      <x:c r="F270" s="38"/>
      <x:c r="G270" s="38"/>
      <x:c r="H270" s="38"/>
      <x:c r="I270" s="41"/>
      <x:c r="J270" s="38"/>
      <x:c r="K270" s="38"/>
    </x:row>
    <x:row r="271" ht="25" customHeight="1">
      <x:c r="A271" s="38"/>
      <x:c r="B271" s="38"/>
      <x:c r="C271" s="38"/>
      <x:c r="D271" s="38"/>
      <x:c r="E271" s="38"/>
      <x:c r="F271" s="38"/>
      <x:c r="G271" s="38"/>
      <x:c r="H271" s="38"/>
      <x:c r="I271" s="41"/>
      <x:c r="J271" s="38"/>
      <x:c r="K271" s="38"/>
    </x:row>
    <x:row r="272" ht="25" customHeight="1">
      <x:c r="A272" s="38"/>
      <x:c r="B272" s="38"/>
      <x:c r="C272" s="38"/>
      <x:c r="D272" s="38"/>
      <x:c r="E272" s="38"/>
      <x:c r="F272" s="38"/>
      <x:c r="G272" s="38"/>
      <x:c r="H272" s="38"/>
      <x:c r="I272" s="41"/>
      <x:c r="J272" s="38"/>
      <x:c r="K272" s="38"/>
    </x:row>
    <x:row r="273" ht="25" customHeight="1">
      <x:c r="A273" s="38"/>
      <x:c r="B273" s="38"/>
      <x:c r="C273" s="38"/>
      <x:c r="D273" s="38"/>
      <x:c r="E273" s="38"/>
      <x:c r="F273" s="38"/>
      <x:c r="G273" s="38"/>
      <x:c r="H273" s="38"/>
      <x:c r="I273" s="41"/>
      <x:c r="J273" s="38"/>
      <x:c r="K273" s="38"/>
    </x:row>
    <x:row r="274" ht="25" customHeight="1">
      <x:c r="A274" s="38"/>
      <x:c r="B274" s="38"/>
      <x:c r="C274" s="38"/>
      <x:c r="D274" s="38"/>
      <x:c r="E274" s="38"/>
      <x:c r="F274" s="38"/>
      <x:c r="G274" s="38"/>
      <x:c r="H274" s="38"/>
      <x:c r="I274" s="41"/>
      <x:c r="J274" s="38"/>
      <x:c r="K274" s="38"/>
    </x:row>
    <x:row r="275" ht="25" customHeight="1">
      <x:c r="A275" s="38"/>
      <x:c r="B275" s="38"/>
      <x:c r="C275" s="38"/>
      <x:c r="D275" s="38"/>
      <x:c r="E275" s="38"/>
      <x:c r="F275" s="38"/>
      <x:c r="G275" s="38"/>
      <x:c r="H275" s="38"/>
      <x:c r="I275" s="41"/>
      <x:c r="J275" s="38"/>
      <x:c r="K275" s="38"/>
    </x:row>
    <x:row r="276" ht="25" customHeight="1">
      <x:c r="A276" s="38"/>
      <x:c r="B276" s="38"/>
      <x:c r="C276" s="38"/>
      <x:c r="D276" s="38"/>
      <x:c r="E276" s="38"/>
      <x:c r="F276" s="38"/>
      <x:c r="G276" s="38"/>
      <x:c r="H276" s="38"/>
      <x:c r="I276" s="41"/>
      <x:c r="J276" s="38"/>
      <x:c r="K276" s="38"/>
    </x:row>
    <x:row r="277" ht="25" customHeight="1">
      <x:c r="A277" s="38"/>
      <x:c r="B277" s="38"/>
      <x:c r="C277" s="38"/>
      <x:c r="D277" s="38"/>
      <x:c r="E277" s="38"/>
      <x:c r="F277" s="38"/>
      <x:c r="G277" s="38"/>
      <x:c r="H277" s="38"/>
      <x:c r="I277" s="41"/>
      <x:c r="J277" s="38"/>
      <x:c r="K277" s="38"/>
    </x:row>
    <x:row r="278" ht="25" customHeight="1">
      <x:c r="A278" s="38"/>
      <x:c r="B278" s="38"/>
      <x:c r="C278" s="38"/>
      <x:c r="D278" s="38"/>
      <x:c r="E278" s="38"/>
      <x:c r="F278" s="38"/>
      <x:c r="G278" s="38"/>
      <x:c r="H278" s="38"/>
      <x:c r="I278" s="41"/>
      <x:c r="J278" s="38"/>
      <x:c r="K278" s="38"/>
    </x:row>
    <x:row r="279" ht="25" customHeight="1">
      <x:c r="A279" s="38"/>
      <x:c r="B279" s="38"/>
      <x:c r="C279" s="38"/>
      <x:c r="D279" s="38"/>
      <x:c r="E279" s="38"/>
      <x:c r="F279" s="38"/>
      <x:c r="G279" s="38"/>
      <x:c r="H279" s="38"/>
      <x:c r="I279" s="41"/>
      <x:c r="J279" s="38"/>
      <x:c r="K279" s="38"/>
    </x:row>
    <x:row r="280" ht="25" customHeight="1">
      <x:c r="A280" s="38"/>
      <x:c r="B280" s="38"/>
      <x:c r="C280" s="38"/>
      <x:c r="D280" s="38"/>
      <x:c r="E280" s="38"/>
      <x:c r="F280" s="38"/>
      <x:c r="G280" s="38"/>
      <x:c r="H280" s="38"/>
      <x:c r="I280" s="41"/>
      <x:c r="J280" s="38"/>
      <x:c r="K280" s="38"/>
    </x:row>
    <x:row r="281" ht="25" customHeight="1">
      <x:c r="A281" s="38"/>
      <x:c r="B281" s="38"/>
      <x:c r="C281" s="38"/>
      <x:c r="D281" s="38"/>
      <x:c r="E281" s="38"/>
      <x:c r="F281" s="38"/>
      <x:c r="G281" s="38"/>
      <x:c r="H281" s="38"/>
      <x:c r="I281" s="41"/>
      <x:c r="J281" s="38"/>
      <x:c r="K281" s="38"/>
    </x:row>
    <x:row r="282" ht="25" customHeight="1">
      <x:c r="A282" s="38"/>
      <x:c r="B282" s="38"/>
      <x:c r="C282" s="38"/>
      <x:c r="D282" s="38"/>
      <x:c r="E282" s="38"/>
      <x:c r="F282" s="38"/>
      <x:c r="G282" s="38"/>
      <x:c r="H282" s="38"/>
      <x:c r="I282" s="41"/>
      <x:c r="J282" s="38"/>
      <x:c r="K282" s="38"/>
    </x:row>
    <x:row r="283" ht="25" customHeight="1">
      <x:c r="A283" s="38"/>
      <x:c r="B283" s="38"/>
      <x:c r="C283" s="38"/>
      <x:c r="D283" s="38"/>
      <x:c r="E283" s="38"/>
      <x:c r="F283" s="38"/>
      <x:c r="G283" s="38"/>
      <x:c r="H283" s="38"/>
      <x:c r="I283" s="41"/>
      <x:c r="J283" s="38"/>
      <x:c r="K283" s="38"/>
    </x:row>
    <x:row r="284" ht="25" customHeight="1">
      <x:c r="A284" s="38"/>
      <x:c r="B284" s="38"/>
      <x:c r="C284" s="38"/>
      <x:c r="D284" s="38"/>
      <x:c r="E284" s="38"/>
      <x:c r="F284" s="38"/>
      <x:c r="G284" s="38"/>
      <x:c r="H284" s="38"/>
      <x:c r="I284" s="41"/>
      <x:c r="J284" s="38"/>
      <x:c r="K284" s="38"/>
    </x:row>
    <x:row r="285" ht="25" customHeight="1">
      <x:c r="A285" s="38"/>
      <x:c r="B285" s="38"/>
      <x:c r="C285" s="38"/>
      <x:c r="D285" s="38"/>
      <x:c r="E285" s="38"/>
      <x:c r="F285" s="38"/>
      <x:c r="G285" s="38"/>
      <x:c r="H285" s="38"/>
      <x:c r="I285" s="41"/>
      <x:c r="J285" s="38"/>
      <x:c r="K285" s="38"/>
    </x:row>
    <x:row r="286" ht="25" customHeight="1">
      <x:c r="A286" s="38"/>
      <x:c r="B286" s="38"/>
      <x:c r="C286" s="38"/>
      <x:c r="D286" s="38"/>
      <x:c r="E286" s="38"/>
      <x:c r="F286" s="38"/>
      <x:c r="G286" s="38"/>
      <x:c r="H286" s="38"/>
      <x:c r="I286" s="41"/>
      <x:c r="J286" s="38"/>
      <x:c r="K286" s="38"/>
    </x:row>
    <x:row r="287" ht="25" customHeight="1">
      <x:c r="A287" s="38"/>
      <x:c r="B287" s="38"/>
      <x:c r="C287" s="38"/>
      <x:c r="D287" s="38"/>
      <x:c r="E287" s="38"/>
      <x:c r="F287" s="38"/>
      <x:c r="G287" s="38"/>
      <x:c r="H287" s="38"/>
      <x:c r="I287" s="41"/>
      <x:c r="J287" s="38"/>
      <x:c r="K287" s="38"/>
    </x:row>
    <x:row r="288" ht="25" customHeight="1">
      <x:c r="A288" s="38"/>
      <x:c r="B288" s="38"/>
      <x:c r="C288" s="38"/>
      <x:c r="D288" s="38"/>
      <x:c r="E288" s="38"/>
      <x:c r="F288" s="38"/>
      <x:c r="G288" s="38"/>
      <x:c r="H288" s="38"/>
      <x:c r="I288" s="41"/>
      <x:c r="J288" s="38"/>
      <x:c r="K288" s="38"/>
    </x:row>
    <x:row r="289" ht="25" customHeight="1">
      <x:c r="A289" s="38"/>
      <x:c r="B289" s="38"/>
      <x:c r="C289" s="38"/>
      <x:c r="D289" s="38"/>
      <x:c r="E289" s="38"/>
      <x:c r="F289" s="38"/>
      <x:c r="G289" s="38"/>
      <x:c r="H289" s="38"/>
      <x:c r="I289" s="41"/>
      <x:c r="J289" s="38"/>
      <x:c r="K289" s="38"/>
    </x:row>
    <x:row r="290" ht="25" customHeight="1">
      <x:c r="A290" s="38"/>
      <x:c r="B290" s="38"/>
      <x:c r="C290" s="38"/>
      <x:c r="D290" s="38"/>
      <x:c r="E290" s="38"/>
      <x:c r="F290" s="38"/>
      <x:c r="G290" s="38"/>
      <x:c r="H290" s="38"/>
      <x:c r="I290" s="41"/>
      <x:c r="J290" s="38"/>
      <x:c r="K290" s="38"/>
    </x:row>
    <x:row r="291" ht="25" customHeight="1">
      <x:c r="A291" s="38"/>
      <x:c r="B291" s="38"/>
      <x:c r="C291" s="38"/>
      <x:c r="D291" s="38"/>
      <x:c r="E291" s="38"/>
      <x:c r="F291" s="38"/>
      <x:c r="G291" s="38"/>
      <x:c r="H291" s="38"/>
      <x:c r="I291" s="41"/>
      <x:c r="J291" s="38"/>
      <x:c r="K291" s="38"/>
    </x:row>
    <x:row r="292" ht="25" customHeight="1">
      <x:c r="A292" s="38"/>
      <x:c r="B292" s="38"/>
      <x:c r="C292" s="38"/>
      <x:c r="D292" s="38"/>
      <x:c r="E292" s="38"/>
      <x:c r="F292" s="38"/>
      <x:c r="G292" s="38"/>
      <x:c r="H292" s="38"/>
      <x:c r="I292" s="41"/>
      <x:c r="J292" s="38"/>
      <x:c r="K292" s="38"/>
    </x:row>
    <x:row r="293" ht="25" customHeight="1">
      <x:c r="A293" s="38"/>
      <x:c r="B293" s="38"/>
      <x:c r="C293" s="38"/>
      <x:c r="D293" s="38"/>
      <x:c r="E293" s="38"/>
      <x:c r="F293" s="38"/>
      <x:c r="G293" s="38"/>
      <x:c r="H293" s="38"/>
      <x:c r="I293" s="41"/>
      <x:c r="J293" s="38"/>
      <x:c r="K293" s="38"/>
    </x:row>
    <x:row r="294" ht="25" customHeight="1">
      <x:c r="A294" s="38"/>
      <x:c r="B294" s="38"/>
      <x:c r="C294" s="38"/>
      <x:c r="D294" s="38"/>
      <x:c r="E294" s="38"/>
      <x:c r="F294" s="38"/>
      <x:c r="G294" s="38"/>
      <x:c r="H294" s="38"/>
      <x:c r="I294" s="41"/>
      <x:c r="J294" s="38"/>
      <x:c r="K294" s="38"/>
    </x:row>
    <x:row r="295" ht="25" customHeight="1">
      <x:c r="A295" s="38"/>
      <x:c r="B295" s="38"/>
      <x:c r="C295" s="38"/>
      <x:c r="D295" s="38"/>
      <x:c r="E295" s="38"/>
      <x:c r="F295" s="38"/>
      <x:c r="G295" s="38"/>
      <x:c r="H295" s="38"/>
      <x:c r="I295" s="41"/>
      <x:c r="J295" s="38"/>
      <x:c r="K295" s="38"/>
    </x:row>
    <x:row r="296" ht="25" customHeight="1">
      <x:c r="A296" s="38"/>
      <x:c r="B296" s="38"/>
      <x:c r="C296" s="38"/>
      <x:c r="D296" s="38"/>
      <x:c r="E296" s="38"/>
      <x:c r="F296" s="38"/>
      <x:c r="G296" s="38"/>
      <x:c r="H296" s="38"/>
      <x:c r="I296" s="41"/>
      <x:c r="J296" s="38"/>
      <x:c r="K296" s="38"/>
    </x:row>
    <x:row r="297" ht="25" customHeight="1">
      <x:c r="A297" s="38"/>
      <x:c r="B297" s="38"/>
      <x:c r="C297" s="38"/>
      <x:c r="D297" s="38"/>
      <x:c r="E297" s="38"/>
      <x:c r="F297" s="38"/>
      <x:c r="G297" s="38"/>
      <x:c r="H297" s="38"/>
      <x:c r="I297" s="41"/>
      <x:c r="J297" s="38"/>
      <x:c r="K297" s="38"/>
    </x:row>
    <x:row r="298" ht="25" customHeight="1">
      <x:c r="A298" s="38"/>
      <x:c r="B298" s="38"/>
      <x:c r="C298" s="38"/>
      <x:c r="D298" s="38"/>
      <x:c r="E298" s="38"/>
      <x:c r="F298" s="38"/>
      <x:c r="G298" s="38"/>
      <x:c r="H298" s="38"/>
      <x:c r="I298" s="41"/>
      <x:c r="J298" s="38"/>
      <x:c r="K298" s="38"/>
    </x:row>
    <x:row r="299" ht="25" customHeight="1">
      <x:c r="A299" s="38"/>
      <x:c r="B299" s="38"/>
      <x:c r="C299" s="38"/>
      <x:c r="D299" s="38"/>
      <x:c r="E299" s="38"/>
      <x:c r="F299" s="38"/>
      <x:c r="G299" s="38"/>
      <x:c r="H299" s="38"/>
      <x:c r="I299" s="41"/>
      <x:c r="J299" s="38"/>
      <x:c r="K299" s="38"/>
    </x:row>
    <x:row r="300" ht="25" customHeight="1">
      <x:c r="A300" s="38"/>
      <x:c r="B300" s="38"/>
      <x:c r="C300" s="38"/>
      <x:c r="D300" s="38"/>
      <x:c r="E300" s="38"/>
      <x:c r="F300" s="38"/>
      <x:c r="G300" s="38"/>
      <x:c r="H300" s="38"/>
      <x:c r="I300" s="41"/>
      <x:c r="J300" s="38"/>
      <x:c r="K300" s="38"/>
    </x:row>
    <x:row r="301" ht="25" customHeight="1">
      <x:c r="A301" s="38"/>
      <x:c r="B301" s="38"/>
      <x:c r="C301" s="38"/>
      <x:c r="D301" s="38"/>
      <x:c r="E301" s="38"/>
      <x:c r="F301" s="38"/>
      <x:c r="G301" s="38"/>
      <x:c r="H301" s="38"/>
      <x:c r="I301" s="41"/>
      <x:c r="J301" s="38"/>
      <x:c r="K301" s="38"/>
    </x:row>
    <x:row r="302" ht="25" customHeight="1">
      <x:c r="A302" s="38"/>
      <x:c r="B302" s="38"/>
      <x:c r="C302" s="38"/>
      <x:c r="D302" s="38"/>
      <x:c r="E302" s="38"/>
      <x:c r="F302" s="38"/>
      <x:c r="G302" s="38"/>
      <x:c r="H302" s="38"/>
      <x:c r="I302" s="41"/>
      <x:c r="J302" s="38"/>
      <x:c r="K302" s="38"/>
    </x:row>
    <x:row r="303" ht="25" customHeight="1">
      <x:c r="A303" s="38"/>
      <x:c r="B303" s="38"/>
      <x:c r="C303" s="38"/>
      <x:c r="D303" s="38"/>
      <x:c r="E303" s="38"/>
      <x:c r="F303" s="38"/>
      <x:c r="G303" s="38"/>
      <x:c r="H303" s="38"/>
      <x:c r="I303" s="41"/>
      <x:c r="J303" s="38"/>
      <x:c r="K303" s="38"/>
    </x:row>
    <x:row r="304" ht="25" customHeight="1">
      <x:c r="A304" s="38"/>
      <x:c r="B304" s="38"/>
      <x:c r="C304" s="38"/>
      <x:c r="D304" s="38"/>
      <x:c r="E304" s="38"/>
      <x:c r="F304" s="38"/>
      <x:c r="G304" s="38"/>
      <x:c r="H304" s="38"/>
      <x:c r="I304" s="41"/>
      <x:c r="J304" s="38"/>
      <x:c r="K304" s="38"/>
    </x:row>
    <x:row r="305" ht="25" customHeight="1">
      <x:c r="A305" s="38"/>
      <x:c r="B305" s="38"/>
      <x:c r="C305" s="38"/>
      <x:c r="D305" s="38"/>
      <x:c r="E305" s="38"/>
      <x:c r="F305" s="38"/>
      <x:c r="G305" s="38"/>
      <x:c r="H305" s="38"/>
      <x:c r="I305" s="41"/>
      <x:c r="J305" s="38"/>
      <x:c r="K305" s="38"/>
    </x:row>
    <x:row r="306" ht="25" customHeight="1">
      <x:c r="A306" s="38"/>
      <x:c r="B306" s="38"/>
      <x:c r="C306" s="38"/>
      <x:c r="D306" s="38"/>
      <x:c r="E306" s="38"/>
      <x:c r="F306" s="38"/>
      <x:c r="G306" s="38"/>
      <x:c r="H306" s="38"/>
      <x:c r="I306" s="41"/>
      <x:c r="J306" s="38"/>
      <x:c r="K306" s="38"/>
    </x:row>
    <x:row r="307" ht="25" customHeight="1">
      <x:c r="A307" s="38"/>
      <x:c r="B307" s="38"/>
      <x:c r="C307" s="38"/>
      <x:c r="D307" s="38"/>
      <x:c r="E307" s="38"/>
      <x:c r="F307" s="38"/>
      <x:c r="G307" s="38"/>
      <x:c r="H307" s="38"/>
      <x:c r="I307" s="41"/>
      <x:c r="J307" s="38"/>
      <x:c r="K307" s="38"/>
    </x:row>
    <x:row r="308" ht="25" customHeight="1">
      <x:c r="A308" s="38"/>
      <x:c r="B308" s="38"/>
      <x:c r="C308" s="38"/>
      <x:c r="D308" s="38"/>
      <x:c r="E308" s="38"/>
      <x:c r="F308" s="38"/>
      <x:c r="G308" s="38"/>
      <x:c r="H308" s="38"/>
      <x:c r="I308" s="41"/>
      <x:c r="J308" s="38"/>
      <x:c r="K308" s="38"/>
    </x:row>
    <x:row r="309" ht="25" customHeight="1">
      <x:c r="A309" s="38"/>
      <x:c r="B309" s="38"/>
      <x:c r="C309" s="38"/>
      <x:c r="D309" s="38"/>
      <x:c r="E309" s="38"/>
      <x:c r="F309" s="38"/>
      <x:c r="G309" s="38"/>
      <x:c r="H309" s="38"/>
      <x:c r="I309" s="41"/>
      <x:c r="J309" s="38"/>
      <x:c r="K309" s="38"/>
    </x:row>
    <x:row r="310" ht="25" customHeight="1">
      <x:c r="A310" s="38"/>
      <x:c r="B310" s="38"/>
      <x:c r="C310" s="38"/>
      <x:c r="D310" s="38"/>
      <x:c r="E310" s="38"/>
      <x:c r="F310" s="38"/>
      <x:c r="G310" s="38"/>
      <x:c r="H310" s="38"/>
      <x:c r="I310" s="41"/>
      <x:c r="J310" s="38"/>
      <x:c r="K310" s="38"/>
    </x:row>
    <x:row r="311" ht="25" customHeight="1">
      <x:c r="A311" s="38"/>
      <x:c r="B311" s="38"/>
      <x:c r="C311" s="38"/>
      <x:c r="D311" s="38"/>
      <x:c r="E311" s="38"/>
      <x:c r="F311" s="38"/>
      <x:c r="G311" s="38"/>
      <x:c r="H311" s="38"/>
      <x:c r="I311" s="41"/>
      <x:c r="J311" s="38"/>
      <x:c r="K311" s="38"/>
    </x:row>
    <x:row r="312" ht="25" customHeight="1">
      <x:c r="A312" s="38"/>
      <x:c r="B312" s="38"/>
      <x:c r="C312" s="38"/>
      <x:c r="D312" s="38"/>
      <x:c r="E312" s="38"/>
      <x:c r="F312" s="38"/>
      <x:c r="G312" s="38"/>
      <x:c r="H312" s="38"/>
      <x:c r="I312" s="41"/>
      <x:c r="J312" s="38"/>
      <x:c r="K312" s="38"/>
    </x:row>
    <x:row r="313" ht="25" customHeight="1">
      <x:c r="A313" s="38"/>
      <x:c r="B313" s="38"/>
      <x:c r="C313" s="38"/>
      <x:c r="D313" s="38"/>
      <x:c r="E313" s="38"/>
      <x:c r="F313" s="38"/>
      <x:c r="G313" s="38"/>
      <x:c r="H313" s="38"/>
      <x:c r="I313" s="41"/>
      <x:c r="J313" s="38"/>
      <x:c r="K313" s="38"/>
    </x:row>
    <x:row r="314" ht="25" customHeight="1">
      <x:c r="A314" s="38"/>
      <x:c r="B314" s="38"/>
      <x:c r="C314" s="38"/>
      <x:c r="D314" s="38"/>
      <x:c r="E314" s="38"/>
      <x:c r="F314" s="38"/>
      <x:c r="G314" s="38"/>
      <x:c r="H314" s="38"/>
      <x:c r="I314" s="41"/>
      <x:c r="J314" s="38"/>
      <x:c r="K314" s="38"/>
    </x:row>
    <x:row r="315" ht="25" customHeight="1">
      <x:c r="A315" s="38"/>
      <x:c r="B315" s="38"/>
      <x:c r="C315" s="38"/>
      <x:c r="D315" s="38"/>
      <x:c r="E315" s="38"/>
      <x:c r="F315" s="38"/>
      <x:c r="G315" s="38"/>
      <x:c r="H315" s="38"/>
      <x:c r="I315" s="41"/>
      <x:c r="J315" s="38"/>
      <x:c r="K315" s="38"/>
    </x:row>
    <x:row r="316" ht="25" customHeight="1">
      <x:c r="A316" s="38"/>
      <x:c r="B316" s="38"/>
      <x:c r="C316" s="38"/>
      <x:c r="D316" s="38"/>
      <x:c r="E316" s="38"/>
      <x:c r="F316" s="38"/>
      <x:c r="G316" s="38"/>
      <x:c r="H316" s="38"/>
      <x:c r="I316" s="41"/>
      <x:c r="J316" s="38"/>
      <x:c r="K316" s="38"/>
    </x:row>
    <x:row r="317" ht="25" customHeight="1">
      <x:c r="A317" s="38"/>
      <x:c r="B317" s="38"/>
      <x:c r="C317" s="38"/>
      <x:c r="D317" s="38"/>
      <x:c r="E317" s="38"/>
      <x:c r="F317" s="38"/>
      <x:c r="G317" s="38"/>
      <x:c r="H317" s="38"/>
      <x:c r="I317" s="41"/>
      <x:c r="J317" s="38"/>
      <x:c r="K317" s="38"/>
    </x:row>
    <x:row r="318" ht="25" customHeight="1">
      <x:c r="A318" s="38"/>
      <x:c r="B318" s="38"/>
      <x:c r="C318" s="38"/>
      <x:c r="D318" s="38"/>
      <x:c r="E318" s="38"/>
      <x:c r="F318" s="38"/>
      <x:c r="G318" s="38"/>
      <x:c r="H318" s="38"/>
      <x:c r="I318" s="41"/>
      <x:c r="J318" s="38"/>
      <x:c r="K318" s="38"/>
    </x:row>
    <x:row r="319" ht="25" customHeight="1">
      <x:c r="A319" s="38"/>
      <x:c r="B319" s="38"/>
      <x:c r="C319" s="38"/>
      <x:c r="D319" s="38"/>
      <x:c r="E319" s="38"/>
      <x:c r="F319" s="38"/>
      <x:c r="G319" s="38"/>
      <x:c r="H319" s="38"/>
      <x:c r="I319" s="41"/>
      <x:c r="J319" s="38"/>
      <x:c r="K319" s="38"/>
    </x:row>
    <x:row r="320" ht="25" customHeight="1">
      <x:c r="A320" s="38"/>
      <x:c r="B320" s="38"/>
      <x:c r="C320" s="38"/>
      <x:c r="D320" s="38"/>
      <x:c r="E320" s="38"/>
      <x:c r="F320" s="38"/>
      <x:c r="G320" s="38"/>
      <x:c r="H320" s="38"/>
      <x:c r="I320" s="41"/>
      <x:c r="J320" s="38"/>
      <x:c r="K320" s="38"/>
    </x:row>
    <x:row r="321" ht="25" customHeight="1">
      <x:c r="A321" s="38"/>
      <x:c r="B321" s="38"/>
      <x:c r="C321" s="38"/>
      <x:c r="D321" s="38"/>
      <x:c r="E321" s="38"/>
      <x:c r="F321" s="38"/>
      <x:c r="G321" s="38"/>
      <x:c r="H321" s="38"/>
      <x:c r="I321" s="41"/>
      <x:c r="J321" s="38"/>
      <x:c r="K321" s="38"/>
    </x:row>
    <x:row r="322" ht="25" customHeight="1">
      <x:c r="A322" s="38"/>
      <x:c r="B322" s="38"/>
      <x:c r="C322" s="38"/>
      <x:c r="D322" s="38"/>
      <x:c r="E322" s="38"/>
      <x:c r="F322" s="38"/>
      <x:c r="G322" s="38"/>
      <x:c r="H322" s="38"/>
      <x:c r="I322" s="41"/>
      <x:c r="J322" s="38"/>
      <x:c r="K322" s="38"/>
    </x:row>
    <x:row r="323" ht="25" customHeight="1">
      <x:c r="A323" s="38"/>
      <x:c r="B323" s="38"/>
      <x:c r="C323" s="38"/>
      <x:c r="D323" s="38"/>
      <x:c r="E323" s="38"/>
      <x:c r="F323" s="38"/>
      <x:c r="G323" s="38"/>
      <x:c r="H323" s="38"/>
      <x:c r="I323" s="41"/>
      <x:c r="J323" s="38"/>
      <x:c r="K323" s="38"/>
    </x:row>
    <x:row r="324" ht="25" customHeight="1">
      <x:c r="A324" s="38"/>
      <x:c r="B324" s="38"/>
      <x:c r="C324" s="38"/>
      <x:c r="D324" s="38"/>
      <x:c r="E324" s="38"/>
      <x:c r="F324" s="38"/>
      <x:c r="G324" s="38"/>
      <x:c r="H324" s="38"/>
      <x:c r="I324" s="41"/>
      <x:c r="J324" s="38"/>
      <x:c r="K324" s="38"/>
    </x:row>
    <x:row r="325" ht="25" customHeight="1">
      <x:c r="A325" s="38"/>
      <x:c r="B325" s="38"/>
      <x:c r="C325" s="38"/>
      <x:c r="D325" s="38"/>
      <x:c r="E325" s="38"/>
      <x:c r="F325" s="38"/>
      <x:c r="G325" s="38"/>
      <x:c r="H325" s="38"/>
      <x:c r="I325" s="41"/>
      <x:c r="J325" s="38"/>
      <x:c r="K325" s="38"/>
    </x:row>
    <x:row r="326" ht="25" customHeight="1">
      <x:c r="A326" s="38"/>
      <x:c r="B326" s="38"/>
      <x:c r="C326" s="38"/>
      <x:c r="D326" s="38"/>
      <x:c r="E326" s="38"/>
      <x:c r="F326" s="38"/>
      <x:c r="G326" s="38"/>
      <x:c r="H326" s="38"/>
      <x:c r="I326" s="41"/>
      <x:c r="J326" s="38"/>
      <x:c r="K326" s="38"/>
    </x:row>
    <x:row r="327" ht="25" customHeight="1">
      <x:c r="A327" s="38"/>
      <x:c r="B327" s="38"/>
      <x:c r="C327" s="38"/>
      <x:c r="D327" s="38"/>
      <x:c r="E327" s="38"/>
      <x:c r="F327" s="38"/>
      <x:c r="G327" s="38"/>
      <x:c r="H327" s="38"/>
      <x:c r="I327" s="41"/>
      <x:c r="J327" s="38"/>
      <x:c r="K327" s="38"/>
    </x:row>
    <x:row r="328" ht="25" customHeight="1">
      <x:c r="A328" s="38"/>
      <x:c r="B328" s="38"/>
      <x:c r="C328" s="38"/>
      <x:c r="D328" s="38"/>
      <x:c r="E328" s="38"/>
      <x:c r="F328" s="38"/>
      <x:c r="G328" s="38"/>
      <x:c r="H328" s="38"/>
      <x:c r="I328" s="41"/>
      <x:c r="J328" s="38"/>
      <x:c r="K328" s="38"/>
    </x:row>
    <x:row r="329" ht="25" customHeight="1">
      <x:c r="A329" s="38"/>
      <x:c r="B329" s="38"/>
      <x:c r="C329" s="38"/>
      <x:c r="D329" s="38"/>
      <x:c r="E329" s="38"/>
      <x:c r="F329" s="38"/>
      <x:c r="G329" s="38"/>
      <x:c r="H329" s="38"/>
      <x:c r="I329" s="41"/>
      <x:c r="J329" s="38"/>
      <x:c r="K329" s="38"/>
    </x:row>
    <x:row r="330" ht="25" customHeight="1">
      <x:c r="A330" s="38"/>
      <x:c r="B330" s="38"/>
      <x:c r="C330" s="38"/>
      <x:c r="D330" s="38"/>
      <x:c r="E330" s="38"/>
      <x:c r="F330" s="38"/>
      <x:c r="G330" s="38"/>
      <x:c r="H330" s="38"/>
      <x:c r="I330" s="41"/>
      <x:c r="J330" s="38"/>
      <x:c r="K330" s="38"/>
    </x:row>
    <x:row r="331" ht="25" customHeight="1">
      <x:c r="A331" s="38"/>
      <x:c r="B331" s="38"/>
      <x:c r="C331" s="38"/>
      <x:c r="D331" s="38"/>
      <x:c r="E331" s="38"/>
      <x:c r="F331" s="38"/>
      <x:c r="G331" s="38"/>
      <x:c r="H331" s="38"/>
      <x:c r="I331" s="41"/>
      <x:c r="J331" s="38"/>
      <x:c r="K331" s="38"/>
    </x:row>
    <x:row r="332" ht="25" customHeight="1">
      <x:c r="A332" s="38"/>
      <x:c r="B332" s="38"/>
      <x:c r="C332" s="38"/>
      <x:c r="D332" s="38"/>
      <x:c r="E332" s="38"/>
      <x:c r="F332" s="38"/>
      <x:c r="G332" s="38"/>
      <x:c r="H332" s="38"/>
      <x:c r="I332" s="41"/>
      <x:c r="J332" s="38"/>
      <x:c r="K332" s="38"/>
    </x:row>
    <x:row r="333" ht="25" customHeight="1">
      <x:c r="A333" s="38"/>
      <x:c r="B333" s="38"/>
      <x:c r="C333" s="38"/>
      <x:c r="D333" s="38"/>
      <x:c r="E333" s="38"/>
      <x:c r="F333" s="38"/>
      <x:c r="G333" s="38"/>
      <x:c r="H333" s="38"/>
      <x:c r="I333" s="41"/>
      <x:c r="J333" s="38"/>
      <x:c r="K333" s="38"/>
    </x:row>
    <x:row r="334" ht="25" customHeight="1">
      <x:c r="A334" s="38"/>
      <x:c r="B334" s="38"/>
      <x:c r="C334" s="38"/>
      <x:c r="D334" s="38"/>
      <x:c r="E334" s="38"/>
      <x:c r="F334" s="38"/>
      <x:c r="G334" s="38"/>
      <x:c r="H334" s="38"/>
      <x:c r="I334" s="41"/>
      <x:c r="J334" s="38"/>
      <x:c r="K334" s="38"/>
    </x:row>
    <x:row r="335" ht="25" customHeight="1">
      <x:c r="A335" s="38"/>
      <x:c r="B335" s="38"/>
      <x:c r="C335" s="38"/>
      <x:c r="D335" s="38"/>
      <x:c r="E335" s="38"/>
      <x:c r="F335" s="38"/>
      <x:c r="G335" s="38"/>
      <x:c r="H335" s="38"/>
      <x:c r="I335" s="41"/>
      <x:c r="J335" s="38"/>
      <x:c r="K335" s="38"/>
    </x:row>
    <x:row r="336" ht="25" customHeight="1">
      <x:c r="A336" s="38"/>
      <x:c r="B336" s="38"/>
      <x:c r="C336" s="38"/>
      <x:c r="D336" s="38"/>
      <x:c r="E336" s="38"/>
      <x:c r="F336" s="38"/>
      <x:c r="G336" s="38"/>
      <x:c r="H336" s="38"/>
      <x:c r="I336" s="41"/>
      <x:c r="J336" s="38"/>
      <x:c r="K336" s="38"/>
    </x:row>
    <x:row r="337" ht="25" customHeight="1">
      <x:c r="A337" s="38"/>
      <x:c r="B337" s="38"/>
      <x:c r="C337" s="38"/>
      <x:c r="D337" s="38"/>
      <x:c r="E337" s="38"/>
      <x:c r="F337" s="38"/>
      <x:c r="G337" s="38"/>
      <x:c r="H337" s="38"/>
      <x:c r="I337" s="41"/>
      <x:c r="J337" s="38"/>
      <x:c r="K337" s="38"/>
    </x:row>
    <x:row r="338" ht="25" customHeight="1">
      <x:c r="A338" s="38"/>
      <x:c r="B338" s="38"/>
      <x:c r="C338" s="38"/>
      <x:c r="D338" s="38"/>
      <x:c r="E338" s="38"/>
      <x:c r="F338" s="38"/>
      <x:c r="G338" s="38"/>
      <x:c r="H338" s="38"/>
      <x:c r="I338" s="41"/>
      <x:c r="J338" s="38"/>
      <x:c r="K338" s="38"/>
    </x:row>
    <x:row r="339" ht="25" customHeight="1">
      <x:c r="A339" s="38"/>
      <x:c r="B339" s="38"/>
      <x:c r="C339" s="38"/>
      <x:c r="D339" s="38"/>
      <x:c r="E339" s="38"/>
      <x:c r="F339" s="38"/>
      <x:c r="G339" s="38"/>
      <x:c r="H339" s="38"/>
      <x:c r="I339" s="41"/>
      <x:c r="J339" s="38"/>
      <x:c r="K339" s="38"/>
    </x:row>
    <x:row r="340" ht="25" customHeight="1">
      <x:c r="A340" s="38"/>
      <x:c r="B340" s="38"/>
      <x:c r="C340" s="38"/>
      <x:c r="D340" s="38"/>
      <x:c r="E340" s="38"/>
      <x:c r="F340" s="38"/>
      <x:c r="G340" s="38"/>
      <x:c r="H340" s="38"/>
      <x:c r="I340" s="41"/>
      <x:c r="J340" s="38"/>
      <x:c r="K340" s="38"/>
    </x:row>
    <x:row r="341" ht="25" customHeight="1">
      <x:c r="A341" s="38"/>
      <x:c r="B341" s="38"/>
      <x:c r="C341" s="38"/>
      <x:c r="D341" s="38"/>
      <x:c r="E341" s="38"/>
      <x:c r="F341" s="38"/>
      <x:c r="G341" s="38"/>
      <x:c r="H341" s="38"/>
      <x:c r="I341" s="41"/>
      <x:c r="J341" s="38"/>
      <x:c r="K341" s="38"/>
    </x:row>
    <x:row r="342" ht="25" customHeight="1">
      <x:c r="A342" s="38"/>
      <x:c r="B342" s="38"/>
      <x:c r="C342" s="38"/>
      <x:c r="D342" s="38"/>
      <x:c r="E342" s="38"/>
      <x:c r="F342" s="38"/>
      <x:c r="G342" s="38"/>
      <x:c r="H342" s="38"/>
      <x:c r="I342" s="41"/>
      <x:c r="J342" s="38"/>
      <x:c r="K342" s="38"/>
    </x:row>
    <x:row r="343" ht="25" customHeight="1">
      <x:c r="A343" s="38"/>
      <x:c r="B343" s="38"/>
      <x:c r="C343" s="38"/>
      <x:c r="D343" s="38"/>
      <x:c r="E343" s="38"/>
      <x:c r="F343" s="38"/>
      <x:c r="G343" s="38"/>
      <x:c r="H343" s="38"/>
      <x:c r="I343" s="41"/>
      <x:c r="J343" s="38"/>
      <x:c r="K343" s="38"/>
    </x:row>
    <x:row r="344" ht="25" customHeight="1">
      <x:c r="A344" s="38"/>
      <x:c r="B344" s="38"/>
      <x:c r="C344" s="38"/>
      <x:c r="D344" s="38"/>
      <x:c r="E344" s="38"/>
      <x:c r="F344" s="38"/>
      <x:c r="G344" s="38"/>
      <x:c r="H344" s="38"/>
      <x:c r="I344" s="41"/>
      <x:c r="J344" s="38"/>
      <x:c r="K344" s="38"/>
    </x:row>
    <x:row r="345" ht="25" customHeight="1">
      <x:c r="A345" s="38"/>
      <x:c r="B345" s="38"/>
      <x:c r="C345" s="38"/>
      <x:c r="D345" s="38"/>
      <x:c r="E345" s="38"/>
      <x:c r="F345" s="38"/>
      <x:c r="G345" s="38"/>
      <x:c r="H345" s="38"/>
      <x:c r="I345" s="41"/>
      <x:c r="J345" s="38"/>
      <x:c r="K345" s="38"/>
    </x:row>
    <x:row r="346" ht="25" customHeight="1">
      <x:c r="A346" s="38"/>
      <x:c r="B346" s="38"/>
      <x:c r="C346" s="38"/>
      <x:c r="D346" s="38"/>
      <x:c r="E346" s="38"/>
      <x:c r="F346" s="38"/>
      <x:c r="G346" s="38"/>
      <x:c r="H346" s="38"/>
      <x:c r="I346" s="41"/>
      <x:c r="J346" s="38"/>
      <x:c r="K346" s="38"/>
    </x:row>
    <x:row r="347" ht="25" customHeight="1">
      <x:c r="A347" s="38"/>
      <x:c r="B347" s="38"/>
      <x:c r="C347" s="38"/>
      <x:c r="D347" s="38"/>
      <x:c r="E347" s="38"/>
      <x:c r="F347" s="38"/>
      <x:c r="G347" s="38"/>
      <x:c r="H347" s="38"/>
      <x:c r="I347" s="41"/>
      <x:c r="J347" s="38"/>
      <x:c r="K347" s="38"/>
    </x:row>
    <x:row r="348" ht="25" customHeight="1">
      <x:c r="A348" s="38"/>
      <x:c r="B348" s="38"/>
      <x:c r="C348" s="38"/>
      <x:c r="D348" s="38"/>
      <x:c r="E348" s="38"/>
      <x:c r="F348" s="38"/>
      <x:c r="G348" s="38"/>
      <x:c r="H348" s="38"/>
      <x:c r="I348" s="41"/>
      <x:c r="J348" s="38"/>
      <x:c r="K348" s="38"/>
    </x:row>
    <x:row r="349" ht="25" customHeight="1">
      <x:c r="A349" s="38"/>
      <x:c r="B349" s="38"/>
      <x:c r="C349" s="38"/>
      <x:c r="D349" s="38"/>
      <x:c r="E349" s="38"/>
      <x:c r="F349" s="38"/>
      <x:c r="G349" s="38"/>
      <x:c r="H349" s="38"/>
      <x:c r="I349" s="41"/>
      <x:c r="J349" s="38"/>
      <x:c r="K349" s="38"/>
    </x:row>
    <x:row r="350" ht="25" customHeight="1">
      <x:c r="A350" s="38"/>
      <x:c r="B350" s="38"/>
      <x:c r="C350" s="38"/>
      <x:c r="D350" s="38"/>
      <x:c r="E350" s="38"/>
      <x:c r="F350" s="38"/>
      <x:c r="G350" s="38"/>
      <x:c r="H350" s="38"/>
      <x:c r="I350" s="41"/>
      <x:c r="J350" s="38"/>
      <x:c r="K350" s="38"/>
    </x:row>
    <x:row r="351" ht="25" customHeight="1">
      <x:c r="A351" s="38"/>
      <x:c r="B351" s="38"/>
      <x:c r="C351" s="38"/>
      <x:c r="D351" s="38"/>
      <x:c r="E351" s="38"/>
      <x:c r="F351" s="38"/>
      <x:c r="G351" s="38"/>
      <x:c r="H351" s="38"/>
      <x:c r="I351" s="41"/>
      <x:c r="J351" s="38"/>
      <x:c r="K351" s="38"/>
    </x:row>
    <x:row r="352" ht="25" customHeight="1">
      <x:c r="A352" s="38"/>
      <x:c r="B352" s="38"/>
      <x:c r="C352" s="38"/>
      <x:c r="D352" s="38"/>
      <x:c r="E352" s="38"/>
      <x:c r="F352" s="38"/>
      <x:c r="G352" s="38"/>
      <x:c r="H352" s="38"/>
      <x:c r="I352" s="41"/>
      <x:c r="J352" s="38"/>
      <x:c r="K352" s="38"/>
    </x:row>
    <x:row r="353" ht="25" customHeight="1">
      <x:c r="A353" s="38"/>
      <x:c r="B353" s="38"/>
      <x:c r="C353" s="38"/>
      <x:c r="D353" s="38"/>
      <x:c r="E353" s="38"/>
      <x:c r="F353" s="38"/>
      <x:c r="G353" s="38"/>
      <x:c r="H353" s="38"/>
      <x:c r="I353" s="41"/>
      <x:c r="J353" s="38"/>
      <x:c r="K353" s="38"/>
    </x:row>
    <x:row r="354" ht="25" customHeight="1">
      <x:c r="A354" s="38"/>
      <x:c r="B354" s="38"/>
      <x:c r="C354" s="38"/>
      <x:c r="D354" s="38"/>
      <x:c r="E354" s="38"/>
      <x:c r="F354" s="38"/>
      <x:c r="G354" s="38"/>
      <x:c r="H354" s="38"/>
      <x:c r="I354" s="41"/>
      <x:c r="J354" s="38"/>
      <x:c r="K354" s="38"/>
    </x:row>
    <x:row r="355" ht="25" customHeight="1">
      <x:c r="A355" s="38"/>
      <x:c r="B355" s="38"/>
      <x:c r="C355" s="38"/>
      <x:c r="D355" s="38"/>
      <x:c r="E355" s="38"/>
      <x:c r="F355" s="38"/>
      <x:c r="G355" s="38"/>
      <x:c r="H355" s="38"/>
      <x:c r="I355" s="41"/>
      <x:c r="J355" s="38"/>
      <x:c r="K355" s="38"/>
    </x:row>
    <x:row r="356" ht="25" customHeight="1">
      <x:c r="A356" s="38"/>
      <x:c r="B356" s="38"/>
      <x:c r="C356" s="38"/>
      <x:c r="D356" s="38"/>
      <x:c r="E356" s="38"/>
      <x:c r="F356" s="38"/>
      <x:c r="G356" s="38"/>
      <x:c r="H356" s="38"/>
      <x:c r="I356" s="41"/>
      <x:c r="J356" s="38"/>
      <x:c r="K356" s="38"/>
    </x:row>
    <x:row r="357" ht="25" customHeight="1">
      <x:c r="A357" s="38"/>
      <x:c r="B357" s="38"/>
      <x:c r="C357" s="38"/>
      <x:c r="D357" s="38"/>
      <x:c r="E357" s="38"/>
      <x:c r="F357" s="38"/>
      <x:c r="G357" s="38"/>
      <x:c r="H357" s="38"/>
      <x:c r="I357" s="41"/>
      <x:c r="J357" s="38"/>
      <x:c r="K357" s="38"/>
    </x:row>
    <x:row r="358" ht="25" customHeight="1">
      <x:c r="A358" s="38"/>
      <x:c r="B358" s="38"/>
      <x:c r="C358" s="38"/>
      <x:c r="D358" s="38"/>
      <x:c r="E358" s="38"/>
      <x:c r="F358" s="38"/>
      <x:c r="G358" s="38"/>
      <x:c r="H358" s="38"/>
      <x:c r="I358" s="41"/>
      <x:c r="J358" s="38"/>
      <x:c r="K358" s="38"/>
    </x:row>
    <x:row r="359" ht="25" customHeight="1">
      <x:c r="A359" s="38"/>
      <x:c r="B359" s="38"/>
      <x:c r="C359" s="38"/>
      <x:c r="D359" s="38"/>
      <x:c r="E359" s="38"/>
      <x:c r="F359" s="38"/>
      <x:c r="G359" s="38"/>
      <x:c r="H359" s="38"/>
      <x:c r="I359" s="41"/>
      <x:c r="J359" s="38"/>
      <x:c r="K359" s="38"/>
    </x:row>
    <x:row r="360" ht="25" customHeight="1">
      <x:c r="A360" s="38"/>
      <x:c r="B360" s="38"/>
      <x:c r="C360" s="38"/>
      <x:c r="D360" s="38"/>
      <x:c r="E360" s="38"/>
      <x:c r="F360" s="38"/>
      <x:c r="G360" s="38"/>
      <x:c r="H360" s="38"/>
      <x:c r="I360" s="41"/>
      <x:c r="J360" s="38"/>
      <x:c r="K360" s="38"/>
    </x:row>
    <x:row r="361" ht="25" customHeight="1">
      <x:c r="A361" s="38"/>
      <x:c r="B361" s="38"/>
      <x:c r="C361" s="38"/>
      <x:c r="D361" s="38"/>
      <x:c r="E361" s="38"/>
      <x:c r="F361" s="38"/>
      <x:c r="G361" s="38"/>
      <x:c r="H361" s="38"/>
      <x:c r="I361" s="41"/>
      <x:c r="J361" s="38"/>
      <x:c r="K361" s="38"/>
    </x:row>
    <x:row r="362" ht="25" customHeight="1">
      <x:c r="A362" s="38"/>
      <x:c r="B362" s="38"/>
      <x:c r="C362" s="38"/>
      <x:c r="D362" s="38"/>
      <x:c r="E362" s="38"/>
      <x:c r="F362" s="38"/>
      <x:c r="G362" s="38"/>
      <x:c r="H362" s="38"/>
      <x:c r="I362" s="41"/>
      <x:c r="J362" s="38"/>
      <x:c r="K362" s="38"/>
    </x:row>
    <x:row r="363" ht="25" customHeight="1">
      <x:c r="A363" s="38"/>
      <x:c r="B363" s="38"/>
      <x:c r="C363" s="38"/>
      <x:c r="D363" s="38"/>
      <x:c r="E363" s="38"/>
      <x:c r="F363" s="38"/>
      <x:c r="G363" s="38"/>
      <x:c r="H363" s="38"/>
      <x:c r="I363" s="41"/>
      <x:c r="J363" s="38"/>
      <x:c r="K363" s="38"/>
    </x:row>
    <x:row r="364" ht="25" customHeight="1">
      <x:c r="A364" s="38"/>
      <x:c r="B364" s="38"/>
      <x:c r="C364" s="38"/>
      <x:c r="D364" s="38"/>
      <x:c r="E364" s="38"/>
      <x:c r="F364" s="38"/>
      <x:c r="G364" s="38"/>
      <x:c r="H364" s="38"/>
      <x:c r="I364" s="41"/>
      <x:c r="J364" s="38"/>
      <x:c r="K364" s="38"/>
    </x:row>
    <x:row r="365" ht="25" customHeight="1">
      <x:c r="A365" s="38"/>
      <x:c r="B365" s="38"/>
      <x:c r="C365" s="38"/>
      <x:c r="D365" s="38"/>
      <x:c r="E365" s="38"/>
      <x:c r="F365" s="38"/>
      <x:c r="G365" s="38"/>
      <x:c r="H365" s="38"/>
      <x:c r="I365" s="41"/>
      <x:c r="J365" s="38"/>
      <x:c r="K365" s="38"/>
    </x:row>
    <x:row r="366" ht="25" customHeight="1">
      <x:c r="A366" s="38"/>
      <x:c r="B366" s="38"/>
      <x:c r="C366" s="38"/>
      <x:c r="D366" s="38"/>
      <x:c r="E366" s="38"/>
      <x:c r="F366" s="38"/>
      <x:c r="G366" s="38"/>
      <x:c r="H366" s="38"/>
      <x:c r="I366" s="41"/>
      <x:c r="J366" s="38"/>
      <x:c r="K366" s="38"/>
    </x:row>
    <x:row r="367" ht="25" customHeight="1">
      <x:c r="A367" s="38"/>
      <x:c r="B367" s="38"/>
      <x:c r="C367" s="38"/>
      <x:c r="D367" s="38"/>
      <x:c r="E367" s="38"/>
      <x:c r="F367" s="38"/>
      <x:c r="G367" s="38"/>
      <x:c r="H367" s="38"/>
      <x:c r="I367" s="41"/>
      <x:c r="J367" s="38"/>
      <x:c r="K367" s="38"/>
    </x:row>
    <x:row r="368" ht="25" customHeight="1">
      <x:c r="A368" s="38"/>
      <x:c r="B368" s="38"/>
      <x:c r="C368" s="38"/>
      <x:c r="D368" s="38"/>
      <x:c r="E368" s="38"/>
      <x:c r="F368" s="38"/>
      <x:c r="G368" s="38"/>
      <x:c r="H368" s="38"/>
      <x:c r="I368" s="41"/>
      <x:c r="J368" s="38"/>
      <x:c r="K368" s="38"/>
    </x:row>
    <x:row r="369" ht="25" customHeight="1">
      <x:c r="A369" s="38"/>
      <x:c r="B369" s="38"/>
      <x:c r="C369" s="38"/>
      <x:c r="D369" s="38"/>
      <x:c r="E369" s="38"/>
      <x:c r="F369" s="38"/>
      <x:c r="G369" s="38"/>
      <x:c r="H369" s="38"/>
      <x:c r="I369" s="41"/>
      <x:c r="J369" s="38"/>
      <x:c r="K369" s="38"/>
    </x:row>
    <x:row r="370" ht="25" customHeight="1">
      <x:c r="A370" s="38"/>
      <x:c r="B370" s="38"/>
      <x:c r="C370" s="38"/>
      <x:c r="D370" s="38"/>
      <x:c r="E370" s="38"/>
      <x:c r="F370" s="38"/>
      <x:c r="G370" s="38"/>
      <x:c r="H370" s="38"/>
      <x:c r="I370" s="41"/>
      <x:c r="J370" s="38"/>
      <x:c r="K370" s="38"/>
    </x:row>
    <x:row r="371" ht="25" customHeight="1">
      <x:c r="A371" s="38"/>
      <x:c r="B371" s="38"/>
      <x:c r="C371" s="38"/>
      <x:c r="D371" s="38"/>
      <x:c r="E371" s="38"/>
      <x:c r="F371" s="38"/>
      <x:c r="G371" s="38"/>
      <x:c r="H371" s="38"/>
      <x:c r="I371" s="41"/>
      <x:c r="J371" s="38"/>
      <x:c r="K371" s="38"/>
    </x:row>
    <x:row r="372" ht="25" customHeight="1">
      <x:c r="A372" s="38"/>
      <x:c r="B372" s="38"/>
      <x:c r="C372" s="38"/>
      <x:c r="D372" s="38"/>
      <x:c r="E372" s="38"/>
      <x:c r="F372" s="38"/>
      <x:c r="G372" s="38"/>
      <x:c r="H372" s="38"/>
      <x:c r="I372" s="41"/>
      <x:c r="J372" s="38"/>
      <x:c r="K372" s="38"/>
    </x:row>
    <x:row r="373" ht="25" customHeight="1">
      <x:c r="A373" s="38"/>
      <x:c r="B373" s="38"/>
      <x:c r="C373" s="38"/>
      <x:c r="D373" s="38"/>
      <x:c r="E373" s="38"/>
      <x:c r="F373" s="38"/>
      <x:c r="G373" s="38"/>
      <x:c r="H373" s="38"/>
      <x:c r="I373" s="41"/>
      <x:c r="J373" s="38"/>
      <x:c r="K373" s="38"/>
    </x:row>
    <x:row r="374" ht="25" customHeight="1">
      <x:c r="A374" s="38"/>
      <x:c r="B374" s="38"/>
      <x:c r="C374" s="38"/>
      <x:c r="D374" s="38"/>
      <x:c r="E374" s="38"/>
      <x:c r="F374" s="38"/>
      <x:c r="G374" s="38"/>
      <x:c r="H374" s="38"/>
      <x:c r="I374" s="41"/>
      <x:c r="J374" s="38"/>
      <x:c r="K374" s="38"/>
    </x:row>
    <x:row r="375" ht="25" customHeight="1">
      <x:c r="A375" s="38"/>
      <x:c r="B375" s="38"/>
      <x:c r="C375" s="38"/>
      <x:c r="D375" s="38"/>
      <x:c r="E375" s="38"/>
      <x:c r="F375" s="38"/>
      <x:c r="G375" s="38"/>
      <x:c r="H375" s="38"/>
      <x:c r="I375" s="41"/>
      <x:c r="J375" s="38"/>
      <x:c r="K375" s="38"/>
    </x:row>
    <x:row r="376" ht="25" customHeight="1">
      <x:c r="A376" s="38"/>
      <x:c r="B376" s="38"/>
      <x:c r="C376" s="38"/>
      <x:c r="D376" s="38"/>
      <x:c r="E376" s="38"/>
      <x:c r="F376" s="38"/>
      <x:c r="G376" s="38"/>
      <x:c r="H376" s="38"/>
      <x:c r="I376" s="41"/>
      <x:c r="J376" s="38"/>
      <x:c r="K376" s="38"/>
    </x:row>
    <x:row r="377" ht="25" customHeight="1">
      <x:c r="A377" s="38"/>
      <x:c r="B377" s="38"/>
      <x:c r="C377" s="38"/>
      <x:c r="D377" s="38"/>
      <x:c r="E377" s="38"/>
      <x:c r="F377" s="38"/>
      <x:c r="G377" s="38"/>
      <x:c r="H377" s="38"/>
      <x:c r="I377" s="41"/>
      <x:c r="J377" s="38"/>
      <x:c r="K377" s="38"/>
    </x:row>
    <x:row r="378" ht="25" customHeight="1">
      <x:c r="A378" s="38"/>
      <x:c r="B378" s="38"/>
      <x:c r="C378" s="38"/>
      <x:c r="D378" s="38"/>
      <x:c r="E378" s="38"/>
      <x:c r="F378" s="38"/>
      <x:c r="G378" s="38"/>
      <x:c r="H378" s="38"/>
      <x:c r="I378" s="41"/>
      <x:c r="J378" s="38"/>
      <x:c r="K378" s="38"/>
    </x:row>
    <x:row r="379" ht="25" customHeight="1">
      <x:c r="A379" s="38"/>
      <x:c r="B379" s="38"/>
      <x:c r="C379" s="38"/>
      <x:c r="D379" s="38"/>
      <x:c r="E379" s="38"/>
      <x:c r="F379" s="38"/>
      <x:c r="G379" s="38"/>
      <x:c r="H379" s="38"/>
      <x:c r="I379" s="41"/>
      <x:c r="J379" s="38"/>
      <x:c r="K379" s="38"/>
    </x:row>
    <x:row r="380" ht="25" customHeight="1">
      <x:c r="A380" s="38"/>
      <x:c r="B380" s="38"/>
      <x:c r="C380" s="38"/>
      <x:c r="D380" s="38"/>
      <x:c r="E380" s="38"/>
      <x:c r="F380" s="38"/>
      <x:c r="G380" s="38"/>
      <x:c r="H380" s="38"/>
      <x:c r="I380" s="41"/>
      <x:c r="J380" s="38"/>
      <x:c r="K380" s="38"/>
    </x:row>
    <x:row r="381" ht="25" customHeight="1">
      <x:c r="A381" s="38"/>
      <x:c r="B381" s="38"/>
      <x:c r="C381" s="38"/>
      <x:c r="D381" s="38"/>
      <x:c r="E381" s="38"/>
      <x:c r="F381" s="38"/>
      <x:c r="G381" s="38"/>
      <x:c r="H381" s="38"/>
      <x:c r="I381" s="41"/>
      <x:c r="J381" s="38"/>
      <x:c r="K381" s="38"/>
    </x:row>
    <x:row r="382" ht="25" customHeight="1">
      <x:c r="A382" s="38"/>
      <x:c r="B382" s="38"/>
      <x:c r="C382" s="38"/>
      <x:c r="D382" s="38"/>
      <x:c r="E382" s="38"/>
      <x:c r="F382" s="38"/>
      <x:c r="G382" s="38"/>
      <x:c r="H382" s="38"/>
      <x:c r="I382" s="41"/>
      <x:c r="J382" s="38"/>
      <x:c r="K382" s="38"/>
    </x:row>
    <x:row r="383" ht="25" customHeight="1">
      <x:c r="A383" s="38"/>
      <x:c r="B383" s="38"/>
      <x:c r="C383" s="38"/>
      <x:c r="D383" s="38"/>
      <x:c r="E383" s="38"/>
      <x:c r="F383" s="38"/>
      <x:c r="G383" s="38"/>
      <x:c r="H383" s="38"/>
      <x:c r="I383" s="41"/>
      <x:c r="J383" s="38"/>
      <x:c r="K383" s="38"/>
    </x:row>
    <x:row r="384" ht="25" customHeight="1">
      <x:c r="A384" s="38"/>
      <x:c r="B384" s="38"/>
      <x:c r="C384" s="38"/>
      <x:c r="D384" s="38"/>
      <x:c r="E384" s="38"/>
      <x:c r="F384" s="38"/>
      <x:c r="G384" s="38"/>
      <x:c r="H384" s="38"/>
      <x:c r="I384" s="41"/>
      <x:c r="J384" s="38"/>
      <x:c r="K384" s="38"/>
    </x:row>
    <x:row r="385" ht="25" customHeight="1">
      <x:c r="A385" s="38"/>
      <x:c r="B385" s="38"/>
      <x:c r="C385" s="38"/>
      <x:c r="D385" s="38"/>
      <x:c r="E385" s="38"/>
      <x:c r="F385" s="38"/>
      <x:c r="G385" s="38"/>
      <x:c r="H385" s="38"/>
      <x:c r="I385" s="41"/>
      <x:c r="J385" s="38"/>
      <x:c r="K385" s="38"/>
    </x:row>
    <x:row r="386" ht="25" customHeight="1">
      <x:c r="A386" s="38"/>
      <x:c r="B386" s="38"/>
      <x:c r="C386" s="38"/>
      <x:c r="D386" s="38"/>
      <x:c r="E386" s="38"/>
      <x:c r="F386" s="38"/>
      <x:c r="G386" s="38"/>
      <x:c r="H386" s="38"/>
      <x:c r="I386" s="41"/>
      <x:c r="J386" s="38"/>
      <x:c r="K386" s="38"/>
    </x:row>
    <x:row r="387" ht="25" customHeight="1">
      <x:c r="A387" s="38"/>
      <x:c r="B387" s="38"/>
      <x:c r="C387" s="38"/>
      <x:c r="D387" s="38"/>
      <x:c r="E387" s="38"/>
      <x:c r="F387" s="38"/>
      <x:c r="G387" s="38"/>
      <x:c r="H387" s="38"/>
      <x:c r="I387" s="41"/>
      <x:c r="J387" s="38"/>
      <x:c r="K387" s="38"/>
    </x:row>
    <x:row r="388" ht="25" customHeight="1">
      <x:c r="A388" s="38"/>
      <x:c r="B388" s="38"/>
      <x:c r="C388" s="38"/>
      <x:c r="D388" s="38"/>
      <x:c r="E388" s="38"/>
      <x:c r="F388" s="38"/>
      <x:c r="G388" s="38"/>
      <x:c r="H388" s="38"/>
      <x:c r="I388" s="41"/>
      <x:c r="J388" s="38"/>
      <x:c r="K388" s="38"/>
    </x:row>
    <x:row r="389" ht="25" customHeight="1">
      <x:c r="A389" s="38"/>
      <x:c r="B389" s="38"/>
      <x:c r="C389" s="38"/>
      <x:c r="D389" s="38"/>
      <x:c r="E389" s="38"/>
      <x:c r="F389" s="38"/>
      <x:c r="G389" s="38"/>
      <x:c r="H389" s="38"/>
      <x:c r="I389" s="41"/>
      <x:c r="J389" s="38"/>
      <x:c r="K389" s="38"/>
    </x:row>
    <x:row r="390" ht="25" customHeight="1">
      <x:c r="A390" s="38"/>
      <x:c r="B390" s="38"/>
      <x:c r="C390" s="38"/>
      <x:c r="D390" s="38"/>
      <x:c r="E390" s="38"/>
      <x:c r="F390" s="38"/>
      <x:c r="G390" s="38"/>
      <x:c r="H390" s="38"/>
      <x:c r="I390" s="41"/>
      <x:c r="J390" s="38"/>
      <x:c r="K390" s="38"/>
    </x:row>
    <x:row r="391" ht="25" customHeight="1">
      <x:c r="A391" s="38"/>
      <x:c r="B391" s="38"/>
      <x:c r="C391" s="38"/>
      <x:c r="D391" s="38"/>
      <x:c r="E391" s="38"/>
      <x:c r="F391" s="38"/>
      <x:c r="G391" s="38"/>
      <x:c r="H391" s="38"/>
      <x:c r="I391" s="41"/>
      <x:c r="J391" s="38"/>
      <x:c r="K391" s="38"/>
    </x:row>
    <x:row r="392" ht="25" customHeight="1">
      <x:c r="A392" s="38"/>
      <x:c r="B392" s="38"/>
      <x:c r="C392" s="38"/>
      <x:c r="D392" s="38"/>
      <x:c r="E392" s="38"/>
      <x:c r="F392" s="38"/>
      <x:c r="G392" s="38"/>
      <x:c r="H392" s="38"/>
      <x:c r="I392" s="41"/>
      <x:c r="J392" s="38"/>
      <x:c r="K392" s="38"/>
    </x:row>
    <x:row r="393" ht="25" customHeight="1">
      <x:c r="A393" s="38"/>
      <x:c r="B393" s="38"/>
      <x:c r="C393" s="38"/>
      <x:c r="D393" s="38"/>
      <x:c r="E393" s="38"/>
      <x:c r="F393" s="38"/>
      <x:c r="G393" s="38"/>
      <x:c r="H393" s="38"/>
      <x:c r="I393" s="41"/>
      <x:c r="J393" s="38"/>
      <x:c r="K393" s="38"/>
    </x:row>
    <x:row r="394" ht="25" customHeight="1">
      <x:c r="A394" s="38"/>
      <x:c r="B394" s="38"/>
      <x:c r="C394" s="38"/>
      <x:c r="D394" s="38"/>
      <x:c r="E394" s="38"/>
      <x:c r="F394" s="38"/>
      <x:c r="G394" s="38"/>
      <x:c r="H394" s="38"/>
      <x:c r="I394" s="41"/>
      <x:c r="J394" s="38"/>
      <x:c r="K394" s="38"/>
    </x:row>
    <x:row r="395" ht="25" customHeight="1">
      <x:c r="A395" s="38"/>
      <x:c r="B395" s="38"/>
      <x:c r="C395" s="38"/>
      <x:c r="D395" s="38"/>
      <x:c r="E395" s="38"/>
      <x:c r="F395" s="38"/>
      <x:c r="G395" s="38"/>
      <x:c r="H395" s="38"/>
      <x:c r="I395" s="41"/>
      <x:c r="J395" s="38"/>
      <x:c r="K395" s="38"/>
    </x:row>
    <x:row r="396" ht="25" customHeight="1">
      <x:c r="A396" s="38"/>
      <x:c r="B396" s="38"/>
      <x:c r="C396" s="38"/>
      <x:c r="D396" s="38"/>
      <x:c r="E396" s="38"/>
      <x:c r="F396" s="38"/>
      <x:c r="G396" s="38"/>
      <x:c r="H396" s="38"/>
      <x:c r="I396" s="41"/>
      <x:c r="J396" s="38"/>
      <x:c r="K396" s="38"/>
    </x:row>
    <x:row r="397" ht="25" customHeight="1">
      <x:c r="A397" s="38"/>
      <x:c r="B397" s="38"/>
      <x:c r="C397" s="38"/>
      <x:c r="D397" s="38"/>
      <x:c r="E397" s="38"/>
      <x:c r="F397" s="38"/>
      <x:c r="G397" s="38"/>
      <x:c r="H397" s="38"/>
      <x:c r="I397" s="41"/>
      <x:c r="J397" s="38"/>
      <x:c r="K397" s="38"/>
    </x:row>
    <x:row r="398" ht="25" customHeight="1">
      <x:c r="A398" s="38"/>
      <x:c r="B398" s="38"/>
      <x:c r="C398" s="38"/>
      <x:c r="D398" s="38"/>
      <x:c r="E398" s="38"/>
      <x:c r="F398" s="38"/>
      <x:c r="G398" s="38"/>
      <x:c r="H398" s="38"/>
      <x:c r="I398" s="41"/>
      <x:c r="J398" s="38"/>
      <x:c r="K398" s="38"/>
    </x:row>
    <x:row r="399" ht="25" customHeight="1">
      <x:c r="A399" s="38"/>
      <x:c r="B399" s="38"/>
      <x:c r="C399" s="38"/>
      <x:c r="D399" s="38"/>
      <x:c r="E399" s="38"/>
      <x:c r="F399" s="38"/>
      <x:c r="G399" s="38"/>
      <x:c r="H399" s="38"/>
      <x:c r="I399" s="41"/>
      <x:c r="J399" s="38"/>
      <x:c r="K399" s="38"/>
    </x:row>
    <x:row r="400" ht="25" customHeight="1">
      <x:c r="A400" s="38"/>
      <x:c r="B400" s="38"/>
      <x:c r="C400" s="38"/>
      <x:c r="D400" s="38"/>
      <x:c r="E400" s="38"/>
      <x:c r="F400" s="38"/>
      <x:c r="G400" s="38"/>
      <x:c r="H400" s="38"/>
      <x:c r="I400" s="41"/>
      <x:c r="J400" s="38"/>
      <x:c r="K400" s="38"/>
    </x:row>
    <x:row r="401" ht="25" customHeight="1">
      <x:c r="A401" s="38"/>
      <x:c r="B401" s="38"/>
      <x:c r="C401" s="38"/>
      <x:c r="D401" s="38"/>
      <x:c r="E401" s="38"/>
      <x:c r="F401" s="38"/>
      <x:c r="G401" s="38"/>
      <x:c r="H401" s="38"/>
      <x:c r="I401" s="41"/>
      <x:c r="J401" s="38"/>
      <x:c r="K401" s="38"/>
    </x:row>
    <x:row r="402" ht="25" customHeight="1">
      <x:c r="A402" s="38"/>
      <x:c r="B402" s="38"/>
      <x:c r="C402" s="38"/>
      <x:c r="D402" s="38"/>
      <x:c r="E402" s="38"/>
      <x:c r="F402" s="38"/>
      <x:c r="G402" s="38"/>
      <x:c r="H402" s="38"/>
      <x:c r="I402" s="41"/>
      <x:c r="J402" s="38"/>
      <x:c r="K402" s="38"/>
    </x:row>
    <x:row r="403" ht="25" customHeight="1">
      <x:c r="A403" s="38"/>
      <x:c r="B403" s="38"/>
      <x:c r="C403" s="38"/>
      <x:c r="D403" s="38"/>
      <x:c r="E403" s="38"/>
      <x:c r="F403" s="38"/>
      <x:c r="G403" s="38"/>
      <x:c r="H403" s="38"/>
      <x:c r="I403" s="41"/>
      <x:c r="J403" s="38"/>
      <x:c r="K403" s="38"/>
    </x:row>
    <x:row r="404" ht="25" customHeight="1">
      <x:c r="A404" s="38"/>
      <x:c r="B404" s="38"/>
      <x:c r="C404" s="38"/>
      <x:c r="D404" s="38"/>
      <x:c r="E404" s="38"/>
      <x:c r="F404" s="38"/>
      <x:c r="G404" s="38"/>
      <x:c r="H404" s="38"/>
      <x:c r="I404" s="41"/>
      <x:c r="J404" s="38"/>
      <x:c r="K404" s="38"/>
    </x:row>
    <x:row r="405" ht="25" customHeight="1">
      <x:c r="A405" s="38"/>
      <x:c r="B405" s="38"/>
      <x:c r="C405" s="38"/>
      <x:c r="D405" s="38"/>
      <x:c r="E405" s="38"/>
      <x:c r="F405" s="38"/>
      <x:c r="G405" s="38"/>
      <x:c r="H405" s="38"/>
      <x:c r="I405" s="41"/>
      <x:c r="J405" s="38"/>
      <x:c r="K405" s="38"/>
    </x:row>
    <x:row r="406" ht="25" customHeight="1">
      <x:c r="A406" s="38"/>
      <x:c r="B406" s="38"/>
      <x:c r="C406" s="38"/>
      <x:c r="D406" s="38"/>
      <x:c r="E406" s="38"/>
      <x:c r="F406" s="38"/>
      <x:c r="G406" s="38"/>
      <x:c r="H406" s="38"/>
      <x:c r="I406" s="41"/>
      <x:c r="J406" s="38"/>
      <x:c r="K406" s="38"/>
    </x:row>
    <x:row r="407" ht="25" customHeight="1">
      <x:c r="A407" s="38"/>
      <x:c r="B407" s="38"/>
      <x:c r="C407" s="38"/>
      <x:c r="D407" s="38"/>
      <x:c r="E407" s="38"/>
      <x:c r="F407" s="38"/>
      <x:c r="G407" s="38"/>
      <x:c r="H407" s="38"/>
      <x:c r="I407" s="41"/>
      <x:c r="J407" s="38"/>
      <x:c r="K407" s="38"/>
    </x:row>
    <x:row r="408" ht="25" customHeight="1">
      <x:c r="A408" s="38"/>
      <x:c r="B408" s="38"/>
      <x:c r="C408" s="38"/>
      <x:c r="D408" s="38"/>
      <x:c r="E408" s="38"/>
      <x:c r="F408" s="38"/>
      <x:c r="G408" s="38"/>
      <x:c r="H408" s="38"/>
      <x:c r="I408" s="41"/>
      <x:c r="J408" s="38"/>
      <x:c r="K408" s="38"/>
    </x:row>
    <x:row r="409" ht="25" customHeight="1">
      <x:c r="A409" s="38"/>
      <x:c r="B409" s="38"/>
      <x:c r="C409" s="38"/>
      <x:c r="D409" s="38"/>
      <x:c r="E409" s="38"/>
      <x:c r="F409" s="38"/>
      <x:c r="G409" s="38"/>
      <x:c r="H409" s="38"/>
      <x:c r="I409" s="41"/>
      <x:c r="J409" s="38"/>
      <x:c r="K409" s="38"/>
    </x:row>
    <x:row r="410" ht="25" customHeight="1">
      <x:c r="A410" s="38"/>
      <x:c r="B410" s="38"/>
      <x:c r="C410" s="38"/>
      <x:c r="D410" s="38"/>
      <x:c r="E410" s="38"/>
      <x:c r="F410" s="38"/>
      <x:c r="G410" s="38"/>
      <x:c r="H410" s="38"/>
      <x:c r="I410" s="41"/>
      <x:c r="J410" s="38"/>
      <x:c r="K410" s="38"/>
    </x:row>
    <x:row r="411" ht="25" customHeight="1">
      <x:c r="A411" s="38"/>
      <x:c r="B411" s="38"/>
      <x:c r="C411" s="38"/>
      <x:c r="D411" s="38"/>
      <x:c r="E411" s="38"/>
      <x:c r="F411" s="38"/>
      <x:c r="G411" s="38"/>
      <x:c r="H411" s="38"/>
      <x:c r="I411" s="41"/>
      <x:c r="J411" s="38"/>
      <x:c r="K411" s="38"/>
    </x:row>
    <x:row r="412" ht="25" customHeight="1">
      <x:c r="A412" s="38"/>
      <x:c r="B412" s="38"/>
      <x:c r="C412" s="38"/>
      <x:c r="D412" s="38"/>
      <x:c r="E412" s="38"/>
      <x:c r="F412" s="38"/>
      <x:c r="G412" s="38"/>
      <x:c r="H412" s="38"/>
      <x:c r="I412" s="41"/>
      <x:c r="J412" s="38"/>
      <x:c r="K412" s="38"/>
    </x:row>
    <x:row r="413" ht="25" customHeight="1">
      <x:c r="A413" s="38"/>
      <x:c r="B413" s="38"/>
      <x:c r="C413" s="38"/>
      <x:c r="D413" s="38"/>
      <x:c r="E413" s="38"/>
      <x:c r="F413" s="38"/>
      <x:c r="G413" s="38"/>
      <x:c r="H413" s="38"/>
      <x:c r="I413" s="41"/>
      <x:c r="J413" s="38"/>
      <x:c r="K413" s="38"/>
    </x:row>
    <x:row r="414" ht="25" customHeight="1">
      <x:c r="A414" s="38"/>
      <x:c r="B414" s="38"/>
      <x:c r="C414" s="38"/>
      <x:c r="D414" s="38"/>
      <x:c r="E414" s="38"/>
      <x:c r="F414" s="38"/>
      <x:c r="G414" s="38"/>
      <x:c r="H414" s="38"/>
      <x:c r="I414" s="41"/>
      <x:c r="J414" s="38"/>
      <x:c r="K414" s="38"/>
    </x:row>
    <x:row r="415" ht="25" customHeight="1">
      <x:c r="A415" s="38"/>
      <x:c r="B415" s="38"/>
      <x:c r="C415" s="38"/>
      <x:c r="D415" s="38"/>
      <x:c r="E415" s="38"/>
      <x:c r="F415" s="38"/>
      <x:c r="G415" s="38"/>
      <x:c r="H415" s="38"/>
      <x:c r="I415" s="41"/>
      <x:c r="J415" s="38"/>
      <x:c r="K415" s="38"/>
    </x:row>
    <x:row r="416" ht="25" customHeight="1">
      <x:c r="A416" s="38"/>
      <x:c r="B416" s="38"/>
      <x:c r="C416" s="38"/>
      <x:c r="D416" s="38"/>
      <x:c r="E416" s="38"/>
      <x:c r="F416" s="38"/>
      <x:c r="G416" s="38"/>
      <x:c r="H416" s="38"/>
      <x:c r="I416" s="41"/>
      <x:c r="J416" s="38"/>
      <x:c r="K416" s="38"/>
    </x:row>
    <x:row r="417" ht="25" customHeight="1">
      <x:c r="A417" s="38"/>
      <x:c r="B417" s="38"/>
      <x:c r="C417" s="38"/>
      <x:c r="D417" s="38"/>
      <x:c r="E417" s="38"/>
      <x:c r="F417" s="38"/>
      <x:c r="G417" s="38"/>
      <x:c r="H417" s="38"/>
      <x:c r="I417" s="41"/>
      <x:c r="J417" s="38"/>
      <x:c r="K417" s="38"/>
    </x:row>
    <x:row r="418" ht="25" customHeight="1">
      <x:c r="A418" s="38"/>
      <x:c r="B418" s="38"/>
      <x:c r="C418" s="38"/>
      <x:c r="D418" s="38"/>
      <x:c r="E418" s="38"/>
      <x:c r="F418" s="38"/>
      <x:c r="G418" s="38"/>
      <x:c r="H418" s="38"/>
      <x:c r="I418" s="41"/>
      <x:c r="J418" s="38"/>
      <x:c r="K418" s="38"/>
    </x:row>
    <x:row r="419" ht="25" customHeight="1">
      <x:c r="A419" s="38"/>
      <x:c r="B419" s="38"/>
      <x:c r="C419" s="38"/>
      <x:c r="D419" s="38"/>
      <x:c r="E419" s="38"/>
      <x:c r="F419" s="38"/>
      <x:c r="G419" s="38"/>
      <x:c r="H419" s="38"/>
      <x:c r="I419" s="41"/>
      <x:c r="J419" s="38"/>
      <x:c r="K419" s="38"/>
    </x:row>
    <x:row r="420" ht="25" customHeight="1">
      <x:c r="A420" s="38"/>
      <x:c r="B420" s="38"/>
      <x:c r="C420" s="38"/>
      <x:c r="D420" s="38"/>
      <x:c r="E420" s="38"/>
      <x:c r="F420" s="38"/>
      <x:c r="G420" s="38"/>
      <x:c r="H420" s="38"/>
      <x:c r="I420" s="41"/>
      <x:c r="J420" s="38"/>
      <x:c r="K420" s="38"/>
    </x:row>
    <x:row r="421" ht="25" customHeight="1">
      <x:c r="A421" s="38"/>
      <x:c r="B421" s="38"/>
      <x:c r="C421" s="38"/>
      <x:c r="D421" s="38"/>
      <x:c r="E421" s="38"/>
      <x:c r="F421" s="38"/>
      <x:c r="G421" s="38"/>
      <x:c r="H421" s="38"/>
      <x:c r="I421" s="41"/>
      <x:c r="J421" s="38"/>
      <x:c r="K421" s="38"/>
    </x:row>
    <x:row r="422" ht="25" customHeight="1">
      <x:c r="A422" s="38"/>
      <x:c r="B422" s="38"/>
      <x:c r="C422" s="38"/>
      <x:c r="D422" s="38"/>
      <x:c r="E422" s="38"/>
      <x:c r="F422" s="38"/>
      <x:c r="G422" s="38"/>
      <x:c r="H422" s="38"/>
      <x:c r="I422" s="41"/>
      <x:c r="J422" s="38"/>
      <x:c r="K422" s="38"/>
    </x:row>
    <x:row r="423" ht="25" customHeight="1">
      <x:c r="A423" s="38"/>
      <x:c r="B423" s="38"/>
      <x:c r="C423" s="38"/>
      <x:c r="D423" s="38"/>
      <x:c r="E423" s="38"/>
      <x:c r="F423" s="38"/>
      <x:c r="G423" s="38"/>
      <x:c r="H423" s="38"/>
      <x:c r="I423" s="41"/>
      <x:c r="J423" s="38"/>
      <x:c r="K423" s="38"/>
    </x:row>
    <x:row r="424" ht="25" customHeight="1">
      <x:c r="A424" s="38"/>
      <x:c r="B424" s="38"/>
      <x:c r="C424" s="38"/>
      <x:c r="D424" s="38"/>
      <x:c r="E424" s="38"/>
      <x:c r="F424" s="38"/>
      <x:c r="G424" s="38"/>
      <x:c r="H424" s="38"/>
      <x:c r="I424" s="41"/>
      <x:c r="J424" s="38"/>
      <x:c r="K424" s="38"/>
    </x:row>
    <x:row r="425" ht="25" customHeight="1">
      <x:c r="A425" s="38"/>
      <x:c r="B425" s="38"/>
      <x:c r="C425" s="38"/>
      <x:c r="D425" s="38"/>
      <x:c r="E425" s="38"/>
      <x:c r="F425" s="38"/>
      <x:c r="G425" s="38"/>
      <x:c r="H425" s="38"/>
      <x:c r="I425" s="41"/>
      <x:c r="J425" s="38"/>
      <x:c r="K425" s="38"/>
    </x:row>
    <x:row r="426" ht="25" customHeight="1">
      <x:c r="A426" s="38"/>
      <x:c r="B426" s="38"/>
      <x:c r="C426" s="38"/>
      <x:c r="D426" s="38"/>
      <x:c r="E426" s="38"/>
      <x:c r="F426" s="38"/>
      <x:c r="G426" s="38"/>
      <x:c r="H426" s="38"/>
      <x:c r="I426" s="41"/>
      <x:c r="J426" s="38"/>
      <x:c r="K426" s="38"/>
    </x:row>
    <x:row r="427" ht="25" customHeight="1">
      <x:c r="A427" s="38"/>
      <x:c r="B427" s="38"/>
      <x:c r="C427" s="38"/>
      <x:c r="D427" s="38"/>
      <x:c r="E427" s="38"/>
      <x:c r="F427" s="38"/>
      <x:c r="G427" s="38"/>
      <x:c r="H427" s="38"/>
      <x:c r="I427" s="41"/>
      <x:c r="J427" s="38"/>
      <x:c r="K427" s="38"/>
    </x:row>
    <x:row r="428" ht="25" customHeight="1">
      <x:c r="A428" s="38"/>
      <x:c r="B428" s="38"/>
      <x:c r="C428" s="38"/>
      <x:c r="D428" s="38"/>
      <x:c r="E428" s="38"/>
      <x:c r="F428" s="38"/>
      <x:c r="G428" s="38"/>
      <x:c r="H428" s="38"/>
      <x:c r="I428" s="41"/>
      <x:c r="J428" s="38"/>
      <x:c r="K428" s="38"/>
    </x:row>
    <x:row r="429" ht="25" customHeight="1">
      <x:c r="A429" s="38"/>
      <x:c r="B429" s="38"/>
      <x:c r="C429" s="38"/>
      <x:c r="D429" s="38"/>
      <x:c r="E429" s="38"/>
      <x:c r="F429" s="38"/>
      <x:c r="G429" s="38"/>
      <x:c r="H429" s="38"/>
      <x:c r="I429" s="41"/>
      <x:c r="J429" s="38"/>
      <x:c r="K429" s="38"/>
    </x:row>
    <x:row r="430" ht="25" customHeight="1">
      <x:c r="A430" s="38"/>
      <x:c r="B430" s="38"/>
      <x:c r="C430" s="38"/>
      <x:c r="D430" s="38"/>
      <x:c r="E430" s="38"/>
      <x:c r="F430" s="38"/>
      <x:c r="G430" s="38"/>
      <x:c r="H430" s="38"/>
      <x:c r="I430" s="41"/>
      <x:c r="J430" s="38"/>
      <x:c r="K430" s="38"/>
    </x:row>
    <x:row r="431" ht="25" customHeight="1">
      <x:c r="A431" s="38"/>
      <x:c r="B431" s="38"/>
      <x:c r="C431" s="38"/>
      <x:c r="D431" s="38"/>
      <x:c r="E431" s="38"/>
      <x:c r="F431" s="38"/>
      <x:c r="G431" s="38"/>
      <x:c r="H431" s="38"/>
      <x:c r="I431" s="41"/>
      <x:c r="J431" s="38"/>
      <x:c r="K431" s="38"/>
    </x:row>
    <x:row r="432" ht="25" customHeight="1">
      <x:c r="A432" s="38"/>
      <x:c r="B432" s="38"/>
      <x:c r="C432" s="38"/>
      <x:c r="D432" s="38"/>
      <x:c r="E432" s="38"/>
      <x:c r="F432" s="38"/>
      <x:c r="G432" s="38"/>
      <x:c r="H432" s="38"/>
      <x:c r="I432" s="41"/>
      <x:c r="J432" s="38"/>
      <x:c r="K432" s="38"/>
    </x:row>
    <x:row r="433" ht="25" customHeight="1">
      <x:c r="A433" s="38"/>
      <x:c r="B433" s="38"/>
      <x:c r="C433" s="38"/>
      <x:c r="D433" s="38"/>
      <x:c r="E433" s="38"/>
      <x:c r="F433" s="38"/>
      <x:c r="G433" s="38"/>
      <x:c r="H433" s="38"/>
      <x:c r="I433" s="41"/>
      <x:c r="J433" s="38"/>
      <x:c r="K433" s="38"/>
    </x:row>
    <x:row r="434" ht="25" customHeight="1">
      <x:c r="A434" s="38"/>
      <x:c r="B434" s="38"/>
      <x:c r="C434" s="38"/>
      <x:c r="D434" s="38"/>
      <x:c r="E434" s="38"/>
      <x:c r="F434" s="38"/>
      <x:c r="G434" s="38"/>
      <x:c r="H434" s="38"/>
      <x:c r="I434" s="41"/>
      <x:c r="J434" s="38"/>
      <x:c r="K434" s="38"/>
    </x:row>
    <x:row r="435" ht="25" customHeight="1">
      <x:c r="A435" s="38"/>
      <x:c r="B435" s="38"/>
      <x:c r="C435" s="38"/>
      <x:c r="D435" s="38"/>
      <x:c r="E435" s="38"/>
      <x:c r="F435" s="38"/>
      <x:c r="G435" s="38"/>
      <x:c r="H435" s="38"/>
      <x:c r="I435" s="41"/>
      <x:c r="J435" s="38"/>
      <x:c r="K435" s="38"/>
    </x:row>
    <x:row r="436" ht="25" customHeight="1">
      <x:c r="A436" s="38"/>
      <x:c r="B436" s="38"/>
      <x:c r="C436" s="38"/>
      <x:c r="D436" s="38"/>
      <x:c r="E436" s="38"/>
      <x:c r="F436" s="38"/>
      <x:c r="G436" s="38"/>
      <x:c r="H436" s="38"/>
      <x:c r="I436" s="41"/>
      <x:c r="J436" s="38"/>
      <x:c r="K436" s="38"/>
    </x:row>
    <x:row r="437" ht="25" customHeight="1">
      <x:c r="A437" s="38"/>
      <x:c r="B437" s="38"/>
      <x:c r="C437" s="38"/>
      <x:c r="D437" s="38"/>
      <x:c r="E437" s="38"/>
      <x:c r="F437" s="38"/>
      <x:c r="G437" s="38"/>
      <x:c r="H437" s="38"/>
      <x:c r="I437" s="41"/>
      <x:c r="J437" s="38"/>
      <x:c r="K437" s="38"/>
    </x:row>
    <x:row r="438" ht="25" customHeight="1">
      <x:c r="A438" s="38"/>
      <x:c r="B438" s="38"/>
      <x:c r="C438" s="38"/>
      <x:c r="D438" s="38"/>
      <x:c r="E438" s="38"/>
      <x:c r="F438" s="38"/>
      <x:c r="G438" s="38"/>
      <x:c r="H438" s="38"/>
      <x:c r="I438" s="41"/>
      <x:c r="J438" s="38"/>
      <x:c r="K438" s="38"/>
    </x:row>
    <x:row r="439" ht="25" customHeight="1">
      <x:c r="A439" s="38"/>
      <x:c r="B439" s="38"/>
      <x:c r="C439" s="38"/>
      <x:c r="D439" s="38"/>
      <x:c r="E439" s="38"/>
      <x:c r="F439" s="38"/>
      <x:c r="G439" s="38"/>
      <x:c r="H439" s="38"/>
      <x:c r="I439" s="41"/>
      <x:c r="J439" s="38"/>
      <x:c r="K439" s="38"/>
    </x:row>
    <x:row r="440" ht="25" customHeight="1">
      <x:c r="A440" s="38"/>
      <x:c r="B440" s="38"/>
      <x:c r="C440" s="38"/>
      <x:c r="D440" s="38"/>
      <x:c r="E440" s="38"/>
      <x:c r="F440" s="38"/>
      <x:c r="G440" s="38"/>
      <x:c r="H440" s="38"/>
      <x:c r="I440" s="41"/>
      <x:c r="J440" s="38"/>
      <x:c r="K440" s="38"/>
    </x:row>
    <x:row r="441" ht="25" customHeight="1">
      <x:c r="A441" s="38"/>
      <x:c r="B441" s="38"/>
      <x:c r="C441" s="38"/>
      <x:c r="D441" s="38"/>
      <x:c r="E441" s="38"/>
      <x:c r="F441" s="38"/>
      <x:c r="G441" s="38"/>
      <x:c r="H441" s="38"/>
      <x:c r="I441" s="41"/>
      <x:c r="J441" s="38"/>
      <x:c r="K441" s="38"/>
    </x:row>
    <x:row r="442" ht="25" customHeight="1">
      <x:c r="A442" s="38"/>
      <x:c r="B442" s="38"/>
      <x:c r="C442" s="38"/>
      <x:c r="D442" s="38"/>
      <x:c r="E442" s="38"/>
      <x:c r="F442" s="38"/>
      <x:c r="G442" s="38"/>
      <x:c r="H442" s="38"/>
      <x:c r="I442" s="41"/>
      <x:c r="J442" s="38"/>
      <x:c r="K442" s="38"/>
    </x:row>
    <x:row r="443" ht="25" customHeight="1">
      <x:c r="A443" s="38"/>
      <x:c r="B443" s="38"/>
      <x:c r="C443" s="38"/>
      <x:c r="D443" s="38"/>
      <x:c r="E443" s="38"/>
      <x:c r="F443" s="38"/>
      <x:c r="G443" s="38"/>
      <x:c r="H443" s="38"/>
      <x:c r="I443" s="41"/>
      <x:c r="J443" s="38"/>
      <x:c r="K443" s="38"/>
    </x:row>
    <x:row r="444" ht="25" customHeight="1">
      <x:c r="A444" s="38"/>
      <x:c r="B444" s="38"/>
      <x:c r="C444" s="38"/>
      <x:c r="D444" s="38"/>
      <x:c r="E444" s="38"/>
      <x:c r="F444" s="38"/>
      <x:c r="G444" s="38"/>
      <x:c r="H444" s="38"/>
      <x:c r="I444" s="41"/>
      <x:c r="J444" s="38"/>
      <x:c r="K444" s="38"/>
    </x:row>
    <x:row r="445" ht="25" customHeight="1">
      <x:c r="A445" s="38"/>
      <x:c r="B445" s="38"/>
      <x:c r="C445" s="38"/>
      <x:c r="D445" s="38"/>
      <x:c r="E445" s="38"/>
      <x:c r="F445" s="38"/>
      <x:c r="G445" s="38"/>
      <x:c r="H445" s="38"/>
      <x:c r="I445" s="41"/>
      <x:c r="J445" s="38"/>
      <x:c r="K445" s="38"/>
    </x:row>
    <x:row r="446" ht="25" customHeight="1">
      <x:c r="A446" s="38"/>
      <x:c r="B446" s="38"/>
      <x:c r="C446" s="38"/>
      <x:c r="D446" s="38"/>
      <x:c r="E446" s="38"/>
      <x:c r="F446" s="38"/>
      <x:c r="G446" s="38"/>
      <x:c r="H446" s="38"/>
      <x:c r="I446" s="41"/>
      <x:c r="J446" s="38"/>
      <x:c r="K446" s="38"/>
    </x:row>
    <x:row r="447" ht="25" customHeight="1">
      <x:c r="A447" s="38"/>
      <x:c r="B447" s="38"/>
      <x:c r="C447" s="38"/>
      <x:c r="D447" s="38"/>
      <x:c r="E447" s="38"/>
      <x:c r="F447" s="38"/>
      <x:c r="G447" s="38"/>
      <x:c r="H447" s="38"/>
      <x:c r="I447" s="41"/>
      <x:c r="J447" s="38"/>
      <x:c r="K447" s="38"/>
    </x:row>
    <x:row r="448" ht="25" customHeight="1">
      <x:c r="A448" s="38"/>
      <x:c r="B448" s="38"/>
      <x:c r="C448" s="38"/>
      <x:c r="D448" s="38"/>
      <x:c r="E448" s="38"/>
      <x:c r="F448" s="38"/>
      <x:c r="G448" s="38"/>
      <x:c r="H448" s="38"/>
      <x:c r="I448" s="41"/>
      <x:c r="J448" s="38"/>
      <x:c r="K448" s="38"/>
    </x:row>
    <x:row r="449" ht="25" customHeight="1">
      <x:c r="A449" s="38"/>
      <x:c r="B449" s="38"/>
      <x:c r="C449" s="38"/>
      <x:c r="D449" s="38"/>
      <x:c r="E449" s="38"/>
      <x:c r="F449" s="38"/>
      <x:c r="G449" s="38"/>
      <x:c r="H449" s="38"/>
      <x:c r="I449" s="41"/>
      <x:c r="J449" s="38"/>
      <x:c r="K449" s="38"/>
    </x:row>
    <x:row r="450" ht="25" customHeight="1">
      <x:c r="A450" s="38"/>
      <x:c r="B450" s="38"/>
      <x:c r="C450" s="38"/>
      <x:c r="D450" s="38"/>
      <x:c r="E450" s="38"/>
      <x:c r="F450" s="38"/>
      <x:c r="G450" s="38"/>
      <x:c r="H450" s="38"/>
      <x:c r="I450" s="41"/>
      <x:c r="J450" s="38"/>
      <x:c r="K450" s="38"/>
    </x:row>
    <x:row r="451" ht="25" customHeight="1">
      <x:c r="A451" s="38"/>
      <x:c r="B451" s="38"/>
      <x:c r="C451" s="38"/>
      <x:c r="D451" s="38"/>
      <x:c r="E451" s="38"/>
      <x:c r="F451" s="38"/>
      <x:c r="G451" s="38"/>
      <x:c r="H451" s="38"/>
      <x:c r="I451" s="41"/>
      <x:c r="J451" s="38"/>
      <x:c r="K451" s="38"/>
    </x:row>
    <x:row r="452" ht="25" customHeight="1">
      <x:c r="A452" s="38"/>
      <x:c r="B452" s="38"/>
      <x:c r="C452" s="38"/>
      <x:c r="D452" s="38"/>
      <x:c r="E452" s="38"/>
      <x:c r="F452" s="38"/>
      <x:c r="G452" s="38"/>
      <x:c r="H452" s="38"/>
      <x:c r="I452" s="41"/>
      <x:c r="J452" s="38"/>
      <x:c r="K452" s="38"/>
    </x:row>
    <x:row r="453" ht="25" customHeight="1">
      <x:c r="A453" s="38"/>
      <x:c r="B453" s="38"/>
      <x:c r="C453" s="38"/>
      <x:c r="D453" s="38"/>
      <x:c r="E453" s="38"/>
      <x:c r="F453" s="38"/>
      <x:c r="G453" s="38"/>
      <x:c r="H453" s="38"/>
      <x:c r="I453" s="41"/>
      <x:c r="J453" s="38"/>
      <x:c r="K453" s="38"/>
    </x:row>
    <x:row r="454" ht="25" customHeight="1">
      <x:c r="A454" s="38"/>
      <x:c r="B454" s="38"/>
      <x:c r="C454" s="38"/>
      <x:c r="D454" s="38"/>
      <x:c r="E454" s="38"/>
      <x:c r="F454" s="38"/>
      <x:c r="G454" s="38"/>
      <x:c r="H454" s="38"/>
      <x:c r="I454" s="41"/>
      <x:c r="J454" s="38"/>
      <x:c r="K454" s="38"/>
    </x:row>
    <x:row r="455" ht="25" customHeight="1">
      <x:c r="A455" s="38"/>
      <x:c r="B455" s="38"/>
      <x:c r="C455" s="38"/>
      <x:c r="D455" s="38"/>
      <x:c r="E455" s="38"/>
      <x:c r="F455" s="38"/>
      <x:c r="G455" s="38"/>
      <x:c r="H455" s="38"/>
      <x:c r="I455" s="41"/>
      <x:c r="J455" s="38"/>
      <x:c r="K455" s="38"/>
    </x:row>
    <x:row r="456" ht="25" customHeight="1">
      <x:c r="A456" s="38"/>
      <x:c r="B456" s="38"/>
      <x:c r="C456" s="38"/>
      <x:c r="D456" s="38"/>
      <x:c r="E456" s="38"/>
      <x:c r="F456" s="38"/>
      <x:c r="G456" s="38"/>
      <x:c r="H456" s="38"/>
      <x:c r="I456" s="41"/>
      <x:c r="J456" s="38"/>
      <x:c r="K456" s="38"/>
    </x:row>
    <x:row r="457" ht="25" customHeight="1">
      <x:c r="A457" s="38"/>
      <x:c r="B457" s="38"/>
      <x:c r="C457" s="38"/>
      <x:c r="D457" s="38"/>
      <x:c r="E457" s="38"/>
      <x:c r="F457" s="38"/>
      <x:c r="G457" s="38"/>
      <x:c r="H457" s="38"/>
      <x:c r="I457" s="41"/>
      <x:c r="J457" s="38"/>
      <x:c r="K457" s="38"/>
    </x:row>
    <x:row r="458" ht="25" customHeight="1">
      <x:c r="A458" s="38"/>
      <x:c r="B458" s="38"/>
      <x:c r="C458" s="38"/>
      <x:c r="D458" s="38"/>
      <x:c r="E458" s="38"/>
      <x:c r="F458" s="38"/>
      <x:c r="G458" s="38"/>
      <x:c r="H458" s="38"/>
      <x:c r="I458" s="41"/>
      <x:c r="J458" s="38"/>
      <x:c r="K458" s="38"/>
    </x:row>
    <x:row r="459" ht="25" customHeight="1">
      <x:c r="A459" s="38"/>
      <x:c r="B459" s="38"/>
      <x:c r="C459" s="38"/>
      <x:c r="D459" s="38"/>
      <x:c r="E459" s="38"/>
      <x:c r="F459" s="38"/>
      <x:c r="G459" s="38"/>
      <x:c r="H459" s="38"/>
      <x:c r="I459" s="41"/>
      <x:c r="J459" s="38"/>
      <x:c r="K459" s="38"/>
    </x:row>
    <x:row r="460" ht="25" customHeight="1">
      <x:c r="A460" s="38"/>
      <x:c r="B460" s="38"/>
      <x:c r="C460" s="38"/>
      <x:c r="D460" s="38"/>
      <x:c r="E460" s="38"/>
      <x:c r="F460" s="38"/>
      <x:c r="G460" s="38"/>
      <x:c r="H460" s="38"/>
      <x:c r="I460" s="41"/>
      <x:c r="J460" s="38"/>
      <x:c r="K460" s="38"/>
    </x:row>
    <x:row r="461" ht="25" customHeight="1">
      <x:c r="A461" s="38"/>
      <x:c r="B461" s="38"/>
      <x:c r="C461" s="38"/>
      <x:c r="D461" s="38"/>
      <x:c r="E461" s="38"/>
      <x:c r="F461" s="38"/>
      <x:c r="G461" s="38"/>
      <x:c r="H461" s="38"/>
      <x:c r="I461" s="41"/>
      <x:c r="J461" s="38"/>
      <x:c r="K461" s="38"/>
    </x:row>
    <x:row r="462" ht="25" customHeight="1">
      <x:c r="A462" s="38"/>
      <x:c r="B462" s="38"/>
      <x:c r="C462" s="38"/>
      <x:c r="D462" s="38"/>
      <x:c r="E462" s="38"/>
      <x:c r="F462" s="38"/>
      <x:c r="G462" s="38"/>
      <x:c r="H462" s="38"/>
      <x:c r="I462" s="41"/>
      <x:c r="J462" s="38"/>
      <x:c r="K462" s="38"/>
    </x:row>
    <x:row r="463" ht="25" customHeight="1">
      <x:c r="A463" s="38"/>
      <x:c r="B463" s="38"/>
      <x:c r="C463" s="38"/>
      <x:c r="D463" s="38"/>
      <x:c r="E463" s="38"/>
      <x:c r="F463" s="38"/>
      <x:c r="G463" s="38"/>
      <x:c r="H463" s="38"/>
      <x:c r="I463" s="41"/>
      <x:c r="J463" s="38"/>
      <x:c r="K463" s="38"/>
    </x:row>
    <x:row r="464" ht="25" customHeight="1">
      <x:c r="A464" s="38"/>
      <x:c r="B464" s="38"/>
      <x:c r="C464" s="38"/>
      <x:c r="D464" s="38"/>
      <x:c r="E464" s="38"/>
      <x:c r="F464" s="38"/>
      <x:c r="G464" s="38"/>
      <x:c r="H464" s="38"/>
      <x:c r="I464" s="41"/>
      <x:c r="J464" s="38"/>
      <x:c r="K464" s="38"/>
    </x:row>
    <x:row r="465" ht="25" customHeight="1">
      <x:c r="A465" s="38"/>
      <x:c r="B465" s="38"/>
      <x:c r="C465" s="38"/>
      <x:c r="D465" s="38"/>
      <x:c r="E465" s="38"/>
      <x:c r="F465" s="38"/>
      <x:c r="G465" s="38"/>
      <x:c r="H465" s="38"/>
      <x:c r="I465" s="41"/>
      <x:c r="J465" s="38"/>
      <x:c r="K465" s="38"/>
    </x:row>
    <x:row r="466" ht="25" customHeight="1">
      <x:c r="A466" s="38"/>
      <x:c r="B466" s="38"/>
      <x:c r="C466" s="38"/>
      <x:c r="D466" s="38"/>
      <x:c r="E466" s="38"/>
      <x:c r="F466" s="38"/>
      <x:c r="G466" s="38"/>
      <x:c r="H466" s="38"/>
      <x:c r="I466" s="41"/>
      <x:c r="J466" s="38"/>
      <x:c r="K466" s="38"/>
    </x:row>
    <x:row r="467" ht="25" customHeight="1">
      <x:c r="A467" s="38"/>
      <x:c r="B467" s="38"/>
      <x:c r="C467" s="38"/>
      <x:c r="D467" s="38"/>
      <x:c r="E467" s="38"/>
      <x:c r="F467" s="38"/>
      <x:c r="G467" s="38"/>
      <x:c r="H467" s="38"/>
      <x:c r="I467" s="41"/>
      <x:c r="J467" s="38"/>
      <x:c r="K467" s="38"/>
    </x:row>
    <x:row r="468" ht="25" customHeight="1">
      <x:c r="A468" s="38"/>
      <x:c r="B468" s="38"/>
      <x:c r="C468" s="38"/>
      <x:c r="D468" s="38"/>
      <x:c r="E468" s="38"/>
      <x:c r="F468" s="38"/>
      <x:c r="G468" s="38"/>
      <x:c r="H468" s="38"/>
      <x:c r="I468" s="41"/>
      <x:c r="J468" s="38"/>
      <x:c r="K468" s="38"/>
    </x:row>
    <x:row r="469" ht="25" customHeight="1">
      <x:c r="A469" s="38"/>
      <x:c r="B469" s="38"/>
      <x:c r="C469" s="38"/>
      <x:c r="D469" s="38"/>
      <x:c r="E469" s="38"/>
      <x:c r="F469" s="38"/>
      <x:c r="G469" s="38"/>
      <x:c r="H469" s="38"/>
      <x:c r="I469" s="41"/>
      <x:c r="J469" s="38"/>
      <x:c r="K469" s="38"/>
    </x:row>
    <x:row r="470" ht="25" customHeight="1">
      <x:c r="A470" s="38"/>
      <x:c r="B470" s="38"/>
      <x:c r="C470" s="38"/>
      <x:c r="D470" s="38"/>
      <x:c r="E470" s="38"/>
      <x:c r="F470" s="38"/>
      <x:c r="G470" s="38"/>
      <x:c r="H470" s="38"/>
      <x:c r="I470" s="41"/>
      <x:c r="J470" s="38"/>
      <x:c r="K470" s="38"/>
    </x:row>
    <x:row r="471" ht="25" customHeight="1">
      <x:c r="A471" s="38"/>
      <x:c r="B471" s="38"/>
      <x:c r="C471" s="38"/>
      <x:c r="D471" s="38"/>
      <x:c r="E471" s="38"/>
      <x:c r="F471" s="38"/>
      <x:c r="G471" s="38"/>
      <x:c r="H471" s="38"/>
      <x:c r="I471" s="41"/>
      <x:c r="J471" s="38"/>
      <x:c r="K471" s="38"/>
    </x:row>
    <x:row r="472" ht="25" customHeight="1">
      <x:c r="A472" s="38"/>
      <x:c r="B472" s="38"/>
      <x:c r="C472" s="38"/>
      <x:c r="D472" s="38"/>
      <x:c r="E472" s="38"/>
      <x:c r="F472" s="38"/>
      <x:c r="G472" s="38"/>
      <x:c r="H472" s="38"/>
      <x:c r="I472" s="41"/>
      <x:c r="J472" s="38"/>
      <x:c r="K472" s="38"/>
    </x:row>
    <x:row r="473" ht="25" customHeight="1">
      <x:c r="A473" s="38"/>
      <x:c r="B473" s="38"/>
      <x:c r="C473" s="38"/>
      <x:c r="D473" s="38"/>
      <x:c r="E473" s="38"/>
      <x:c r="F473" s="38"/>
      <x:c r="G473" s="38"/>
      <x:c r="H473" s="38"/>
      <x:c r="I473" s="41"/>
      <x:c r="J473" s="38"/>
      <x:c r="K473" s="38"/>
    </x:row>
    <x:row r="474" ht="25" customHeight="1">
      <x:c r="A474" s="38"/>
      <x:c r="B474" s="38"/>
      <x:c r="C474" s="38"/>
      <x:c r="D474" s="38"/>
      <x:c r="E474" s="38"/>
      <x:c r="F474" s="38"/>
      <x:c r="G474" s="38"/>
      <x:c r="H474" s="38"/>
      <x:c r="I474" s="41"/>
      <x:c r="J474" s="38"/>
      <x:c r="K474" s="38"/>
    </x:row>
    <x:row r="475" ht="25" customHeight="1">
      <x:c r="A475" s="38"/>
      <x:c r="B475" s="38"/>
      <x:c r="C475" s="38"/>
      <x:c r="D475" s="38"/>
      <x:c r="E475" s="38"/>
      <x:c r="F475" s="38"/>
      <x:c r="G475" s="38"/>
      <x:c r="H475" s="38"/>
      <x:c r="I475" s="41"/>
      <x:c r="J475" s="38"/>
      <x:c r="K475" s="38"/>
    </x:row>
    <x:row r="476" ht="25" customHeight="1">
      <x:c r="A476" s="38"/>
      <x:c r="B476" s="38"/>
      <x:c r="C476" s="38"/>
      <x:c r="D476" s="38"/>
      <x:c r="E476" s="38"/>
      <x:c r="F476" s="38"/>
      <x:c r="G476" s="38"/>
      <x:c r="H476" s="38"/>
      <x:c r="I476" s="41"/>
      <x:c r="J476" s="38"/>
      <x:c r="K476" s="38"/>
    </x:row>
    <x:row r="477" ht="25" customHeight="1">
      <x:c r="A477" s="38"/>
      <x:c r="B477" s="38"/>
      <x:c r="C477" s="38"/>
      <x:c r="D477" s="38"/>
      <x:c r="E477" s="38"/>
      <x:c r="F477" s="38"/>
      <x:c r="G477" s="38"/>
      <x:c r="H477" s="38"/>
      <x:c r="I477" s="41"/>
      <x:c r="J477" s="38"/>
      <x:c r="K477" s="38"/>
    </x:row>
    <x:row r="478" ht="25" customHeight="1">
      <x:c r="A478" s="38"/>
      <x:c r="B478" s="38"/>
      <x:c r="C478" s="38"/>
      <x:c r="D478" s="38"/>
      <x:c r="E478" s="38"/>
      <x:c r="F478" s="38"/>
      <x:c r="G478" s="38"/>
      <x:c r="H478" s="38"/>
      <x:c r="I478" s="41"/>
      <x:c r="J478" s="38"/>
      <x:c r="K478" s="38"/>
    </x:row>
    <x:row r="479" ht="25" customHeight="1">
      <x:c r="A479" s="38"/>
      <x:c r="B479" s="38"/>
      <x:c r="C479" s="38"/>
      <x:c r="D479" s="38"/>
      <x:c r="E479" s="38"/>
      <x:c r="F479" s="38"/>
      <x:c r="G479" s="38"/>
      <x:c r="H479" s="38"/>
      <x:c r="I479" s="41"/>
      <x:c r="J479" s="38"/>
      <x:c r="K479" s="38"/>
    </x:row>
    <x:row r="480" ht="25" customHeight="1">
      <x:c r="A480" s="38"/>
      <x:c r="B480" s="38"/>
      <x:c r="C480" s="38"/>
      <x:c r="D480" s="38"/>
      <x:c r="E480" s="38"/>
      <x:c r="F480" s="38"/>
      <x:c r="G480" s="38"/>
      <x:c r="H480" s="38"/>
      <x:c r="I480" s="41"/>
      <x:c r="J480" s="38"/>
      <x:c r="K480" s="38"/>
    </x:row>
    <x:row r="481" ht="25" customHeight="1">
      <x:c r="A481" s="38"/>
      <x:c r="B481" s="38"/>
      <x:c r="C481" s="38"/>
      <x:c r="D481" s="38"/>
      <x:c r="E481" s="38"/>
      <x:c r="F481" s="38"/>
      <x:c r="G481" s="38"/>
      <x:c r="H481" s="38"/>
      <x:c r="I481" s="41"/>
      <x:c r="J481" s="38"/>
      <x:c r="K481" s="38"/>
    </x:row>
    <x:row r="482" ht="25" customHeight="1">
      <x:c r="A482" s="38"/>
      <x:c r="B482" s="38"/>
      <x:c r="C482" s="38"/>
      <x:c r="D482" s="38"/>
      <x:c r="E482" s="38"/>
      <x:c r="F482" s="38"/>
      <x:c r="G482" s="38"/>
      <x:c r="H482" s="38"/>
      <x:c r="I482" s="41"/>
      <x:c r="J482" s="38"/>
      <x:c r="K482" s="38"/>
    </x:row>
    <x:row r="483" ht="25" customHeight="1">
      <x:c r="A483" s="38"/>
      <x:c r="B483" s="38"/>
      <x:c r="C483" s="38"/>
      <x:c r="D483" s="38"/>
      <x:c r="E483" s="38"/>
      <x:c r="F483" s="38"/>
      <x:c r="G483" s="38"/>
      <x:c r="H483" s="38"/>
      <x:c r="I483" s="41"/>
      <x:c r="J483" s="38"/>
      <x:c r="K483" s="38"/>
    </x:row>
    <x:row r="484" ht="25" customHeight="1">
      <x:c r="A484" s="38"/>
      <x:c r="B484" s="38"/>
      <x:c r="C484" s="38"/>
      <x:c r="D484" s="38"/>
      <x:c r="E484" s="38"/>
      <x:c r="F484" s="38"/>
      <x:c r="G484" s="38"/>
      <x:c r="H484" s="38"/>
      <x:c r="I484" s="41"/>
      <x:c r="J484" s="38"/>
      <x:c r="K484" s="38"/>
    </x:row>
    <x:row r="485" ht="25" customHeight="1">
      <x:c r="A485" s="38"/>
      <x:c r="B485" s="38"/>
      <x:c r="C485" s="38"/>
      <x:c r="D485" s="38"/>
      <x:c r="E485" s="38"/>
      <x:c r="F485" s="38"/>
      <x:c r="G485" s="38"/>
      <x:c r="H485" s="38"/>
      <x:c r="I485" s="41"/>
      <x:c r="J485" s="38"/>
      <x:c r="K485" s="38"/>
    </x:row>
    <x:row r="486" ht="25" customHeight="1">
      <x:c r="A486" s="38"/>
      <x:c r="B486" s="38"/>
      <x:c r="C486" s="38"/>
      <x:c r="D486" s="38"/>
      <x:c r="E486" s="38"/>
      <x:c r="F486" s="38"/>
      <x:c r="G486" s="38"/>
      <x:c r="H486" s="38"/>
      <x:c r="I486" s="41"/>
      <x:c r="J486" s="38"/>
      <x:c r="K486" s="38"/>
    </x:row>
    <x:row r="487" ht="25" customHeight="1">
      <x:c r="A487" s="38"/>
      <x:c r="B487" s="38"/>
      <x:c r="C487" s="38"/>
      <x:c r="D487" s="38"/>
      <x:c r="E487" s="38"/>
      <x:c r="F487" s="38"/>
      <x:c r="G487" s="38"/>
      <x:c r="H487" s="38"/>
      <x:c r="I487" s="41"/>
      <x:c r="J487" s="38"/>
      <x:c r="K487" s="38"/>
    </x:row>
    <x:row r="488" ht="25" customHeight="1">
      <x:c r="A488" s="38"/>
      <x:c r="B488" s="38"/>
      <x:c r="C488" s="38"/>
      <x:c r="D488" s="38"/>
      <x:c r="E488" s="38"/>
      <x:c r="F488" s="38"/>
      <x:c r="G488" s="38"/>
      <x:c r="H488" s="38"/>
      <x:c r="I488" s="41"/>
      <x:c r="J488" s="38"/>
      <x:c r="K488" s="38"/>
    </x:row>
    <x:row r="489" ht="25" customHeight="1">
      <x:c r="A489" s="38"/>
      <x:c r="B489" s="38"/>
      <x:c r="C489" s="38"/>
      <x:c r="D489" s="38"/>
      <x:c r="E489" s="38"/>
      <x:c r="F489" s="38"/>
      <x:c r="G489" s="38"/>
      <x:c r="H489" s="38"/>
      <x:c r="I489" s="41"/>
      <x:c r="J489" s="38"/>
      <x:c r="K489" s="38"/>
    </x:row>
    <x:row r="490" ht="25" customHeight="1">
      <x:c r="A490" s="38"/>
      <x:c r="B490" s="38"/>
      <x:c r="C490" s="38"/>
      <x:c r="D490" s="38"/>
      <x:c r="E490" s="38"/>
      <x:c r="F490" s="38"/>
      <x:c r="G490" s="38"/>
      <x:c r="H490" s="38"/>
      <x:c r="I490" s="41"/>
      <x:c r="J490" s="38"/>
      <x:c r="K490" s="38"/>
    </x:row>
    <x:row r="491" ht="25" customHeight="1">
      <x:c r="A491" s="38"/>
      <x:c r="B491" s="38"/>
      <x:c r="C491" s="38"/>
      <x:c r="D491" s="38"/>
      <x:c r="E491" s="38"/>
      <x:c r="F491" s="38"/>
      <x:c r="G491" s="38"/>
      <x:c r="H491" s="38"/>
      <x:c r="I491" s="41"/>
      <x:c r="J491" s="38"/>
      <x:c r="K491" s="38"/>
    </x:row>
    <x:row r="492" ht="25" customHeight="1">
      <x:c r="A492" s="38"/>
      <x:c r="B492" s="38"/>
      <x:c r="C492" s="38"/>
      <x:c r="D492" s="38"/>
      <x:c r="E492" s="38"/>
      <x:c r="F492" s="38"/>
      <x:c r="G492" s="38"/>
      <x:c r="H492" s="38"/>
      <x:c r="I492" s="41"/>
      <x:c r="J492" s="38"/>
      <x:c r="K492" s="38"/>
    </x:row>
    <x:row r="493" ht="25" customHeight="1">
      <x:c r="A493" s="38"/>
      <x:c r="B493" s="38"/>
      <x:c r="C493" s="38"/>
      <x:c r="D493" s="38"/>
      <x:c r="E493" s="38"/>
      <x:c r="F493" s="38"/>
      <x:c r="G493" s="38"/>
      <x:c r="H493" s="38"/>
      <x:c r="I493" s="41"/>
      <x:c r="J493" s="38"/>
      <x:c r="K493" s="38"/>
    </x:row>
    <x:row r="494" ht="25" customHeight="1">
      <x:c r="A494" s="38"/>
      <x:c r="B494" s="38"/>
      <x:c r="C494" s="38"/>
      <x:c r="D494" s="38"/>
      <x:c r="E494" s="38"/>
      <x:c r="F494" s="38"/>
      <x:c r="G494" s="38"/>
      <x:c r="H494" s="38"/>
      <x:c r="I494" s="41"/>
      <x:c r="J494" s="38"/>
      <x:c r="K494" s="38"/>
    </x:row>
    <x:row r="495" ht="25" customHeight="1">
      <x:c r="A495" s="38"/>
      <x:c r="B495" s="38"/>
      <x:c r="C495" s="38"/>
      <x:c r="D495" s="38"/>
      <x:c r="E495" s="38"/>
      <x:c r="F495" s="38"/>
      <x:c r="G495" s="38"/>
      <x:c r="H495" s="38"/>
      <x:c r="I495" s="41"/>
      <x:c r="J495" s="38"/>
      <x:c r="K495" s="38"/>
    </x:row>
    <x:row r="496" ht="25" customHeight="1">
      <x:c r="A496" s="38"/>
      <x:c r="B496" s="38"/>
      <x:c r="C496" s="38"/>
      <x:c r="D496" s="38"/>
      <x:c r="E496" s="38"/>
      <x:c r="F496" s="38"/>
      <x:c r="G496" s="38"/>
      <x:c r="H496" s="38"/>
      <x:c r="I496" s="41"/>
      <x:c r="J496" s="38"/>
      <x:c r="K496" s="38"/>
    </x:row>
    <x:row r="497" ht="25" customHeight="1">
      <x:c r="A497" s="38"/>
      <x:c r="B497" s="38"/>
      <x:c r="C497" s="38"/>
      <x:c r="D497" s="38"/>
      <x:c r="E497" s="38"/>
      <x:c r="F497" s="38"/>
      <x:c r="G497" s="38"/>
      <x:c r="H497" s="38"/>
      <x:c r="I497" s="41"/>
      <x:c r="J497" s="38"/>
      <x:c r="K497" s="38"/>
    </x:row>
    <x:row r="498" ht="25" customHeight="1">
      <x:c r="A498" s="38"/>
      <x:c r="B498" s="38"/>
      <x:c r="C498" s="38"/>
      <x:c r="D498" s="38"/>
      <x:c r="E498" s="38"/>
      <x:c r="F498" s="38"/>
      <x:c r="G498" s="38"/>
      <x:c r="H498" s="38"/>
      <x:c r="I498" s="41"/>
      <x:c r="J498" s="38"/>
      <x:c r="K498" s="38"/>
    </x:row>
    <x:row r="499" ht="25" customHeight="1">
      <x:c r="A499" s="38"/>
      <x:c r="B499" s="38"/>
      <x:c r="C499" s="38"/>
      <x:c r="D499" s="38"/>
      <x:c r="E499" s="38"/>
      <x:c r="F499" s="38"/>
      <x:c r="G499" s="38"/>
      <x:c r="H499" s="38"/>
      <x:c r="I499" s="41"/>
      <x:c r="J499" s="38"/>
      <x:c r="K499" s="38"/>
    </x:row>
    <x:row r="500" ht="25" customHeight="1">
      <x:c r="A500" s="38"/>
      <x:c r="B500" s="38"/>
      <x:c r="C500" s="38"/>
      <x:c r="D500" s="38"/>
      <x:c r="E500" s="38"/>
      <x:c r="F500" s="38"/>
      <x:c r="G500" s="38"/>
      <x:c r="H500" s="38"/>
      <x:c r="I500" s="41"/>
      <x:c r="J500" s="38"/>
      <x:c r="K500" s="38"/>
    </x:row>
    <x:row r="501" ht="25" customHeight="1">
      <x:c r="A501" s="38"/>
      <x:c r="B501" s="38"/>
      <x:c r="C501" s="38"/>
      <x:c r="D501" s="38"/>
      <x:c r="E501" s="38"/>
      <x:c r="F501" s="38"/>
      <x:c r="G501" s="38"/>
      <x:c r="H501" s="38"/>
      <x:c r="I501" s="41"/>
      <x:c r="J501" s="38"/>
      <x:c r="K501" s="38"/>
    </x:row>
    <x:row r="502" ht="25" customHeight="1">
      <x:c r="A502" s="38"/>
      <x:c r="B502" s="38"/>
      <x:c r="C502" s="38"/>
      <x:c r="D502" s="38"/>
      <x:c r="E502" s="38"/>
      <x:c r="F502" s="38"/>
      <x:c r="G502" s="38"/>
      <x:c r="H502" s="38"/>
      <x:c r="I502" s="41"/>
      <x:c r="J502" s="38"/>
      <x:c r="K502" s="38"/>
    </x:row>
    <x:row r="503" ht="25" customHeight="1">
      <x:c r="A503" s="38"/>
      <x:c r="B503" s="38"/>
      <x:c r="C503" s="38"/>
      <x:c r="D503" s="38"/>
      <x:c r="E503" s="38"/>
      <x:c r="F503" s="38"/>
      <x:c r="G503" s="38"/>
      <x:c r="H503" s="38"/>
      <x:c r="I503" s="41"/>
      <x:c r="J503" s="38"/>
      <x:c r="K503" s="38"/>
    </x:row>
    <x:row r="504" ht="25" customHeight="1">
      <x:c r="A504" s="38"/>
      <x:c r="B504" s="38"/>
      <x:c r="C504" s="38"/>
      <x:c r="D504" s="38"/>
      <x:c r="E504" s="38"/>
      <x:c r="F504" s="38"/>
      <x:c r="G504" s="38"/>
      <x:c r="H504" s="38"/>
      <x:c r="I504" s="41"/>
      <x:c r="J504" s="38"/>
      <x:c r="K504" s="38"/>
    </x:row>
    <x:row r="505" ht="25" customHeight="1">
      <x:c r="A505" s="38"/>
      <x:c r="B505" s="38"/>
      <x:c r="C505" s="38"/>
      <x:c r="D505" s="38"/>
      <x:c r="E505" s="38"/>
      <x:c r="F505" s="38"/>
      <x:c r="G505" s="38"/>
      <x:c r="H505" s="38"/>
      <x:c r="I505" s="41"/>
      <x:c r="J505" s="38"/>
      <x:c r="K505" s="38"/>
    </x:row>
    <x:row r="506" ht="25" customHeight="1">
      <x:c r="A506" s="38"/>
      <x:c r="B506" s="38"/>
      <x:c r="C506" s="38"/>
      <x:c r="D506" s="38"/>
      <x:c r="E506" s="38"/>
      <x:c r="F506" s="38"/>
      <x:c r="G506" s="38"/>
      <x:c r="H506" s="38"/>
      <x:c r="I506" s="41"/>
      <x:c r="J506" s="38"/>
      <x:c r="K506" s="38"/>
    </x:row>
    <x:row r="507" ht="25" customHeight="1">
      <x:c r="A507" s="38"/>
      <x:c r="B507" s="38"/>
      <x:c r="C507" s="38"/>
      <x:c r="D507" s="38"/>
      <x:c r="E507" s="38"/>
      <x:c r="F507" s="38"/>
      <x:c r="G507" s="38"/>
      <x:c r="H507" s="38"/>
      <x:c r="I507" s="41"/>
      <x:c r="J507" s="38"/>
      <x:c r="K507" s="38"/>
    </x:row>
    <x:row r="508" ht="25" customHeight="1">
      <x:c r="A508" s="38"/>
      <x:c r="B508" s="38"/>
      <x:c r="C508" s="38"/>
      <x:c r="D508" s="38"/>
      <x:c r="E508" s="38"/>
      <x:c r="F508" s="38"/>
      <x:c r="G508" s="38"/>
      <x:c r="H508" s="38"/>
      <x:c r="I508" s="41"/>
      <x:c r="J508" s="38"/>
      <x:c r="K508" s="38"/>
    </x:row>
    <x:row r="509" ht="25" customHeight="1">
      <x:c r="A509" s="38"/>
      <x:c r="B509" s="38"/>
      <x:c r="C509" s="38"/>
      <x:c r="D509" s="38"/>
      <x:c r="E509" s="38"/>
      <x:c r="F509" s="38"/>
      <x:c r="G509" s="38"/>
      <x:c r="H509" s="38"/>
      <x:c r="I509" s="41"/>
      <x:c r="J509" s="38"/>
      <x:c r="K509" s="38"/>
    </x:row>
    <x:row r="510" ht="25" customHeight="1">
      <x:c r="A510" s="38"/>
      <x:c r="B510" s="38"/>
      <x:c r="C510" s="38"/>
      <x:c r="D510" s="38"/>
      <x:c r="E510" s="38"/>
      <x:c r="F510" s="38"/>
      <x:c r="G510" s="38"/>
      <x:c r="H510" s="38"/>
      <x:c r="I510" s="41"/>
      <x:c r="J510" s="38"/>
      <x:c r="K510" s="38"/>
    </x:row>
    <x:row r="511" ht="25" customHeight="1">
      <x:c r="A511" s="38"/>
      <x:c r="B511" s="38"/>
      <x:c r="C511" s="38"/>
      <x:c r="D511" s="38"/>
      <x:c r="E511" s="38"/>
      <x:c r="F511" s="38"/>
      <x:c r="G511" s="38"/>
      <x:c r="H511" s="38"/>
      <x:c r="I511" s="41"/>
      <x:c r="J511" s="38"/>
      <x:c r="K511" s="38"/>
    </x:row>
    <x:row r="512" ht="25" customHeight="1">
      <x:c r="A512" s="38"/>
      <x:c r="B512" s="38"/>
      <x:c r="C512" s="38"/>
      <x:c r="D512" s="38"/>
      <x:c r="E512" s="38"/>
      <x:c r="F512" s="38"/>
      <x:c r="G512" s="38"/>
      <x:c r="H512" s="38"/>
      <x:c r="I512" s="41"/>
      <x:c r="J512" s="38"/>
      <x:c r="K512" s="38"/>
    </x:row>
    <x:row r="513" ht="25" customHeight="1">
      <x:c r="A513" s="38"/>
      <x:c r="B513" s="38"/>
      <x:c r="C513" s="38"/>
      <x:c r="D513" s="38"/>
      <x:c r="E513" s="38"/>
      <x:c r="F513" s="38"/>
      <x:c r="G513" s="38"/>
      <x:c r="H513" s="38"/>
      <x:c r="I513" s="41"/>
      <x:c r="J513" s="38"/>
      <x:c r="K513" s="38"/>
    </x:row>
    <x:row r="514" ht="25" customHeight="1">
      <x:c r="A514" s="38"/>
      <x:c r="B514" s="38"/>
      <x:c r="C514" s="38"/>
      <x:c r="D514" s="38"/>
      <x:c r="E514" s="38"/>
      <x:c r="F514" s="38"/>
      <x:c r="G514" s="38"/>
      <x:c r="H514" s="38"/>
      <x:c r="I514" s="41"/>
      <x:c r="J514" s="38"/>
      <x:c r="K514" s="38"/>
    </x:row>
    <x:row r="515" ht="25" customHeight="1">
      <x:c r="A515" s="38"/>
      <x:c r="B515" s="38"/>
      <x:c r="C515" s="38"/>
      <x:c r="D515" s="38"/>
      <x:c r="E515" s="38"/>
      <x:c r="F515" s="38"/>
      <x:c r="G515" s="38"/>
      <x:c r="H515" s="38"/>
      <x:c r="I515" s="41"/>
      <x:c r="J515" s="38"/>
      <x:c r="K515" s="38"/>
    </x:row>
    <x:row r="516" ht="25" customHeight="1">
      <x:c r="A516" s="38"/>
      <x:c r="B516" s="38"/>
      <x:c r="C516" s="38"/>
      <x:c r="D516" s="38"/>
      <x:c r="E516" s="38"/>
      <x:c r="F516" s="38"/>
      <x:c r="G516" s="38"/>
      <x:c r="H516" s="38"/>
      <x:c r="I516" s="41"/>
      <x:c r="J516" s="38"/>
      <x:c r="K516" s="38"/>
    </x:row>
    <x:row r="517" ht="25" customHeight="1">
      <x:c r="A517" s="38"/>
      <x:c r="B517" s="38"/>
      <x:c r="C517" s="38"/>
      <x:c r="D517" s="38"/>
      <x:c r="E517" s="38"/>
      <x:c r="F517" s="38"/>
      <x:c r="G517" s="38"/>
      <x:c r="H517" s="38"/>
      <x:c r="I517" s="41"/>
      <x:c r="J517" s="38"/>
      <x:c r="K517" s="38"/>
    </x:row>
    <x:row r="518" ht="25" customHeight="1">
      <x:c r="A518" s="38"/>
      <x:c r="B518" s="38"/>
      <x:c r="C518" s="38"/>
      <x:c r="D518" s="38"/>
      <x:c r="E518" s="38"/>
      <x:c r="F518" s="38"/>
      <x:c r="G518" s="38"/>
      <x:c r="H518" s="38"/>
      <x:c r="I518" s="41"/>
      <x:c r="J518" s="38"/>
      <x:c r="K518" s="38"/>
    </x:row>
    <x:row r="519" ht="25" customHeight="1">
      <x:c r="A519" s="38"/>
      <x:c r="B519" s="38"/>
      <x:c r="C519" s="38"/>
      <x:c r="D519" s="38"/>
      <x:c r="E519" s="38"/>
      <x:c r="F519" s="38"/>
      <x:c r="G519" s="38"/>
      <x:c r="H519" s="38"/>
      <x:c r="I519" s="41"/>
      <x:c r="J519" s="38"/>
      <x:c r="K519" s="38"/>
    </x:row>
    <x:row r="520" ht="25" customHeight="1">
      <x:c r="A520" s="38"/>
      <x:c r="B520" s="38"/>
      <x:c r="C520" s="38"/>
      <x:c r="D520" s="38"/>
      <x:c r="E520" s="38"/>
      <x:c r="F520" s="38"/>
      <x:c r="G520" s="38"/>
      <x:c r="H520" s="38"/>
      <x:c r="I520" s="41"/>
      <x:c r="J520" s="38"/>
      <x:c r="K520" s="38"/>
    </x:row>
    <x:row r="521" ht="25" customHeight="1">
      <x:c r="A521" s="38"/>
      <x:c r="B521" s="38"/>
      <x:c r="C521" s="38"/>
      <x:c r="D521" s="38"/>
      <x:c r="E521" s="38"/>
      <x:c r="F521" s="38"/>
      <x:c r="G521" s="38"/>
      <x:c r="H521" s="38"/>
      <x:c r="I521" s="41"/>
      <x:c r="J521" s="38"/>
      <x:c r="K521" s="38"/>
    </x:row>
    <x:row r="522" ht="25" customHeight="1">
      <x:c r="A522" s="38"/>
      <x:c r="B522" s="38"/>
      <x:c r="C522" s="38"/>
      <x:c r="D522" s="38"/>
      <x:c r="E522" s="38"/>
      <x:c r="F522" s="38"/>
      <x:c r="G522" s="38"/>
      <x:c r="H522" s="38"/>
      <x:c r="I522" s="41"/>
      <x:c r="J522" s="38"/>
      <x:c r="K522" s="38"/>
    </x:row>
    <x:row r="523" ht="25" customHeight="1">
      <x:c r="A523" s="38"/>
      <x:c r="B523" s="38"/>
      <x:c r="C523" s="38"/>
      <x:c r="D523" s="38"/>
      <x:c r="E523" s="38"/>
      <x:c r="F523" s="38"/>
      <x:c r="G523" s="38"/>
      <x:c r="H523" s="38"/>
      <x:c r="I523" s="41"/>
      <x:c r="J523" s="38"/>
      <x:c r="K523" s="38"/>
    </x:row>
    <x:row r="524" ht="25" customHeight="1">
      <x:c r="A524" s="38"/>
      <x:c r="B524" s="38"/>
      <x:c r="C524" s="38"/>
      <x:c r="D524" s="38"/>
      <x:c r="E524" s="38"/>
      <x:c r="F524" s="38"/>
      <x:c r="G524" s="38"/>
      <x:c r="H524" s="38"/>
      <x:c r="I524" s="41"/>
      <x:c r="J524" s="38"/>
      <x:c r="K524" s="38"/>
    </x:row>
    <x:row r="525" ht="25" customHeight="1">
      <x:c r="A525" s="38"/>
      <x:c r="B525" s="38"/>
      <x:c r="C525" s="38"/>
      <x:c r="D525" s="38"/>
      <x:c r="E525" s="38"/>
      <x:c r="F525" s="38"/>
      <x:c r="G525" s="38"/>
      <x:c r="H525" s="38"/>
      <x:c r="I525" s="41"/>
      <x:c r="J525" s="38"/>
      <x:c r="K525" s="38"/>
    </x:row>
    <x:row r="526" ht="25" customHeight="1">
      <x:c r="A526" s="38"/>
      <x:c r="B526" s="38"/>
      <x:c r="C526" s="38"/>
      <x:c r="D526" s="38"/>
      <x:c r="E526" s="38"/>
      <x:c r="F526" s="38"/>
      <x:c r="G526" s="38"/>
      <x:c r="H526" s="38"/>
      <x:c r="I526" s="41"/>
      <x:c r="J526" s="38"/>
      <x:c r="K526" s="38"/>
    </x:row>
    <x:row r="527" ht="25" customHeight="1">
      <x:c r="A527" s="38"/>
      <x:c r="B527" s="38"/>
      <x:c r="C527" s="38"/>
      <x:c r="D527" s="38"/>
      <x:c r="E527" s="38"/>
      <x:c r="F527" s="38"/>
      <x:c r="G527" s="38"/>
      <x:c r="H527" s="38"/>
      <x:c r="I527" s="41"/>
      <x:c r="J527" s="38"/>
      <x:c r="K527" s="38"/>
    </x:row>
    <x:row r="528" ht="25" customHeight="1">
      <x:c r="A528" s="38"/>
      <x:c r="B528" s="38"/>
      <x:c r="C528" s="38"/>
      <x:c r="D528" s="38"/>
      <x:c r="E528" s="38"/>
      <x:c r="F528" s="38"/>
      <x:c r="G528" s="38"/>
      <x:c r="H528" s="38"/>
      <x:c r="I528" s="41"/>
      <x:c r="J528" s="38"/>
      <x:c r="K528" s="38"/>
    </x:row>
    <x:row r="529" ht="25" customHeight="1">
      <x:c r="A529" s="38"/>
      <x:c r="B529" s="38"/>
      <x:c r="C529" s="38"/>
      <x:c r="D529" s="38"/>
      <x:c r="E529" s="38"/>
      <x:c r="F529" s="38"/>
      <x:c r="G529" s="38"/>
      <x:c r="H529" s="38"/>
      <x:c r="I529" s="41"/>
      <x:c r="J529" s="38"/>
      <x:c r="K529" s="38"/>
    </x:row>
    <x:row r="530" ht="25" customHeight="1">
      <x:c r="A530" s="38"/>
      <x:c r="B530" s="38"/>
      <x:c r="C530" s="38"/>
      <x:c r="D530" s="38"/>
      <x:c r="E530" s="38"/>
      <x:c r="F530" s="38"/>
      <x:c r="G530" s="38"/>
      <x:c r="H530" s="38"/>
      <x:c r="I530" s="41"/>
      <x:c r="J530" s="38"/>
      <x:c r="K530" s="38"/>
    </x:row>
    <x:row r="531" ht="25" customHeight="1">
      <x:c r="A531" s="38"/>
      <x:c r="B531" s="38"/>
      <x:c r="C531" s="38"/>
      <x:c r="D531" s="38"/>
      <x:c r="E531" s="38"/>
      <x:c r="F531" s="38"/>
      <x:c r="G531" s="38"/>
      <x:c r="H531" s="38"/>
      <x:c r="I531" s="41"/>
      <x:c r="J531" s="38"/>
      <x:c r="K531" s="38"/>
    </x:row>
    <x:row r="532" ht="25" customHeight="1">
      <x:c r="A532" s="38"/>
      <x:c r="B532" s="38"/>
      <x:c r="C532" s="38"/>
      <x:c r="D532" s="38"/>
      <x:c r="E532" s="38"/>
      <x:c r="F532" s="38"/>
      <x:c r="G532" s="38"/>
      <x:c r="H532" s="38"/>
      <x:c r="I532" s="41"/>
      <x:c r="J532" s="38"/>
      <x:c r="K532" s="38"/>
    </x:row>
    <x:row r="533" ht="25" customHeight="1">
      <x:c r="A533" s="38"/>
      <x:c r="B533" s="38"/>
      <x:c r="C533" s="38"/>
      <x:c r="D533" s="38"/>
      <x:c r="E533" s="38"/>
      <x:c r="F533" s="38"/>
      <x:c r="G533" s="38"/>
      <x:c r="H533" s="38"/>
      <x:c r="I533" s="41"/>
      <x:c r="J533" s="38"/>
      <x:c r="K533" s="38"/>
    </x:row>
    <x:row r="534" ht="25" customHeight="1">
      <x:c r="A534" s="38"/>
      <x:c r="B534" s="38"/>
      <x:c r="C534" s="38"/>
      <x:c r="D534" s="38"/>
      <x:c r="E534" s="38"/>
      <x:c r="F534" s="38"/>
      <x:c r="G534" s="38"/>
      <x:c r="H534" s="38"/>
      <x:c r="I534" s="41"/>
      <x:c r="J534" s="38"/>
      <x:c r="K534" s="38"/>
    </x:row>
    <x:row r="535" ht="25" customHeight="1">
      <x:c r="A535" s="38"/>
      <x:c r="B535" s="38"/>
      <x:c r="C535" s="38"/>
      <x:c r="D535" s="38"/>
      <x:c r="E535" s="38"/>
      <x:c r="F535" s="38"/>
      <x:c r="G535" s="38"/>
      <x:c r="H535" s="38"/>
      <x:c r="I535" s="41"/>
      <x:c r="J535" s="38"/>
      <x:c r="K535" s="38"/>
    </x:row>
    <x:row r="536" ht="25" customHeight="1">
      <x:c r="A536" s="38"/>
      <x:c r="B536" s="38"/>
      <x:c r="C536" s="38"/>
      <x:c r="D536" s="38"/>
      <x:c r="E536" s="38"/>
      <x:c r="F536" s="38"/>
      <x:c r="G536" s="38"/>
      <x:c r="H536" s="38"/>
      <x:c r="I536" s="41"/>
      <x:c r="J536" s="38"/>
      <x:c r="K536" s="38"/>
    </x:row>
    <x:row r="537" ht="25" customHeight="1">
      <x:c r="A537" s="38"/>
      <x:c r="B537" s="38"/>
      <x:c r="C537" s="38"/>
      <x:c r="D537" s="38"/>
      <x:c r="E537" s="38"/>
      <x:c r="F537" s="38"/>
      <x:c r="G537" s="38"/>
      <x:c r="H537" s="38"/>
      <x:c r="I537" s="41"/>
      <x:c r="J537" s="38"/>
      <x:c r="K537" s="38"/>
    </x:row>
    <x:row r="538" ht="25" customHeight="1">
      <x:c r="A538" s="38"/>
      <x:c r="B538" s="38"/>
      <x:c r="C538" s="38"/>
      <x:c r="D538" s="38"/>
      <x:c r="E538" s="38"/>
      <x:c r="F538" s="38"/>
      <x:c r="G538" s="38"/>
      <x:c r="H538" s="38"/>
      <x:c r="I538" s="41"/>
      <x:c r="J538" s="38"/>
      <x:c r="K538" s="38"/>
    </x:row>
    <x:row r="539" ht="25" customHeight="1">
      <x:c r="A539" s="38"/>
      <x:c r="B539" s="38"/>
      <x:c r="C539" s="38"/>
      <x:c r="D539" s="38"/>
      <x:c r="E539" s="38"/>
      <x:c r="F539" s="38"/>
      <x:c r="G539" s="38"/>
      <x:c r="H539" s="38"/>
      <x:c r="I539" s="41"/>
      <x:c r="J539" s="38"/>
      <x:c r="K539" s="38"/>
    </x:row>
    <x:row r="540" ht="25" customHeight="1">
      <x:c r="A540" s="38"/>
      <x:c r="B540" s="38"/>
      <x:c r="C540" s="38"/>
      <x:c r="D540" s="38"/>
      <x:c r="E540" s="38"/>
      <x:c r="F540" s="38"/>
      <x:c r="G540" s="38"/>
      <x:c r="H540" s="38"/>
      <x:c r="I540" s="41"/>
      <x:c r="J540" s="38"/>
      <x:c r="K540" s="38"/>
    </x:row>
    <x:row r="541" ht="25" customHeight="1">
      <x:c r="A541" s="38"/>
      <x:c r="B541" s="38"/>
      <x:c r="C541" s="38"/>
      <x:c r="D541" s="38"/>
      <x:c r="E541" s="38"/>
      <x:c r="F541" s="38"/>
      <x:c r="G541" s="38"/>
      <x:c r="H541" s="38"/>
      <x:c r="I541" s="41"/>
      <x:c r="J541" s="38"/>
      <x:c r="K541" s="38"/>
    </x:row>
    <x:row r="542" ht="25" customHeight="1">
      <x:c r="A542" s="38"/>
      <x:c r="B542" s="38"/>
      <x:c r="C542" s="38"/>
      <x:c r="D542" s="38"/>
      <x:c r="E542" s="38"/>
      <x:c r="F542" s="38"/>
      <x:c r="G542" s="38"/>
      <x:c r="H542" s="38"/>
      <x:c r="I542" s="41"/>
      <x:c r="J542" s="38"/>
      <x:c r="K542" s="38"/>
    </x:row>
    <x:row r="543" ht="25" customHeight="1">
      <x:c r="A543" s="38"/>
      <x:c r="B543" s="38"/>
      <x:c r="C543" s="38"/>
      <x:c r="D543" s="38"/>
      <x:c r="E543" s="38"/>
      <x:c r="F543" s="38"/>
      <x:c r="G543" s="38"/>
      <x:c r="H543" s="38"/>
      <x:c r="I543" s="41"/>
      <x:c r="J543" s="38"/>
      <x:c r="K543" s="38"/>
    </x:row>
    <x:row r="544" ht="25" customHeight="1">
      <x:c r="A544" s="38"/>
      <x:c r="B544" s="38"/>
      <x:c r="C544" s="38"/>
      <x:c r="D544" s="38"/>
      <x:c r="E544" s="38"/>
      <x:c r="F544" s="38"/>
      <x:c r="G544" s="38"/>
      <x:c r="H544" s="38"/>
      <x:c r="I544" s="41"/>
      <x:c r="J544" s="38"/>
      <x:c r="K544" s="38"/>
    </x:row>
    <x:row r="545" ht="25" customHeight="1">
      <x:c r="A545" s="38"/>
      <x:c r="B545" s="38"/>
      <x:c r="C545" s="38"/>
      <x:c r="D545" s="38"/>
      <x:c r="E545" s="38"/>
      <x:c r="F545" s="38"/>
      <x:c r="G545" s="38"/>
      <x:c r="H545" s="38"/>
      <x:c r="I545" s="41"/>
      <x:c r="J545" s="38"/>
      <x:c r="K545" s="38"/>
    </x:row>
    <x:row r="546" ht="25" customHeight="1">
      <x:c r="A546" s="38"/>
      <x:c r="B546" s="38"/>
      <x:c r="C546" s="38"/>
      <x:c r="D546" s="38"/>
      <x:c r="E546" s="38"/>
      <x:c r="F546" s="38"/>
      <x:c r="G546" s="38"/>
      <x:c r="H546" s="38"/>
      <x:c r="I546" s="41"/>
      <x:c r="J546" s="38"/>
      <x:c r="K546" s="38"/>
    </x:row>
    <x:row r="547" ht="25" customHeight="1">
      <x:c r="A547" s="38"/>
      <x:c r="B547" s="38"/>
      <x:c r="C547" s="38"/>
      <x:c r="D547" s="38"/>
      <x:c r="E547" s="38"/>
      <x:c r="F547" s="38"/>
      <x:c r="G547" s="38"/>
      <x:c r="H547" s="38"/>
      <x:c r="I547" s="41"/>
      <x:c r="J547" s="38"/>
      <x:c r="K547" s="38"/>
    </x:row>
    <x:row r="548" ht="25" customHeight="1">
      <x:c r="A548" s="38"/>
      <x:c r="B548" s="38"/>
      <x:c r="C548" s="38"/>
      <x:c r="D548" s="38"/>
      <x:c r="E548" s="38"/>
      <x:c r="F548" s="38"/>
      <x:c r="G548" s="38"/>
      <x:c r="H548" s="38"/>
      <x:c r="I548" s="41"/>
      <x:c r="J548" s="38"/>
      <x:c r="K548" s="38"/>
    </x:row>
    <x:row r="549" ht="25" customHeight="1">
      <x:c r="A549" s="38"/>
      <x:c r="B549" s="38"/>
      <x:c r="C549" s="38"/>
      <x:c r="D549" s="38"/>
      <x:c r="E549" s="38"/>
      <x:c r="F549" s="38"/>
      <x:c r="G549" s="38"/>
      <x:c r="H549" s="38"/>
      <x:c r="I549" s="41"/>
      <x:c r="J549" s="38"/>
      <x:c r="K549" s="38"/>
    </x:row>
    <x:row r="550" ht="25" customHeight="1">
      <x:c r="A550" s="38"/>
      <x:c r="B550" s="38"/>
      <x:c r="C550" s="38"/>
      <x:c r="D550" s="38"/>
      <x:c r="E550" s="38"/>
      <x:c r="F550" s="38"/>
      <x:c r="G550" s="38"/>
      <x:c r="H550" s="38"/>
      <x:c r="I550" s="41"/>
      <x:c r="J550" s="38"/>
      <x:c r="K550" s="38"/>
    </x:row>
    <x:row r="551" ht="25" customHeight="1">
      <x:c r="A551" s="38"/>
      <x:c r="B551" s="38"/>
      <x:c r="C551" s="38"/>
      <x:c r="D551" s="38"/>
      <x:c r="E551" s="38"/>
      <x:c r="F551" s="38"/>
      <x:c r="G551" s="38"/>
      <x:c r="H551" s="38"/>
      <x:c r="I551" s="41"/>
      <x:c r="J551" s="38"/>
      <x:c r="K551" s="38"/>
    </x:row>
    <x:row r="552" ht="25" customHeight="1">
      <x:c r="A552" s="38"/>
      <x:c r="B552" s="38"/>
      <x:c r="C552" s="38"/>
      <x:c r="D552" s="38"/>
      <x:c r="E552" s="38"/>
      <x:c r="F552" s="38"/>
      <x:c r="G552" s="38"/>
      <x:c r="H552" s="38"/>
      <x:c r="I552" s="41"/>
      <x:c r="J552" s="38"/>
      <x:c r="K552" s="38"/>
    </x:row>
    <x:row r="553" ht="25" customHeight="1">
      <x:c r="A553" s="38"/>
      <x:c r="B553" s="38"/>
      <x:c r="C553" s="38"/>
      <x:c r="D553" s="38"/>
      <x:c r="E553" s="38"/>
      <x:c r="F553" s="38"/>
      <x:c r="G553" s="38"/>
      <x:c r="H553" s="38"/>
      <x:c r="I553" s="41"/>
      <x:c r="J553" s="38"/>
      <x:c r="K553" s="38"/>
    </x:row>
    <x:row r="554" ht="25" customHeight="1">
      <x:c r="A554" s="38"/>
      <x:c r="B554" s="38"/>
      <x:c r="C554" s="38"/>
      <x:c r="D554" s="38"/>
      <x:c r="E554" s="38"/>
      <x:c r="F554" s="38"/>
      <x:c r="G554" s="38"/>
      <x:c r="H554" s="38"/>
      <x:c r="I554" s="41"/>
      <x:c r="J554" s="38"/>
      <x:c r="K554" s="38"/>
    </x:row>
    <x:row r="555" ht="25" customHeight="1">
      <x:c r="A555" s="38"/>
      <x:c r="B555" s="38"/>
      <x:c r="C555" s="38"/>
      <x:c r="D555" s="38"/>
      <x:c r="E555" s="38"/>
      <x:c r="F555" s="38"/>
      <x:c r="G555" s="38"/>
      <x:c r="H555" s="38"/>
      <x:c r="I555" s="41"/>
      <x:c r="J555" s="38"/>
      <x:c r="K555" s="38"/>
    </x:row>
    <x:row r="556" ht="25" customHeight="1">
      <x:c r="A556" s="38"/>
      <x:c r="B556" s="38"/>
      <x:c r="C556" s="38"/>
      <x:c r="D556" s="38"/>
      <x:c r="E556" s="38"/>
      <x:c r="F556" s="38"/>
      <x:c r="G556" s="38"/>
      <x:c r="H556" s="38"/>
      <x:c r="I556" s="41"/>
      <x:c r="J556" s="38"/>
      <x:c r="K556" s="38"/>
    </x:row>
    <x:row r="557" ht="25" customHeight="1">
      <x:c r="A557" s="38"/>
      <x:c r="B557" s="38"/>
      <x:c r="C557" s="38"/>
      <x:c r="D557" s="38"/>
      <x:c r="E557" s="38"/>
      <x:c r="F557" s="38"/>
      <x:c r="G557" s="38"/>
      <x:c r="H557" s="38"/>
      <x:c r="I557" s="41"/>
      <x:c r="J557" s="38"/>
      <x:c r="K557" s="38"/>
    </x:row>
    <x:row r="558" ht="25" customHeight="1">
      <x:c r="A558" s="38"/>
      <x:c r="B558" s="38"/>
      <x:c r="C558" s="38"/>
      <x:c r="D558" s="38"/>
      <x:c r="E558" s="38"/>
      <x:c r="F558" s="38"/>
      <x:c r="G558" s="38"/>
      <x:c r="H558" s="38"/>
      <x:c r="I558" s="41"/>
      <x:c r="J558" s="38"/>
      <x:c r="K558" s="38"/>
    </x:row>
    <x:row r="559" ht="25" customHeight="1">
      <x:c r="A559" s="38"/>
      <x:c r="B559" s="38"/>
      <x:c r="C559" s="38"/>
      <x:c r="D559" s="38"/>
      <x:c r="E559" s="38"/>
      <x:c r="F559" s="38"/>
      <x:c r="G559" s="38"/>
      <x:c r="H559" s="38"/>
      <x:c r="I559" s="41"/>
      <x:c r="J559" s="38"/>
      <x:c r="K559" s="38"/>
    </x:row>
    <x:row r="560" ht="25" customHeight="1">
      <x:c r="A560" s="38"/>
      <x:c r="B560" s="38"/>
      <x:c r="C560" s="38"/>
      <x:c r="D560" s="38"/>
      <x:c r="E560" s="38"/>
      <x:c r="F560" s="38"/>
      <x:c r="G560" s="38"/>
      <x:c r="H560" s="38"/>
      <x:c r="I560" s="41"/>
      <x:c r="J560" s="38"/>
      <x:c r="K560" s="38"/>
    </x:row>
    <x:row r="561" ht="25" customHeight="1">
      <x:c r="A561" s="38"/>
      <x:c r="B561" s="38"/>
      <x:c r="C561" s="38"/>
      <x:c r="D561" s="38"/>
      <x:c r="E561" s="38"/>
      <x:c r="F561" s="38"/>
      <x:c r="G561" s="38"/>
      <x:c r="H561" s="38"/>
      <x:c r="I561" s="41"/>
      <x:c r="J561" s="38"/>
      <x:c r="K561" s="38"/>
    </x:row>
    <x:row r="562" ht="25" customHeight="1">
      <x:c r="A562" s="38"/>
      <x:c r="B562" s="38"/>
      <x:c r="C562" s="38"/>
      <x:c r="D562" s="38"/>
      <x:c r="E562" s="38"/>
      <x:c r="F562" s="38"/>
      <x:c r="G562" s="38"/>
      <x:c r="H562" s="38"/>
      <x:c r="I562" s="41"/>
      <x:c r="J562" s="38"/>
      <x:c r="K562" s="38"/>
    </x:row>
    <x:row r="563" ht="25" customHeight="1">
      <x:c r="A563" s="38"/>
      <x:c r="B563" s="38"/>
      <x:c r="C563" s="38"/>
      <x:c r="D563" s="38"/>
      <x:c r="E563" s="38"/>
      <x:c r="F563" s="38"/>
      <x:c r="G563" s="38"/>
      <x:c r="H563" s="38"/>
      <x:c r="I563" s="41"/>
      <x:c r="J563" s="38"/>
      <x:c r="K563" s="38"/>
    </x:row>
    <x:row r="564" ht="25" customHeight="1">
      <x:c r="A564" s="38"/>
      <x:c r="B564" s="38"/>
      <x:c r="C564" s="38"/>
      <x:c r="D564" s="38"/>
      <x:c r="E564" s="38"/>
      <x:c r="F564" s="38"/>
      <x:c r="G564" s="38"/>
      <x:c r="H564" s="38"/>
      <x:c r="I564" s="41"/>
      <x:c r="J564" s="38"/>
      <x:c r="K564" s="38"/>
    </x:row>
    <x:row r="565" ht="25" customHeight="1">
      <x:c r="A565" s="38"/>
      <x:c r="B565" s="38"/>
      <x:c r="C565" s="38"/>
      <x:c r="D565" s="38"/>
      <x:c r="E565" s="38"/>
      <x:c r="F565" s="38"/>
      <x:c r="G565" s="38"/>
      <x:c r="H565" s="38"/>
      <x:c r="I565" s="41"/>
      <x:c r="J565" s="38"/>
      <x:c r="K565" s="38"/>
    </x:row>
    <x:row r="566" ht="25" customHeight="1">
      <x:c r="A566" s="38"/>
      <x:c r="B566" s="38"/>
      <x:c r="C566" s="38"/>
      <x:c r="D566" s="38"/>
      <x:c r="E566" s="38"/>
      <x:c r="F566" s="38"/>
      <x:c r="G566" s="38"/>
      <x:c r="H566" s="38"/>
      <x:c r="I566" s="41"/>
      <x:c r="J566" s="38"/>
      <x:c r="K566" s="38"/>
    </x:row>
    <x:row r="567" ht="25" customHeight="1">
      <x:c r="A567" s="38"/>
      <x:c r="B567" s="38"/>
      <x:c r="C567" s="38"/>
      <x:c r="D567" s="38"/>
      <x:c r="E567" s="38"/>
      <x:c r="F567" s="38"/>
      <x:c r="G567" s="38"/>
      <x:c r="H567" s="38"/>
      <x:c r="I567" s="41"/>
      <x:c r="J567" s="38"/>
      <x:c r="K567" s="38"/>
    </x:row>
    <x:row r="568" ht="25" customHeight="1">
      <x:c r="A568" s="38"/>
      <x:c r="B568" s="38"/>
      <x:c r="C568" s="38"/>
      <x:c r="D568" s="38"/>
      <x:c r="E568" s="38"/>
      <x:c r="F568" s="38"/>
      <x:c r="G568" s="38"/>
      <x:c r="H568" s="38"/>
      <x:c r="I568" s="41"/>
      <x:c r="J568" s="38"/>
      <x:c r="K568" s="38"/>
    </x:row>
    <x:row r="569" ht="25" customHeight="1">
      <x:c r="A569" s="38"/>
      <x:c r="B569" s="38"/>
      <x:c r="C569" s="38"/>
      <x:c r="D569" s="38"/>
      <x:c r="E569" s="38"/>
      <x:c r="F569" s="38"/>
      <x:c r="G569" s="38"/>
      <x:c r="H569" s="38"/>
      <x:c r="I569" s="41"/>
      <x:c r="J569" s="38"/>
      <x:c r="K569" s="38"/>
    </x:row>
    <x:row r="570" ht="25" customHeight="1">
      <x:c r="A570" s="38"/>
      <x:c r="B570" s="38"/>
      <x:c r="C570" s="38"/>
      <x:c r="D570" s="38"/>
      <x:c r="E570" s="38"/>
      <x:c r="F570" s="38"/>
      <x:c r="G570" s="38"/>
      <x:c r="H570" s="38"/>
      <x:c r="I570" s="41"/>
      <x:c r="J570" s="38"/>
      <x:c r="K570" s="38"/>
    </x:row>
    <x:row r="571" ht="25" customHeight="1">
      <x:c r="A571" s="38"/>
      <x:c r="B571" s="38"/>
      <x:c r="C571" s="38"/>
      <x:c r="D571" s="38"/>
      <x:c r="E571" s="38"/>
      <x:c r="F571" s="38"/>
      <x:c r="G571" s="38"/>
      <x:c r="H571" s="38"/>
      <x:c r="I571" s="41"/>
      <x:c r="J571" s="38"/>
      <x:c r="K571" s="38"/>
    </x:row>
    <x:row r="572" ht="25" customHeight="1">
      <x:c r="A572" s="38"/>
      <x:c r="B572" s="38"/>
      <x:c r="C572" s="38"/>
      <x:c r="D572" s="38"/>
      <x:c r="E572" s="38"/>
      <x:c r="F572" s="38"/>
      <x:c r="G572" s="38"/>
      <x:c r="H572" s="38"/>
      <x:c r="I572" s="41"/>
      <x:c r="J572" s="38"/>
      <x:c r="K572" s="38"/>
    </x:row>
    <x:row r="573" ht="25" customHeight="1">
      <x:c r="A573" s="38"/>
      <x:c r="B573" s="38"/>
      <x:c r="C573" s="38"/>
      <x:c r="D573" s="38"/>
      <x:c r="E573" s="38"/>
      <x:c r="F573" s="38"/>
      <x:c r="G573" s="38"/>
      <x:c r="H573" s="38"/>
      <x:c r="I573" s="41"/>
      <x:c r="J573" s="38"/>
      <x:c r="K573" s="38"/>
    </x:row>
    <x:row r="574" ht="25" customHeight="1">
      <x:c r="A574" s="38"/>
      <x:c r="B574" s="38"/>
      <x:c r="C574" s="38"/>
      <x:c r="D574" s="38"/>
      <x:c r="E574" s="38"/>
      <x:c r="F574" s="38"/>
      <x:c r="G574" s="38"/>
      <x:c r="H574" s="38"/>
      <x:c r="I574" s="41"/>
      <x:c r="J574" s="38"/>
      <x:c r="K574" s="38"/>
    </x:row>
    <x:row r="575" ht="25" customHeight="1">
      <x:c r="A575" s="38"/>
      <x:c r="B575" s="38"/>
      <x:c r="C575" s="38"/>
      <x:c r="D575" s="38"/>
      <x:c r="E575" s="38"/>
      <x:c r="F575" s="38"/>
      <x:c r="G575" s="38"/>
      <x:c r="H575" s="38"/>
      <x:c r="I575" s="41"/>
      <x:c r="J575" s="38"/>
      <x:c r="K575" s="38"/>
    </x:row>
    <x:row r="576" ht="25" customHeight="1">
      <x:c r="A576" s="38"/>
      <x:c r="B576" s="38"/>
      <x:c r="C576" s="38"/>
      <x:c r="D576" s="38"/>
      <x:c r="E576" s="38"/>
      <x:c r="F576" s="38"/>
      <x:c r="G576" s="38"/>
      <x:c r="H576" s="38"/>
      <x:c r="I576" s="41"/>
      <x:c r="J576" s="38"/>
      <x:c r="K576" s="38"/>
    </x:row>
    <x:row r="577" ht="25" customHeight="1">
      <x:c r="A577" s="38"/>
      <x:c r="B577" s="38"/>
      <x:c r="C577" s="38"/>
      <x:c r="D577" s="38"/>
      <x:c r="E577" s="38"/>
      <x:c r="F577" s="38"/>
      <x:c r="G577" s="38"/>
      <x:c r="H577" s="38"/>
      <x:c r="I577" s="41"/>
      <x:c r="J577" s="38"/>
      <x:c r="K577" s="38"/>
    </x:row>
    <x:row r="578" ht="25" customHeight="1">
      <x:c r="A578" s="38"/>
      <x:c r="B578" s="38"/>
      <x:c r="C578" s="38"/>
      <x:c r="D578" s="38"/>
      <x:c r="E578" s="38"/>
      <x:c r="F578" s="38"/>
      <x:c r="G578" s="38"/>
      <x:c r="H578" s="38"/>
      <x:c r="I578" s="41"/>
      <x:c r="J578" s="38"/>
      <x:c r="K578" s="38"/>
    </x:row>
    <x:row r="579" ht="25" customHeight="1">
      <x:c r="A579" s="38"/>
      <x:c r="B579" s="38"/>
      <x:c r="C579" s="38"/>
      <x:c r="D579" s="38"/>
      <x:c r="E579" s="38"/>
      <x:c r="F579" s="38"/>
      <x:c r="G579" s="38"/>
      <x:c r="H579" s="38"/>
      <x:c r="I579" s="41"/>
      <x:c r="J579" s="38"/>
      <x:c r="K579" s="38"/>
    </x:row>
    <x:row r="580" ht="25" customHeight="1">
      <x:c r="A580" s="38"/>
      <x:c r="B580" s="38"/>
      <x:c r="C580" s="38"/>
      <x:c r="D580" s="38"/>
      <x:c r="E580" s="38"/>
      <x:c r="F580" s="38"/>
      <x:c r="G580" s="38"/>
      <x:c r="H580" s="38"/>
      <x:c r="I580" s="41"/>
      <x:c r="J580" s="38"/>
      <x:c r="K580" s="38"/>
    </x:row>
    <x:row r="581" ht="25" customHeight="1">
      <x:c r="A581" s="38"/>
      <x:c r="B581" s="38"/>
      <x:c r="C581" s="38"/>
      <x:c r="D581" s="38"/>
      <x:c r="E581" s="38"/>
      <x:c r="F581" s="38"/>
      <x:c r="G581" s="38"/>
      <x:c r="H581" s="38"/>
      <x:c r="I581" s="41"/>
      <x:c r="J581" s="38"/>
      <x:c r="K581" s="38"/>
    </x:row>
    <x:row r="582" ht="25" customHeight="1">
      <x:c r="A582" s="38"/>
      <x:c r="B582" s="38"/>
      <x:c r="C582" s="38"/>
      <x:c r="D582" s="38"/>
      <x:c r="E582" s="38"/>
      <x:c r="F582" s="38"/>
      <x:c r="G582" s="38"/>
      <x:c r="H582" s="38"/>
      <x:c r="I582" s="41"/>
      <x:c r="J582" s="38"/>
      <x:c r="K582" s="38"/>
    </x:row>
    <x:row r="583" ht="25" customHeight="1">
      <x:c r="A583" s="38"/>
      <x:c r="B583" s="38"/>
      <x:c r="C583" s="38"/>
      <x:c r="D583" s="38"/>
      <x:c r="E583" s="38"/>
      <x:c r="F583" s="38"/>
      <x:c r="G583" s="38"/>
      <x:c r="H583" s="38"/>
      <x:c r="I583" s="41"/>
      <x:c r="J583" s="38"/>
      <x:c r="K583" s="38"/>
    </x:row>
    <x:row r="584" ht="25" customHeight="1">
      <x:c r="A584" s="38"/>
      <x:c r="B584" s="38"/>
      <x:c r="C584" s="38"/>
      <x:c r="D584" s="38"/>
      <x:c r="E584" s="38"/>
      <x:c r="F584" s="38"/>
      <x:c r="G584" s="38"/>
      <x:c r="H584" s="38"/>
      <x:c r="I584" s="41"/>
      <x:c r="J584" s="38"/>
      <x:c r="K584" s="38"/>
    </x:row>
    <x:row r="585" ht="25" customHeight="1">
      <x:c r="A585" s="38"/>
      <x:c r="B585" s="38"/>
      <x:c r="C585" s="38"/>
      <x:c r="D585" s="38"/>
      <x:c r="E585" s="38"/>
      <x:c r="F585" s="38"/>
      <x:c r="G585" s="38"/>
      <x:c r="H585" s="38"/>
      <x:c r="I585" s="41"/>
      <x:c r="J585" s="38"/>
      <x:c r="K585" s="38"/>
    </x:row>
    <x:row r="586" ht="25" customHeight="1">
      <x:c r="A586" s="38"/>
      <x:c r="B586" s="38"/>
      <x:c r="C586" s="38"/>
      <x:c r="D586" s="38"/>
      <x:c r="E586" s="38"/>
      <x:c r="F586" s="38"/>
      <x:c r="G586" s="38"/>
      <x:c r="H586" s="38"/>
      <x:c r="I586" s="41"/>
      <x:c r="J586" s="38"/>
      <x:c r="K586" s="38"/>
    </x:row>
    <x:row r="587" ht="25" customHeight="1">
      <x:c r="A587" s="38"/>
      <x:c r="B587" s="38"/>
      <x:c r="C587" s="38"/>
      <x:c r="D587" s="38"/>
      <x:c r="E587" s="38"/>
      <x:c r="F587" s="38"/>
      <x:c r="G587" s="38"/>
      <x:c r="H587" s="38"/>
      <x:c r="I587" s="41"/>
      <x:c r="J587" s="38"/>
      <x:c r="K587" s="38"/>
    </x:row>
    <x:row r="588" ht="25" customHeight="1">
      <x:c r="A588" s="38"/>
      <x:c r="B588" s="38"/>
      <x:c r="C588" s="38"/>
      <x:c r="D588" s="38"/>
      <x:c r="E588" s="38"/>
      <x:c r="F588" s="38"/>
      <x:c r="G588" s="38"/>
      <x:c r="H588" s="38"/>
      <x:c r="I588" s="41"/>
      <x:c r="J588" s="38"/>
      <x:c r="K588" s="38"/>
    </x:row>
    <x:row r="589" ht="25" customHeight="1">
      <x:c r="A589" s="38"/>
      <x:c r="B589" s="38"/>
      <x:c r="C589" s="38"/>
      <x:c r="D589" s="38"/>
      <x:c r="E589" s="38"/>
      <x:c r="F589" s="38"/>
      <x:c r="G589" s="38"/>
      <x:c r="H589" s="38"/>
      <x:c r="I589" s="41"/>
      <x:c r="J589" s="38"/>
      <x:c r="K589" s="38"/>
    </x:row>
    <x:row r="590" ht="25" customHeight="1">
      <x:c r="A590" s="38"/>
      <x:c r="B590" s="38"/>
      <x:c r="C590" s="38"/>
      <x:c r="D590" s="38"/>
      <x:c r="E590" s="38"/>
      <x:c r="F590" s="38"/>
      <x:c r="G590" s="38"/>
      <x:c r="H590" s="38"/>
      <x:c r="I590" s="41"/>
      <x:c r="J590" s="38"/>
      <x:c r="K590" s="38"/>
    </x:row>
    <x:row r="591" ht="25" customHeight="1">
      <x:c r="A591" s="38"/>
      <x:c r="B591" s="38"/>
      <x:c r="C591" s="38"/>
      <x:c r="D591" s="38"/>
      <x:c r="E591" s="38"/>
      <x:c r="F591" s="38"/>
      <x:c r="G591" s="38"/>
      <x:c r="H591" s="38"/>
      <x:c r="I591" s="41"/>
      <x:c r="J591" s="38"/>
      <x:c r="K591" s="38"/>
    </x:row>
    <x:row r="592" ht="25" customHeight="1">
      <x:c r="A592" s="38"/>
      <x:c r="B592" s="38"/>
      <x:c r="C592" s="38"/>
      <x:c r="D592" s="38"/>
      <x:c r="E592" s="38"/>
      <x:c r="F592" s="38"/>
      <x:c r="G592" s="38"/>
      <x:c r="H592" s="38"/>
      <x:c r="I592" s="41"/>
      <x:c r="J592" s="38"/>
      <x:c r="K592" s="38"/>
    </x:row>
    <x:row r="593" ht="25" customHeight="1">
      <x:c r="A593" s="38"/>
      <x:c r="B593" s="38"/>
      <x:c r="C593" s="38"/>
      <x:c r="D593" s="38"/>
      <x:c r="E593" s="38"/>
      <x:c r="F593" s="38"/>
      <x:c r="G593" s="38"/>
      <x:c r="H593" s="38"/>
      <x:c r="I593" s="41"/>
      <x:c r="J593" s="38"/>
      <x:c r="K593" s="38"/>
    </x:row>
    <x:row r="594" ht="25" customHeight="1">
      <x:c r="A594" s="38"/>
      <x:c r="B594" s="38"/>
      <x:c r="C594" s="38"/>
      <x:c r="D594" s="38"/>
      <x:c r="E594" s="38"/>
      <x:c r="F594" s="38"/>
      <x:c r="G594" s="38"/>
      <x:c r="H594" s="38"/>
      <x:c r="I594" s="41"/>
      <x:c r="J594" s="38"/>
      <x:c r="K594" s="38"/>
    </x:row>
    <x:row r="595" ht="25" customHeight="1">
      <x:c r="A595" s="38"/>
      <x:c r="B595" s="38"/>
      <x:c r="C595" s="38"/>
      <x:c r="D595" s="38"/>
      <x:c r="E595" s="38"/>
      <x:c r="F595" s="38"/>
      <x:c r="G595" s="38"/>
      <x:c r="H595" s="38"/>
      <x:c r="I595" s="41"/>
      <x:c r="J595" s="38"/>
      <x:c r="K595" s="38"/>
    </x:row>
    <x:row r="596" ht="25" customHeight="1">
      <x:c r="A596" s="38"/>
      <x:c r="B596" s="38"/>
      <x:c r="C596" s="38"/>
      <x:c r="D596" s="38"/>
      <x:c r="E596" s="38"/>
      <x:c r="F596" s="38"/>
      <x:c r="G596" s="38"/>
      <x:c r="H596" s="38"/>
      <x:c r="I596" s="41"/>
      <x:c r="J596" s="38"/>
      <x:c r="K596" s="38"/>
    </x:row>
    <x:row r="597" ht="25" customHeight="1">
      <x:c r="A597" s="38"/>
      <x:c r="B597" s="38"/>
      <x:c r="C597" s="38"/>
      <x:c r="D597" s="38"/>
      <x:c r="E597" s="38"/>
      <x:c r="F597" s="38"/>
      <x:c r="G597" s="38"/>
      <x:c r="H597" s="38"/>
      <x:c r="I597" s="41"/>
      <x:c r="J597" s="38"/>
      <x:c r="K597" s="38"/>
    </x:row>
    <x:row r="598" ht="25" customHeight="1">
      <x:c r="A598" s="38"/>
      <x:c r="B598" s="38"/>
      <x:c r="C598" s="38"/>
      <x:c r="D598" s="38"/>
      <x:c r="E598" s="38"/>
      <x:c r="F598" s="38"/>
      <x:c r="G598" s="38"/>
      <x:c r="H598" s="38"/>
      <x:c r="I598" s="41"/>
      <x:c r="J598" s="38"/>
      <x:c r="K598" s="38"/>
    </x:row>
    <x:row r="599" ht="25" customHeight="1">
      <x:c r="A599" s="38"/>
      <x:c r="B599" s="38"/>
      <x:c r="C599" s="38"/>
      <x:c r="D599" s="38"/>
      <x:c r="E599" s="38"/>
      <x:c r="F599" s="38"/>
      <x:c r="G599" s="38"/>
      <x:c r="H599" s="38"/>
      <x:c r="I599" s="41"/>
      <x:c r="J599" s="38"/>
      <x:c r="K599" s="38"/>
    </x:row>
    <x:row r="600" ht="25" customHeight="1">
      <x:c r="A600" s="38"/>
      <x:c r="B600" s="38"/>
      <x:c r="C600" s="38"/>
      <x:c r="D600" s="38"/>
      <x:c r="E600" s="38"/>
      <x:c r="F600" s="38"/>
      <x:c r="G600" s="38"/>
      <x:c r="H600" s="38"/>
      <x:c r="I600" s="41"/>
      <x:c r="J600" s="38"/>
      <x:c r="K600" s="38"/>
    </x:row>
    <x:row r="601" ht="25" customHeight="1">
      <x:c r="A601" s="38"/>
      <x:c r="B601" s="38"/>
      <x:c r="C601" s="38"/>
      <x:c r="D601" s="38"/>
      <x:c r="E601" s="38"/>
      <x:c r="F601" s="38"/>
      <x:c r="G601" s="38"/>
      <x:c r="H601" s="38"/>
      <x:c r="I601" s="41"/>
      <x:c r="J601" s="38"/>
      <x:c r="K601" s="38"/>
    </x:row>
    <x:row r="602" ht="25" customHeight="1">
      <x:c r="A602" s="38"/>
      <x:c r="B602" s="38"/>
      <x:c r="C602" s="38"/>
      <x:c r="D602" s="38"/>
      <x:c r="E602" s="38"/>
      <x:c r="F602" s="38"/>
      <x:c r="G602" s="38"/>
      <x:c r="H602" s="38"/>
      <x:c r="I602" s="41"/>
      <x:c r="J602" s="38"/>
      <x:c r="K602" s="38"/>
    </x:row>
    <x:row r="603" ht="25" customHeight="1">
      <x:c r="A603" s="38"/>
      <x:c r="B603" s="38"/>
      <x:c r="C603" s="38"/>
      <x:c r="D603" s="38"/>
      <x:c r="E603" s="38"/>
      <x:c r="F603" s="38"/>
      <x:c r="G603" s="38"/>
      <x:c r="H603" s="38"/>
      <x:c r="I603" s="41"/>
      <x:c r="J603" s="38"/>
      <x:c r="K603" s="38"/>
    </x:row>
    <x:row r="604" ht="25" customHeight="1">
      <x:c r="A604" s="38"/>
      <x:c r="B604" s="38"/>
      <x:c r="C604" s="38"/>
      <x:c r="D604" s="38"/>
      <x:c r="E604" s="38"/>
      <x:c r="F604" s="38"/>
      <x:c r="G604" s="38"/>
      <x:c r="H604" s="38"/>
      <x:c r="I604" s="41"/>
      <x:c r="J604" s="38"/>
      <x:c r="K604" s="38"/>
    </x:row>
    <x:row r="605" ht="25" customHeight="1">
      <x:c r="A605" s="38"/>
      <x:c r="B605" s="38"/>
      <x:c r="C605" s="38"/>
      <x:c r="D605" s="38"/>
      <x:c r="E605" s="38"/>
      <x:c r="F605" s="38"/>
      <x:c r="G605" s="38"/>
      <x:c r="H605" s="38"/>
      <x:c r="I605" s="41"/>
      <x:c r="J605" s="38"/>
      <x:c r="K605" s="38"/>
    </x:row>
    <x:row r="606" ht="25" customHeight="1">
      <x:c r="A606" s="38"/>
      <x:c r="B606" s="38"/>
      <x:c r="C606" s="38"/>
      <x:c r="D606" s="38"/>
      <x:c r="E606" s="38"/>
      <x:c r="F606" s="38"/>
      <x:c r="G606" s="38"/>
      <x:c r="H606" s="38"/>
      <x:c r="I606" s="41"/>
      <x:c r="J606" s="38"/>
      <x:c r="K606" s="38"/>
    </x:row>
    <x:row r="607" ht="25" customHeight="1">
      <x:c r="A607" s="38"/>
      <x:c r="B607" s="38"/>
      <x:c r="C607" s="38"/>
      <x:c r="D607" s="38"/>
      <x:c r="E607" s="38"/>
      <x:c r="F607" s="38"/>
      <x:c r="G607" s="38"/>
      <x:c r="H607" s="38"/>
      <x:c r="I607" s="41"/>
      <x:c r="J607" s="38"/>
      <x:c r="K607" s="38"/>
    </x:row>
    <x:row r="608" ht="25" customHeight="1">
      <x:c r="A608" s="38"/>
      <x:c r="B608" s="38"/>
      <x:c r="C608" s="38"/>
      <x:c r="D608" s="38"/>
      <x:c r="E608" s="38"/>
      <x:c r="F608" s="38"/>
      <x:c r="G608" s="38"/>
      <x:c r="H608" s="38"/>
      <x:c r="I608" s="41"/>
      <x:c r="J608" s="38"/>
      <x:c r="K608" s="38"/>
    </x:row>
    <x:row r="609" ht="25" customHeight="1">
      <x:c r="A609" s="38"/>
      <x:c r="B609" s="38"/>
      <x:c r="C609" s="38"/>
      <x:c r="D609" s="38"/>
      <x:c r="E609" s="38"/>
      <x:c r="F609" s="38"/>
      <x:c r="G609" s="38"/>
      <x:c r="H609" s="38"/>
      <x:c r="I609" s="41"/>
      <x:c r="J609" s="38"/>
      <x:c r="K609" s="38"/>
    </x:row>
    <x:row r="610" ht="25" customHeight="1">
      <x:c r="A610" s="38"/>
      <x:c r="B610" s="38"/>
      <x:c r="C610" s="38"/>
      <x:c r="D610" s="38"/>
      <x:c r="E610" s="38"/>
      <x:c r="F610" s="38"/>
      <x:c r="G610" s="38"/>
      <x:c r="H610" s="38"/>
      <x:c r="I610" s="41"/>
      <x:c r="J610" s="38"/>
      <x:c r="K610" s="38"/>
    </x:row>
    <x:row r="611" ht="25" customHeight="1">
      <x:c r="A611" s="38"/>
      <x:c r="B611" s="38"/>
      <x:c r="C611" s="38"/>
      <x:c r="D611" s="38"/>
      <x:c r="E611" s="38"/>
      <x:c r="F611" s="38"/>
      <x:c r="G611" s="38"/>
      <x:c r="H611" s="38"/>
      <x:c r="I611" s="41"/>
      <x:c r="J611" s="38"/>
      <x:c r="K611" s="38"/>
    </x:row>
    <x:row r="612" ht="25" customHeight="1">
      <x:c r="A612" s="38"/>
      <x:c r="B612" s="38"/>
      <x:c r="C612" s="38"/>
      <x:c r="D612" s="38"/>
      <x:c r="E612" s="38"/>
      <x:c r="F612" s="38"/>
      <x:c r="G612" s="38"/>
      <x:c r="H612" s="38"/>
      <x:c r="I612" s="41"/>
      <x:c r="J612" s="38"/>
      <x:c r="K612" s="38"/>
    </x:row>
    <x:row r="613" ht="25" customHeight="1">
      <x:c r="A613" s="38"/>
      <x:c r="B613" s="38"/>
      <x:c r="C613" s="38"/>
      <x:c r="D613" s="38"/>
      <x:c r="E613" s="38"/>
      <x:c r="F613" s="38"/>
      <x:c r="G613" s="38"/>
      <x:c r="H613" s="38"/>
      <x:c r="I613" s="41"/>
      <x:c r="J613" s="38"/>
      <x:c r="K613" s="38"/>
    </x:row>
    <x:row r="614" ht="25" customHeight="1">
      <x:c r="A614" s="38"/>
      <x:c r="B614" s="38"/>
      <x:c r="C614" s="38"/>
      <x:c r="D614" s="38"/>
      <x:c r="E614" s="38"/>
      <x:c r="F614" s="38"/>
      <x:c r="G614" s="38"/>
      <x:c r="H614" s="38"/>
      <x:c r="I614" s="41"/>
      <x:c r="J614" s="38"/>
      <x:c r="K614" s="38"/>
    </x:row>
    <x:row r="615" ht="25" customHeight="1">
      <x:c r="A615" s="38"/>
      <x:c r="B615" s="38"/>
      <x:c r="C615" s="38"/>
      <x:c r="D615" s="38"/>
      <x:c r="E615" s="38"/>
      <x:c r="F615" s="38"/>
      <x:c r="G615" s="38"/>
      <x:c r="H615" s="38"/>
      <x:c r="I615" s="41"/>
      <x:c r="J615" s="38"/>
      <x:c r="K615" s="38"/>
    </x:row>
    <x:row r="616" ht="25" customHeight="1">
      <x:c r="A616" s="38"/>
      <x:c r="B616" s="38"/>
      <x:c r="C616" s="38"/>
      <x:c r="D616" s="38"/>
      <x:c r="E616" s="38"/>
      <x:c r="F616" s="38"/>
      <x:c r="G616" s="38"/>
      <x:c r="H616" s="38"/>
      <x:c r="I616" s="41"/>
      <x:c r="J616" s="38"/>
      <x:c r="K616" s="38"/>
    </x:row>
    <x:row r="617" ht="25" customHeight="1">
      <x:c r="A617" s="38"/>
      <x:c r="B617" s="38"/>
      <x:c r="C617" s="38"/>
      <x:c r="D617" s="38"/>
      <x:c r="E617" s="38"/>
      <x:c r="F617" s="38"/>
      <x:c r="G617" s="38"/>
      <x:c r="H617" s="38"/>
      <x:c r="I617" s="41"/>
      <x:c r="J617" s="38"/>
      <x:c r="K617" s="38"/>
    </x:row>
    <x:row r="618" ht="25" customHeight="1">
      <x:c r="A618" s="38"/>
      <x:c r="B618" s="38"/>
      <x:c r="C618" s="38"/>
      <x:c r="D618" s="38"/>
      <x:c r="E618" s="38"/>
      <x:c r="F618" s="38"/>
      <x:c r="G618" s="38"/>
      <x:c r="H618" s="38"/>
      <x:c r="I618" s="41"/>
      <x:c r="J618" s="38"/>
      <x:c r="K618" s="38"/>
    </x:row>
    <x:row r="619" ht="25" customHeight="1">
      <x:c r="A619" s="38"/>
      <x:c r="B619" s="38"/>
      <x:c r="C619" s="38"/>
      <x:c r="D619" s="38"/>
      <x:c r="E619" s="38"/>
      <x:c r="F619" s="38"/>
      <x:c r="G619" s="38"/>
      <x:c r="H619" s="38"/>
      <x:c r="I619" s="41"/>
      <x:c r="J619" s="38"/>
      <x:c r="K619" s="38"/>
    </x:row>
    <x:row r="620" ht="25" customHeight="1">
      <x:c r="A620" s="38"/>
      <x:c r="B620" s="38"/>
      <x:c r="C620" s="38"/>
      <x:c r="D620" s="38"/>
      <x:c r="E620" s="38"/>
      <x:c r="F620" s="38"/>
      <x:c r="G620" s="38"/>
      <x:c r="H620" s="38"/>
      <x:c r="I620" s="41"/>
      <x:c r="J620" s="38"/>
      <x:c r="K620" s="38"/>
    </x:row>
    <x:row r="621" ht="25" customHeight="1">
      <x:c r="A621" s="38"/>
      <x:c r="B621" s="38"/>
      <x:c r="C621" s="38"/>
      <x:c r="D621" s="38"/>
      <x:c r="E621" s="38"/>
      <x:c r="F621" s="38"/>
      <x:c r="G621" s="38"/>
      <x:c r="H621" s="38"/>
      <x:c r="I621" s="41"/>
      <x:c r="J621" s="38"/>
      <x:c r="K621" s="38"/>
    </x:row>
    <x:row r="622" ht="25" customHeight="1">
      <x:c r="A622" s="38"/>
      <x:c r="B622" s="38"/>
      <x:c r="C622" s="38"/>
      <x:c r="D622" s="38"/>
      <x:c r="E622" s="38"/>
      <x:c r="F622" s="38"/>
      <x:c r="G622" s="38"/>
      <x:c r="H622" s="38"/>
      <x:c r="I622" s="41"/>
      <x:c r="J622" s="38"/>
      <x:c r="K622" s="38"/>
    </x:row>
    <x:row r="623" ht="25" customHeight="1">
      <x:c r="A623" s="38"/>
      <x:c r="B623" s="38"/>
      <x:c r="C623" s="38"/>
      <x:c r="D623" s="38"/>
      <x:c r="E623" s="38"/>
      <x:c r="F623" s="38"/>
      <x:c r="G623" s="38"/>
      <x:c r="H623" s="38"/>
      <x:c r="I623" s="41"/>
      <x:c r="J623" s="38"/>
      <x:c r="K623" s="38"/>
    </x:row>
    <x:row r="624" ht="25" customHeight="1">
      <x:c r="A624" s="38"/>
      <x:c r="B624" s="38"/>
      <x:c r="C624" s="38"/>
      <x:c r="D624" s="38"/>
      <x:c r="E624" s="38"/>
      <x:c r="F624" s="38"/>
      <x:c r="G624" s="38"/>
      <x:c r="H624" s="38"/>
      <x:c r="I624" s="41"/>
      <x:c r="J624" s="38"/>
      <x:c r="K624" s="38"/>
    </x:row>
    <x:row r="625" ht="25" customHeight="1">
      <x:c r="A625" s="38"/>
      <x:c r="B625" s="38"/>
      <x:c r="C625" s="38"/>
      <x:c r="D625" s="38"/>
      <x:c r="E625" s="38"/>
      <x:c r="F625" s="38"/>
      <x:c r="G625" s="38"/>
      <x:c r="H625" s="38"/>
      <x:c r="I625" s="41"/>
      <x:c r="J625" s="38"/>
      <x:c r="K625" s="38"/>
    </x:row>
    <x:row r="626" ht="25" customHeight="1">
      <x:c r="A626" s="38"/>
      <x:c r="B626" s="38"/>
      <x:c r="C626" s="38"/>
      <x:c r="D626" s="38"/>
      <x:c r="E626" s="38"/>
      <x:c r="F626" s="38"/>
      <x:c r="G626" s="38"/>
      <x:c r="H626" s="38"/>
      <x:c r="I626" s="41"/>
      <x:c r="J626" s="38"/>
      <x:c r="K626" s="38"/>
    </x:row>
    <x:row r="627" ht="25" customHeight="1">
      <x:c r="A627" s="38"/>
      <x:c r="B627" s="38"/>
      <x:c r="C627" s="38"/>
      <x:c r="D627" s="38"/>
      <x:c r="E627" s="38"/>
      <x:c r="F627" s="38"/>
      <x:c r="G627" s="38"/>
      <x:c r="H627" s="38"/>
      <x:c r="I627" s="41"/>
      <x:c r="J627" s="38"/>
      <x:c r="K627" s="38"/>
    </x:row>
    <x:row r="628" ht="25" customHeight="1">
      <x:c r="A628" s="38"/>
      <x:c r="B628" s="38"/>
      <x:c r="C628" s="38"/>
      <x:c r="D628" s="38"/>
      <x:c r="E628" s="38"/>
      <x:c r="F628" s="38"/>
      <x:c r="G628" s="38"/>
      <x:c r="H628" s="38"/>
      <x:c r="I628" s="41"/>
      <x:c r="J628" s="38"/>
      <x:c r="K628" s="38"/>
    </x:row>
    <x:row r="629" ht="25" customHeight="1">
      <x:c r="A629" s="38"/>
      <x:c r="B629" s="38"/>
      <x:c r="C629" s="38"/>
      <x:c r="D629" s="38"/>
      <x:c r="E629" s="38"/>
      <x:c r="F629" s="38"/>
      <x:c r="G629" s="38"/>
      <x:c r="H629" s="38"/>
      <x:c r="I629" s="41"/>
      <x:c r="J629" s="38"/>
      <x:c r="K629" s="38"/>
    </x:row>
    <x:row r="630" ht="25" customHeight="1">
      <x:c r="A630" s="38"/>
      <x:c r="B630" s="38"/>
      <x:c r="C630" s="38"/>
      <x:c r="D630" s="38"/>
      <x:c r="E630" s="38"/>
      <x:c r="F630" s="38"/>
      <x:c r="G630" s="38"/>
      <x:c r="H630" s="38"/>
      <x:c r="I630" s="41"/>
      <x:c r="J630" s="38"/>
      <x:c r="K630" s="38"/>
    </x:row>
    <x:row r="631" ht="25" customHeight="1">
      <x:c r="A631" s="38"/>
      <x:c r="B631" s="38"/>
      <x:c r="C631" s="38"/>
      <x:c r="D631" s="38"/>
      <x:c r="E631" s="38"/>
      <x:c r="F631" s="38"/>
      <x:c r="G631" s="38"/>
      <x:c r="H631" s="38"/>
      <x:c r="I631" s="41"/>
      <x:c r="J631" s="38"/>
      <x:c r="K631" s="38"/>
    </x:row>
    <x:row r="632" ht="25" customHeight="1">
      <x:c r="A632" s="38"/>
      <x:c r="B632" s="38"/>
      <x:c r="C632" s="38"/>
      <x:c r="D632" s="38"/>
      <x:c r="E632" s="38"/>
      <x:c r="F632" s="38"/>
      <x:c r="G632" s="38"/>
      <x:c r="H632" s="38"/>
      <x:c r="I632" s="41"/>
      <x:c r="J632" s="38"/>
      <x:c r="K632" s="38"/>
    </x:row>
    <x:row r="633" ht="25" customHeight="1">
      <x:c r="A633" s="38"/>
      <x:c r="B633" s="38"/>
      <x:c r="C633" s="38"/>
      <x:c r="D633" s="38"/>
      <x:c r="E633" s="38"/>
      <x:c r="F633" s="38"/>
      <x:c r="G633" s="38"/>
      <x:c r="H633" s="38"/>
      <x:c r="I633" s="41"/>
      <x:c r="J633" s="38"/>
      <x:c r="K633" s="38"/>
    </x:row>
    <x:row r="634" ht="25" customHeight="1">
      <x:c r="A634" s="38"/>
      <x:c r="B634" s="38"/>
      <x:c r="C634" s="38"/>
      <x:c r="D634" s="38"/>
      <x:c r="E634" s="38"/>
      <x:c r="F634" s="38"/>
      <x:c r="G634" s="38"/>
      <x:c r="H634" s="38"/>
      <x:c r="I634" s="41"/>
      <x:c r="J634" s="38"/>
      <x:c r="K634" s="38"/>
    </x:row>
    <x:row r="635" ht="25" customHeight="1">
      <x:c r="A635" s="38"/>
      <x:c r="B635" s="38"/>
      <x:c r="C635" s="38"/>
      <x:c r="D635" s="38"/>
      <x:c r="E635" s="38"/>
      <x:c r="F635" s="38"/>
      <x:c r="G635" s="38"/>
      <x:c r="H635" s="38"/>
      <x:c r="I635" s="41"/>
      <x:c r="J635" s="38"/>
      <x:c r="K635" s="38"/>
    </x:row>
    <x:row r="636" ht="25" customHeight="1">
      <x:c r="A636" s="38"/>
      <x:c r="B636" s="38"/>
      <x:c r="C636" s="38"/>
      <x:c r="D636" s="38"/>
      <x:c r="E636" s="38"/>
      <x:c r="F636" s="38"/>
      <x:c r="G636" s="38"/>
      <x:c r="H636" s="38"/>
      <x:c r="I636" s="41"/>
      <x:c r="J636" s="38"/>
      <x:c r="K636" s="38"/>
    </x:row>
    <x:row r="637" ht="25" customHeight="1">
      <x:c r="A637" s="38"/>
      <x:c r="B637" s="38"/>
      <x:c r="C637" s="38"/>
      <x:c r="D637" s="38"/>
      <x:c r="E637" s="38"/>
      <x:c r="F637" s="38"/>
      <x:c r="G637" s="38"/>
      <x:c r="H637" s="38"/>
      <x:c r="I637" s="41"/>
      <x:c r="J637" s="38"/>
      <x:c r="K637" s="38"/>
    </x:row>
    <x:row r="638" ht="25" customHeight="1">
      <x:c r="A638" s="38"/>
      <x:c r="B638" s="38"/>
      <x:c r="C638" s="38"/>
      <x:c r="D638" s="38"/>
      <x:c r="E638" s="38"/>
      <x:c r="F638" s="38"/>
      <x:c r="G638" s="38"/>
      <x:c r="H638" s="38"/>
      <x:c r="I638" s="41"/>
      <x:c r="J638" s="38"/>
      <x:c r="K638" s="38"/>
    </x:row>
    <x:row r="639" ht="25" customHeight="1">
      <x:c r="A639" s="38"/>
      <x:c r="B639" s="38"/>
      <x:c r="C639" s="38"/>
      <x:c r="D639" s="38"/>
      <x:c r="E639" s="38"/>
      <x:c r="F639" s="38"/>
      <x:c r="G639" s="38"/>
      <x:c r="H639" s="38"/>
      <x:c r="I639" s="41"/>
      <x:c r="J639" s="38"/>
      <x:c r="K639" s="38"/>
    </x:row>
    <x:row r="640" ht="25" customHeight="1">
      <x:c r="A640" s="38"/>
      <x:c r="B640" s="38"/>
      <x:c r="C640" s="38"/>
      <x:c r="D640" s="38"/>
      <x:c r="E640" s="38"/>
      <x:c r="F640" s="38"/>
      <x:c r="G640" s="38"/>
      <x:c r="H640" s="38"/>
      <x:c r="I640" s="41"/>
      <x:c r="J640" s="38"/>
      <x:c r="K640" s="38"/>
    </x:row>
    <x:row r="641" ht="25" customHeight="1">
      <x:c r="A641" s="38"/>
      <x:c r="B641" s="38"/>
      <x:c r="C641" s="38"/>
      <x:c r="D641" s="38"/>
      <x:c r="E641" s="38"/>
      <x:c r="F641" s="38"/>
      <x:c r="G641" s="38"/>
      <x:c r="H641" s="38"/>
      <x:c r="I641" s="41"/>
      <x:c r="J641" s="38"/>
      <x:c r="K641" s="38"/>
    </x:row>
    <x:row r="642" ht="25" customHeight="1">
      <x:c r="A642" s="38"/>
      <x:c r="B642" s="38"/>
      <x:c r="C642" s="38"/>
      <x:c r="D642" s="38"/>
      <x:c r="E642" s="38"/>
      <x:c r="F642" s="38"/>
      <x:c r="G642" s="38"/>
      <x:c r="H642" s="38"/>
      <x:c r="I642" s="41"/>
      <x:c r="J642" s="38"/>
      <x:c r="K642" s="38"/>
    </x:row>
    <x:row r="643" ht="25" customHeight="1">
      <x:c r="A643" s="38"/>
      <x:c r="B643" s="38"/>
      <x:c r="C643" s="38"/>
      <x:c r="D643" s="38"/>
      <x:c r="E643" s="38"/>
      <x:c r="F643" s="38"/>
      <x:c r="G643" s="38"/>
      <x:c r="H643" s="38"/>
      <x:c r="I643" s="41"/>
      <x:c r="J643" s="38"/>
      <x:c r="K643" s="38"/>
    </x:row>
    <x:row r="644" ht="25" customHeight="1">
      <x:c r="A644" s="38"/>
      <x:c r="B644" s="38"/>
      <x:c r="C644" s="38"/>
      <x:c r="D644" s="38"/>
      <x:c r="E644" s="38"/>
      <x:c r="F644" s="38"/>
      <x:c r="G644" s="38"/>
      <x:c r="H644" s="38"/>
      <x:c r="I644" s="41"/>
      <x:c r="J644" s="38"/>
      <x:c r="K644" s="38"/>
    </x:row>
    <x:row r="645" ht="25" customHeight="1">
      <x:c r="A645" s="38"/>
      <x:c r="B645" s="38"/>
      <x:c r="C645" s="38"/>
      <x:c r="D645" s="38"/>
      <x:c r="E645" s="38"/>
      <x:c r="F645" s="38"/>
      <x:c r="G645" s="38"/>
      <x:c r="H645" s="38"/>
      <x:c r="I645" s="41"/>
      <x:c r="J645" s="38"/>
      <x:c r="K645" s="38"/>
    </x:row>
    <x:row r="646" ht="25" customHeight="1">
      <x:c r="A646" s="38"/>
      <x:c r="B646" s="38"/>
      <x:c r="C646" s="38"/>
      <x:c r="D646" s="38"/>
      <x:c r="E646" s="38"/>
      <x:c r="F646" s="38"/>
      <x:c r="G646" s="38"/>
      <x:c r="H646" s="38"/>
      <x:c r="I646" s="41"/>
      <x:c r="J646" s="38"/>
      <x:c r="K646" s="38"/>
    </x:row>
    <x:row r="647" ht="25" customHeight="1">
      <x:c r="A647" s="38"/>
      <x:c r="B647" s="38"/>
      <x:c r="C647" s="38"/>
      <x:c r="D647" s="38"/>
      <x:c r="E647" s="38"/>
      <x:c r="F647" s="38"/>
      <x:c r="G647" s="38"/>
      <x:c r="H647" s="38"/>
      <x:c r="I647" s="41"/>
      <x:c r="J647" s="38"/>
      <x:c r="K647" s="38"/>
    </x:row>
    <x:row r="648" ht="25" customHeight="1">
      <x:c r="A648" s="38"/>
      <x:c r="B648" s="38"/>
      <x:c r="C648" s="38"/>
      <x:c r="D648" s="38"/>
      <x:c r="E648" s="38"/>
      <x:c r="F648" s="38"/>
      <x:c r="G648" s="38"/>
      <x:c r="H648" s="38"/>
      <x:c r="I648" s="41"/>
      <x:c r="J648" s="38"/>
      <x:c r="K648" s="38"/>
    </x:row>
    <x:row r="649" ht="25" customHeight="1">
      <x:c r="A649" s="38"/>
      <x:c r="B649" s="38"/>
      <x:c r="C649" s="38"/>
      <x:c r="D649" s="38"/>
      <x:c r="E649" s="38"/>
      <x:c r="F649" s="38"/>
      <x:c r="G649" s="38"/>
      <x:c r="H649" s="38"/>
      <x:c r="I649" s="41"/>
      <x:c r="J649" s="38"/>
      <x:c r="K649" s="38"/>
    </x:row>
    <x:row r="650" ht="25" customHeight="1">
      <x:c r="A650" s="38"/>
      <x:c r="B650" s="38"/>
      <x:c r="C650" s="38"/>
      <x:c r="D650" s="38"/>
      <x:c r="E650" s="38"/>
      <x:c r="F650" s="38"/>
      <x:c r="G650" s="38"/>
      <x:c r="H650" s="38"/>
      <x:c r="I650" s="41"/>
      <x:c r="J650" s="38"/>
      <x:c r="K650" s="38"/>
    </x:row>
    <x:row r="651" ht="25" customHeight="1">
      <x:c r="A651" s="38"/>
      <x:c r="B651" s="38"/>
      <x:c r="C651" s="38"/>
      <x:c r="D651" s="38"/>
      <x:c r="E651" s="38"/>
      <x:c r="F651" s="38"/>
      <x:c r="G651" s="38"/>
      <x:c r="H651" s="38"/>
      <x:c r="I651" s="41"/>
      <x:c r="J651" s="38"/>
      <x:c r="K651" s="38"/>
    </x:row>
    <x:row r="652" ht="25" customHeight="1">
      <x:c r="A652" s="38"/>
      <x:c r="B652" s="38"/>
      <x:c r="C652" s="38"/>
      <x:c r="D652" s="38"/>
      <x:c r="E652" s="38"/>
      <x:c r="F652" s="38"/>
      <x:c r="G652" s="38"/>
      <x:c r="H652" s="38"/>
      <x:c r="I652" s="41"/>
      <x:c r="J652" s="38"/>
      <x:c r="K652" s="38"/>
    </x:row>
    <x:row r="653" ht="25" customHeight="1">
      <x:c r="A653" s="38"/>
      <x:c r="B653" s="38"/>
      <x:c r="C653" s="38"/>
      <x:c r="D653" s="38"/>
      <x:c r="E653" s="38"/>
      <x:c r="F653" s="38"/>
      <x:c r="G653" s="38"/>
      <x:c r="H653" s="38"/>
      <x:c r="I653" s="41"/>
      <x:c r="J653" s="38"/>
      <x:c r="K653" s="38"/>
    </x:row>
    <x:row r="654" ht="25" customHeight="1">
      <x:c r="A654" s="38"/>
      <x:c r="B654" s="38"/>
      <x:c r="C654" s="38"/>
      <x:c r="D654" s="38"/>
      <x:c r="E654" s="38"/>
      <x:c r="F654" s="38"/>
      <x:c r="G654" s="38"/>
      <x:c r="H654" s="38"/>
      <x:c r="I654" s="41"/>
      <x:c r="J654" s="38"/>
      <x:c r="K654" s="38"/>
    </x:row>
    <x:row r="655" ht="25" customHeight="1">
      <x:c r="A655" s="38"/>
      <x:c r="B655" s="38"/>
      <x:c r="C655" s="38"/>
      <x:c r="D655" s="38"/>
      <x:c r="E655" s="38"/>
      <x:c r="F655" s="38"/>
      <x:c r="G655" s="38"/>
      <x:c r="H655" s="38"/>
      <x:c r="I655" s="41"/>
      <x:c r="J655" s="38"/>
      <x:c r="K655" s="38"/>
    </x:row>
    <x:row r="656" ht="25" customHeight="1">
      <x:c r="A656" s="38"/>
      <x:c r="B656" s="38"/>
      <x:c r="C656" s="38"/>
      <x:c r="D656" s="38"/>
      <x:c r="E656" s="38"/>
      <x:c r="F656" s="38"/>
      <x:c r="G656" s="38"/>
      <x:c r="H656" s="38"/>
      <x:c r="I656" s="41"/>
      <x:c r="J656" s="38"/>
      <x:c r="K656" s="38"/>
    </x:row>
    <x:row r="657" ht="25" customHeight="1">
      <x:c r="A657" s="38"/>
      <x:c r="B657" s="38"/>
      <x:c r="C657" s="38"/>
      <x:c r="D657" s="38"/>
      <x:c r="E657" s="38"/>
      <x:c r="F657" s="38"/>
      <x:c r="G657" s="38"/>
      <x:c r="H657" s="38"/>
      <x:c r="I657" s="41"/>
      <x:c r="J657" s="38"/>
      <x:c r="K657" s="38"/>
    </x:row>
    <x:row r="658" ht="25" customHeight="1">
      <x:c r="A658" s="38"/>
      <x:c r="B658" s="38"/>
      <x:c r="C658" s="38"/>
      <x:c r="D658" s="38"/>
      <x:c r="E658" s="38"/>
      <x:c r="F658" s="38"/>
      <x:c r="G658" s="38"/>
      <x:c r="H658" s="38"/>
      <x:c r="I658" s="41"/>
      <x:c r="J658" s="38"/>
      <x:c r="K658" s="38"/>
    </x:row>
    <x:row r="659" ht="25" customHeight="1">
      <x:c r="A659" s="38"/>
      <x:c r="B659" s="38"/>
      <x:c r="C659" s="38"/>
      <x:c r="D659" s="38"/>
      <x:c r="E659" s="38"/>
      <x:c r="F659" s="38"/>
      <x:c r="G659" s="38"/>
      <x:c r="H659" s="38"/>
      <x:c r="I659" s="41"/>
      <x:c r="J659" s="38"/>
      <x:c r="K659" s="38"/>
    </x:row>
    <x:row r="660" ht="25" customHeight="1">
      <x:c r="A660" s="38"/>
      <x:c r="B660" s="38"/>
      <x:c r="C660" s="38"/>
      <x:c r="D660" s="38"/>
      <x:c r="E660" s="38"/>
      <x:c r="F660" s="38"/>
      <x:c r="G660" s="38"/>
      <x:c r="H660" s="38"/>
      <x:c r="I660" s="41"/>
      <x:c r="J660" s="38"/>
      <x:c r="K660" s="38"/>
    </x:row>
    <x:row r="661" ht="25" customHeight="1">
      <x:c r="A661" s="38"/>
      <x:c r="B661" s="38"/>
      <x:c r="C661" s="38"/>
      <x:c r="D661" s="38"/>
      <x:c r="E661" s="38"/>
      <x:c r="F661" s="38"/>
      <x:c r="G661" s="38"/>
      <x:c r="H661" s="38"/>
      <x:c r="I661" s="41"/>
      <x:c r="J661" s="38"/>
      <x:c r="K661" s="38"/>
    </x:row>
    <x:row r="662" ht="25" customHeight="1">
      <x:c r="A662" s="38"/>
      <x:c r="B662" s="38"/>
      <x:c r="C662" s="38"/>
      <x:c r="D662" s="38"/>
      <x:c r="E662" s="38"/>
      <x:c r="F662" s="38"/>
      <x:c r="G662" s="38"/>
      <x:c r="H662" s="38"/>
      <x:c r="I662" s="41"/>
      <x:c r="J662" s="38"/>
      <x:c r="K662" s="38"/>
    </x:row>
    <x:row r="663" ht="25" customHeight="1">
      <x:c r="A663" s="38"/>
      <x:c r="B663" s="38"/>
      <x:c r="C663" s="38"/>
      <x:c r="D663" s="38"/>
      <x:c r="E663" s="38"/>
      <x:c r="F663" s="38"/>
      <x:c r="G663" s="38"/>
      <x:c r="H663" s="38"/>
      <x:c r="I663" s="41"/>
      <x:c r="J663" s="38"/>
      <x:c r="K663" s="38"/>
    </x:row>
    <x:row r="664" ht="25" customHeight="1">
      <x:c r="A664" s="38"/>
      <x:c r="B664" s="38"/>
      <x:c r="C664" s="38"/>
      <x:c r="D664" s="38"/>
      <x:c r="E664" s="38"/>
      <x:c r="F664" s="38"/>
      <x:c r="G664" s="38"/>
      <x:c r="H664" s="38"/>
      <x:c r="I664" s="41"/>
      <x:c r="J664" s="38"/>
      <x:c r="K664" s="38"/>
    </x:row>
    <x:row r="665" ht="25" customHeight="1">
      <x:c r="A665" s="38"/>
      <x:c r="B665" s="38"/>
      <x:c r="C665" s="38"/>
      <x:c r="D665" s="38"/>
      <x:c r="E665" s="38"/>
      <x:c r="F665" s="38"/>
      <x:c r="G665" s="38"/>
      <x:c r="H665" s="38"/>
      <x:c r="I665" s="41"/>
      <x:c r="J665" s="38"/>
      <x:c r="K665" s="38"/>
    </x:row>
    <x:row r="666" ht="25" customHeight="1">
      <x:c r="A666" s="38"/>
      <x:c r="B666" s="38"/>
      <x:c r="C666" s="38"/>
      <x:c r="D666" s="38"/>
      <x:c r="E666" s="38"/>
      <x:c r="F666" s="38"/>
      <x:c r="G666" s="38"/>
      <x:c r="H666" s="38"/>
      <x:c r="I666" s="41"/>
      <x:c r="J666" s="38"/>
      <x:c r="K666" s="38"/>
    </x:row>
    <x:row r="667" ht="25" customHeight="1">
      <x:c r="A667" s="38"/>
      <x:c r="B667" s="38"/>
      <x:c r="C667" s="38"/>
      <x:c r="D667" s="38"/>
      <x:c r="E667" s="38"/>
      <x:c r="F667" s="38"/>
      <x:c r="G667" s="38"/>
      <x:c r="H667" s="38"/>
      <x:c r="I667" s="41"/>
      <x:c r="J667" s="38"/>
      <x:c r="K667" s="38"/>
    </x:row>
    <x:row r="668" ht="25" customHeight="1">
      <x:c r="A668" s="38"/>
      <x:c r="B668" s="38"/>
      <x:c r="C668" s="38"/>
      <x:c r="D668" s="38"/>
      <x:c r="E668" s="38"/>
      <x:c r="F668" s="38"/>
      <x:c r="G668" s="38"/>
      <x:c r="H668" s="38"/>
      <x:c r="I668" s="41"/>
      <x:c r="J668" s="38"/>
      <x:c r="K668" s="38"/>
    </x:row>
    <x:row r="669" ht="25" customHeight="1">
      <x:c r="A669" s="38"/>
      <x:c r="B669" s="38"/>
      <x:c r="C669" s="38"/>
      <x:c r="D669" s="38"/>
      <x:c r="E669" s="38"/>
      <x:c r="F669" s="38"/>
      <x:c r="G669" s="38"/>
      <x:c r="H669" s="38"/>
      <x:c r="I669" s="41"/>
      <x:c r="J669" s="38"/>
      <x:c r="K669" s="38"/>
    </x:row>
    <x:row r="670" ht="25" customHeight="1">
      <x:c r="A670" s="38"/>
      <x:c r="B670" s="38"/>
      <x:c r="C670" s="38"/>
      <x:c r="D670" s="38"/>
      <x:c r="E670" s="38"/>
      <x:c r="F670" s="38"/>
      <x:c r="G670" s="38"/>
      <x:c r="H670" s="38"/>
      <x:c r="I670" s="41"/>
      <x:c r="J670" s="38"/>
      <x:c r="K670" s="38"/>
    </x:row>
    <x:row r="671" ht="25" customHeight="1">
      <x:c r="A671" s="38"/>
      <x:c r="B671" s="38"/>
      <x:c r="C671" s="38"/>
      <x:c r="D671" s="38"/>
      <x:c r="E671" s="38"/>
      <x:c r="F671" s="38"/>
      <x:c r="G671" s="38"/>
      <x:c r="H671" s="38"/>
      <x:c r="I671" s="41"/>
      <x:c r="J671" s="38"/>
      <x:c r="K671" s="38"/>
    </x:row>
    <x:row r="672" ht="25" customHeight="1">
      <x:c r="A672" s="38"/>
      <x:c r="B672" s="38"/>
      <x:c r="C672" s="38"/>
      <x:c r="D672" s="38"/>
      <x:c r="E672" s="38"/>
      <x:c r="F672" s="38"/>
      <x:c r="G672" s="38"/>
      <x:c r="H672" s="38"/>
      <x:c r="I672" s="41"/>
      <x:c r="J672" s="38"/>
      <x:c r="K672" s="38"/>
    </x:row>
    <x:row r="673" ht="25" customHeight="1">
      <x:c r="A673" s="38"/>
      <x:c r="B673" s="38"/>
      <x:c r="C673" s="38"/>
      <x:c r="D673" s="38"/>
      <x:c r="E673" s="38"/>
      <x:c r="F673" s="38"/>
      <x:c r="G673" s="38"/>
      <x:c r="H673" s="38"/>
      <x:c r="I673" s="41"/>
      <x:c r="J673" s="38"/>
      <x:c r="K673" s="38"/>
    </x:row>
    <x:row r="674" ht="25" customHeight="1">
      <x:c r="A674" s="38"/>
      <x:c r="B674" s="38"/>
      <x:c r="C674" s="38"/>
      <x:c r="D674" s="38"/>
      <x:c r="E674" s="38"/>
      <x:c r="F674" s="38"/>
      <x:c r="G674" s="38"/>
      <x:c r="H674" s="38"/>
      <x:c r="I674" s="41"/>
      <x:c r="J674" s="38"/>
      <x:c r="K674" s="38"/>
    </x:row>
    <x:row r="675" ht="25" customHeight="1">
      <x:c r="A675" s="38"/>
      <x:c r="B675" s="38"/>
      <x:c r="C675" s="38"/>
      <x:c r="D675" s="38"/>
      <x:c r="E675" s="38"/>
      <x:c r="F675" s="38"/>
      <x:c r="G675" s="38"/>
      <x:c r="H675" s="38"/>
      <x:c r="I675" s="41"/>
      <x:c r="J675" s="38"/>
      <x:c r="K675" s="38"/>
    </x:row>
    <x:row r="676" ht="25" customHeight="1">
      <x:c r="A676" s="38"/>
      <x:c r="B676" s="38"/>
      <x:c r="C676" s="38"/>
      <x:c r="D676" s="38"/>
      <x:c r="E676" s="38"/>
      <x:c r="F676" s="38"/>
      <x:c r="G676" s="38"/>
      <x:c r="H676" s="38"/>
      <x:c r="I676" s="41"/>
      <x:c r="J676" s="38"/>
      <x:c r="K676" s="38"/>
    </x:row>
    <x:row r="677" ht="25" customHeight="1">
      <x:c r="A677" s="38"/>
      <x:c r="B677" s="38"/>
      <x:c r="C677" s="38"/>
      <x:c r="D677" s="38"/>
      <x:c r="E677" s="38"/>
      <x:c r="F677" s="38"/>
      <x:c r="G677" s="38"/>
      <x:c r="H677" s="38"/>
      <x:c r="I677" s="41"/>
      <x:c r="J677" s="38"/>
      <x:c r="K677" s="38"/>
    </x:row>
    <x:row r="678" ht="25" customHeight="1">
      <x:c r="A678" s="38"/>
      <x:c r="B678" s="38"/>
      <x:c r="C678" s="38"/>
      <x:c r="D678" s="38"/>
      <x:c r="E678" s="38"/>
      <x:c r="F678" s="38"/>
      <x:c r="G678" s="38"/>
      <x:c r="H678" s="38"/>
      <x:c r="I678" s="41"/>
      <x:c r="J678" s="38"/>
      <x:c r="K678" s="38"/>
    </x:row>
    <x:row r="679" ht="25" customHeight="1">
      <x:c r="A679" s="38"/>
      <x:c r="B679" s="38"/>
      <x:c r="C679" s="38"/>
      <x:c r="D679" s="38"/>
      <x:c r="E679" s="38"/>
      <x:c r="F679" s="38"/>
      <x:c r="G679" s="38"/>
      <x:c r="H679" s="38"/>
      <x:c r="I679" s="41"/>
      <x:c r="J679" s="38"/>
      <x:c r="K679" s="38"/>
    </x:row>
    <x:row r="680" ht="25" customHeight="1">
      <x:c r="A680" s="38"/>
      <x:c r="B680" s="38"/>
      <x:c r="C680" s="38"/>
      <x:c r="D680" s="38"/>
      <x:c r="E680" s="38"/>
      <x:c r="F680" s="38"/>
      <x:c r="G680" s="38"/>
      <x:c r="H680" s="38"/>
      <x:c r="I680" s="41"/>
      <x:c r="J680" s="38"/>
      <x:c r="K680" s="38"/>
    </x:row>
    <x:row r="681" ht="25" customHeight="1">
      <x:c r="A681" s="38"/>
      <x:c r="B681" s="38"/>
      <x:c r="C681" s="38"/>
      <x:c r="D681" s="38"/>
      <x:c r="E681" s="38"/>
      <x:c r="F681" s="38"/>
      <x:c r="G681" s="38"/>
      <x:c r="H681" s="38"/>
      <x:c r="I681" s="41"/>
      <x:c r="J681" s="38"/>
      <x:c r="K681" s="38"/>
    </x:row>
    <x:row r="682" ht="25" customHeight="1">
      <x:c r="A682" s="38"/>
      <x:c r="B682" s="38"/>
      <x:c r="C682" s="38"/>
      <x:c r="D682" s="38"/>
      <x:c r="E682" s="38"/>
      <x:c r="F682" s="38"/>
      <x:c r="G682" s="38"/>
      <x:c r="H682" s="38"/>
      <x:c r="I682" s="41"/>
      <x:c r="J682" s="38"/>
      <x:c r="K682" s="38"/>
    </x:row>
    <x:row r="683" ht="25" customHeight="1">
      <x:c r="A683" s="38"/>
      <x:c r="B683" s="38"/>
      <x:c r="C683" s="38"/>
      <x:c r="D683" s="38"/>
      <x:c r="E683" s="38"/>
      <x:c r="F683" s="38"/>
      <x:c r="G683" s="38"/>
      <x:c r="H683" s="38"/>
      <x:c r="I683" s="41"/>
      <x:c r="J683" s="38"/>
      <x:c r="K683" s="38"/>
    </x:row>
    <x:row r="684" ht="25" customHeight="1">
      <x:c r="A684" s="38"/>
      <x:c r="B684" s="38"/>
      <x:c r="C684" s="38"/>
      <x:c r="D684" s="38"/>
      <x:c r="E684" s="38"/>
      <x:c r="F684" s="38"/>
      <x:c r="G684" s="38"/>
      <x:c r="H684" s="38"/>
      <x:c r="I684" s="41"/>
      <x:c r="J684" s="38"/>
      <x:c r="K684" s="38"/>
    </x:row>
    <x:row r="685" ht="25" customHeight="1">
      <x:c r="A685" s="38"/>
      <x:c r="B685" s="38"/>
      <x:c r="C685" s="38"/>
      <x:c r="D685" s="38"/>
      <x:c r="E685" s="38"/>
      <x:c r="F685" s="38"/>
      <x:c r="G685" s="38"/>
      <x:c r="H685" s="38"/>
      <x:c r="I685" s="41"/>
      <x:c r="J685" s="38"/>
      <x:c r="K685" s="38"/>
    </x:row>
    <x:row r="686" ht="25" customHeight="1">
      <x:c r="A686" s="38"/>
      <x:c r="B686" s="38"/>
      <x:c r="C686" s="38"/>
      <x:c r="D686" s="38"/>
      <x:c r="E686" s="38"/>
      <x:c r="F686" s="38"/>
      <x:c r="G686" s="38"/>
      <x:c r="H686" s="38"/>
      <x:c r="I686" s="41"/>
      <x:c r="J686" s="38"/>
      <x:c r="K686" s="38"/>
    </x:row>
    <x:row r="687" ht="25" customHeight="1">
      <x:c r="A687" s="38"/>
      <x:c r="B687" s="38"/>
      <x:c r="C687" s="38"/>
      <x:c r="D687" s="38"/>
      <x:c r="E687" s="38"/>
      <x:c r="F687" s="38"/>
      <x:c r="G687" s="38"/>
      <x:c r="H687" s="38"/>
      <x:c r="I687" s="41"/>
      <x:c r="J687" s="38"/>
      <x:c r="K687" s="38"/>
    </x:row>
    <x:row r="688" ht="25" customHeight="1">
      <x:c r="A688" s="38"/>
      <x:c r="B688" s="38"/>
      <x:c r="C688" s="38"/>
      <x:c r="D688" s="38"/>
      <x:c r="E688" s="38"/>
      <x:c r="F688" s="38"/>
      <x:c r="G688" s="38"/>
      <x:c r="H688" s="38"/>
      <x:c r="I688" s="41"/>
      <x:c r="J688" s="38"/>
      <x:c r="K688" s="38"/>
    </x:row>
    <x:row r="689" ht="25" customHeight="1">
      <x:c r="A689" s="38"/>
      <x:c r="B689" s="38"/>
      <x:c r="C689" s="38"/>
      <x:c r="D689" s="38"/>
      <x:c r="E689" s="38"/>
      <x:c r="F689" s="38"/>
      <x:c r="G689" s="38"/>
      <x:c r="H689" s="38"/>
      <x:c r="I689" s="41"/>
      <x:c r="J689" s="38"/>
      <x:c r="K689" s="38"/>
    </x:row>
    <x:row r="690" ht="25" customHeight="1">
      <x:c r="A690" s="38"/>
      <x:c r="B690" s="38"/>
      <x:c r="C690" s="38"/>
      <x:c r="D690" s="38"/>
      <x:c r="E690" s="38"/>
      <x:c r="F690" s="38"/>
      <x:c r="G690" s="38"/>
      <x:c r="H690" s="38"/>
      <x:c r="I690" s="41"/>
      <x:c r="J690" s="38"/>
      <x:c r="K690" s="38"/>
    </x:row>
    <x:row r="691" ht="25" customHeight="1">
      <x:c r="A691" s="38"/>
      <x:c r="B691" s="38"/>
      <x:c r="C691" s="38"/>
      <x:c r="D691" s="38"/>
      <x:c r="E691" s="38"/>
      <x:c r="F691" s="38"/>
      <x:c r="G691" s="38"/>
      <x:c r="H691" s="38"/>
      <x:c r="I691" s="41"/>
      <x:c r="J691" s="38"/>
      <x:c r="K691" s="38"/>
    </x:row>
    <x:row r="692" ht="25" customHeight="1">
      <x:c r="A692" s="38"/>
      <x:c r="B692" s="38"/>
      <x:c r="C692" s="38"/>
      <x:c r="D692" s="38"/>
      <x:c r="E692" s="38"/>
      <x:c r="F692" s="38"/>
      <x:c r="G692" s="38"/>
      <x:c r="H692" s="38"/>
      <x:c r="I692" s="41"/>
      <x:c r="J692" s="38"/>
      <x:c r="K692" s="38"/>
    </x:row>
    <x:row r="693" ht="25" customHeight="1">
      <x:c r="A693" s="38"/>
      <x:c r="B693" s="38"/>
      <x:c r="C693" s="38"/>
      <x:c r="D693" s="38"/>
      <x:c r="E693" s="38"/>
      <x:c r="F693" s="38"/>
      <x:c r="G693" s="38"/>
      <x:c r="H693" s="38"/>
      <x:c r="I693" s="41"/>
      <x:c r="J693" s="38"/>
      <x:c r="K693" s="38"/>
    </x:row>
    <x:row r="694" ht="25" customHeight="1">
      <x:c r="A694" s="38"/>
      <x:c r="B694" s="38"/>
      <x:c r="C694" s="38"/>
      <x:c r="D694" s="38"/>
      <x:c r="E694" s="38"/>
      <x:c r="F694" s="38"/>
      <x:c r="G694" s="38"/>
      <x:c r="H694" s="38"/>
      <x:c r="I694" s="41"/>
      <x:c r="J694" s="38"/>
      <x:c r="K694" s="38"/>
    </x:row>
    <x:row r="695" ht="25" customHeight="1">
      <x:c r="A695" s="38"/>
      <x:c r="B695" s="38"/>
      <x:c r="C695" s="38"/>
      <x:c r="D695" s="38"/>
      <x:c r="E695" s="38"/>
      <x:c r="F695" s="38"/>
      <x:c r="G695" s="38"/>
      <x:c r="H695" s="38"/>
      <x:c r="I695" s="41"/>
      <x:c r="J695" s="38"/>
      <x:c r="K695" s="38"/>
    </x:row>
    <x:row r="696" ht="25" customHeight="1">
      <x:c r="A696" s="38"/>
      <x:c r="B696" s="38"/>
      <x:c r="C696" s="38"/>
      <x:c r="D696" s="38"/>
      <x:c r="E696" s="38"/>
      <x:c r="F696" s="38"/>
      <x:c r="G696" s="38"/>
      <x:c r="H696" s="38"/>
      <x:c r="I696" s="41"/>
      <x:c r="J696" s="38"/>
      <x:c r="K696" s="38"/>
    </x:row>
    <x:row r="697" ht="25" customHeight="1">
      <x:c r="A697" s="38"/>
      <x:c r="B697" s="38"/>
      <x:c r="C697" s="38"/>
      <x:c r="D697" s="38"/>
      <x:c r="E697" s="38"/>
      <x:c r="F697" s="38"/>
      <x:c r="G697" s="38"/>
      <x:c r="H697" s="38"/>
      <x:c r="I697" s="41"/>
      <x:c r="J697" s="38"/>
      <x:c r="K697" s="38"/>
    </x:row>
    <x:row r="698" ht="25" customHeight="1">
      <x:c r="A698" s="38"/>
      <x:c r="B698" s="38"/>
      <x:c r="C698" s="38"/>
      <x:c r="D698" s="38"/>
      <x:c r="E698" s="38"/>
      <x:c r="F698" s="38"/>
      <x:c r="G698" s="38"/>
      <x:c r="H698" s="38"/>
      <x:c r="I698" s="41"/>
      <x:c r="J698" s="38"/>
      <x:c r="K698" s="38"/>
    </x:row>
    <x:row r="699" ht="25" customHeight="1">
      <x:c r="A699" s="38"/>
      <x:c r="B699" s="38"/>
      <x:c r="C699" s="38"/>
      <x:c r="D699" s="38"/>
      <x:c r="E699" s="38"/>
      <x:c r="F699" s="38"/>
      <x:c r="G699" s="38"/>
      <x:c r="H699" s="38"/>
      <x:c r="I699" s="41"/>
      <x:c r="J699" s="38"/>
      <x:c r="K699" s="38"/>
    </x:row>
    <x:row r="700" ht="25" customHeight="1">
      <x:c r="A700" s="38"/>
      <x:c r="B700" s="38"/>
      <x:c r="C700" s="38"/>
      <x:c r="D700" s="38"/>
      <x:c r="E700" s="38"/>
      <x:c r="F700" s="38"/>
      <x:c r="G700" s="38"/>
      <x:c r="H700" s="38"/>
      <x:c r="I700" s="41"/>
      <x:c r="J700" s="38"/>
      <x:c r="K700" s="38"/>
    </x:row>
    <x:row r="701" ht="25" customHeight="1">
      <x:c r="A701" s="38"/>
      <x:c r="B701" s="38"/>
      <x:c r="C701" s="38"/>
      <x:c r="D701" s="38"/>
      <x:c r="E701" s="38"/>
      <x:c r="F701" s="38"/>
      <x:c r="G701" s="38"/>
      <x:c r="H701" s="38"/>
      <x:c r="I701" s="41"/>
      <x:c r="J701" s="38"/>
      <x:c r="K701" s="38"/>
    </x:row>
    <x:row r="702" ht="25" customHeight="1">
      <x:c r="A702" s="38"/>
      <x:c r="B702" s="38"/>
      <x:c r="C702" s="38"/>
      <x:c r="D702" s="38"/>
      <x:c r="E702" s="38"/>
      <x:c r="F702" s="38"/>
      <x:c r="G702" s="38"/>
      <x:c r="H702" s="38"/>
      <x:c r="I702" s="41"/>
      <x:c r="J702" s="38"/>
      <x:c r="K702" s="38"/>
    </x:row>
    <x:row r="703" ht="25" customHeight="1">
      <x:c r="A703" s="38"/>
      <x:c r="B703" s="38"/>
      <x:c r="C703" s="38"/>
      <x:c r="D703" s="38"/>
      <x:c r="E703" s="38"/>
      <x:c r="F703" s="38"/>
      <x:c r="G703" s="38"/>
      <x:c r="H703" s="38"/>
      <x:c r="I703" s="41"/>
      <x:c r="J703" s="38"/>
      <x:c r="K703" s="38"/>
    </x:row>
    <x:row r="704" ht="25" customHeight="1">
      <x:c r="A704" s="38"/>
      <x:c r="B704" s="38"/>
      <x:c r="C704" s="38"/>
      <x:c r="D704" s="38"/>
      <x:c r="E704" s="38"/>
      <x:c r="F704" s="38"/>
      <x:c r="G704" s="38"/>
      <x:c r="H704" s="38"/>
      <x:c r="I704" s="41"/>
      <x:c r="J704" s="38"/>
      <x:c r="K704" s="38"/>
    </x:row>
    <x:row r="705" ht="25" customHeight="1">
      <x:c r="A705" s="38"/>
      <x:c r="B705" s="38"/>
      <x:c r="C705" s="38"/>
      <x:c r="D705" s="38"/>
      <x:c r="E705" s="38"/>
      <x:c r="F705" s="38"/>
      <x:c r="G705" s="38"/>
      <x:c r="H705" s="38"/>
      <x:c r="I705" s="41"/>
      <x:c r="J705" s="38"/>
      <x:c r="K705" s="38"/>
    </x:row>
    <x:row r="706" ht="25" customHeight="1">
      <x:c r="A706" s="38"/>
      <x:c r="B706" s="38"/>
      <x:c r="C706" s="38"/>
      <x:c r="D706" s="38"/>
      <x:c r="E706" s="38"/>
      <x:c r="F706" s="38"/>
      <x:c r="G706" s="38"/>
      <x:c r="H706" s="38"/>
      <x:c r="I706" s="41"/>
      <x:c r="J706" s="38"/>
      <x:c r="K706" s="38"/>
    </x:row>
    <x:row r="707" ht="25" customHeight="1">
      <x:c r="A707" s="38"/>
      <x:c r="B707" s="38"/>
      <x:c r="C707" s="38"/>
      <x:c r="D707" s="38"/>
      <x:c r="E707" s="38"/>
      <x:c r="F707" s="38"/>
      <x:c r="G707" s="38"/>
      <x:c r="H707" s="38"/>
      <x:c r="I707" s="41"/>
      <x:c r="J707" s="38"/>
      <x:c r="K707" s="38"/>
    </x:row>
    <x:row r="708" ht="25" customHeight="1">
      <x:c r="A708" s="38"/>
      <x:c r="B708" s="38"/>
      <x:c r="C708" s="38"/>
      <x:c r="D708" s="38"/>
      <x:c r="E708" s="38"/>
      <x:c r="F708" s="38"/>
      <x:c r="G708" s="38"/>
      <x:c r="H708" s="38"/>
      <x:c r="I708" s="41"/>
      <x:c r="J708" s="38"/>
      <x:c r="K708" s="38"/>
    </x:row>
    <x:row r="709" ht="25" customHeight="1">
      <x:c r="A709" s="38"/>
      <x:c r="B709" s="38"/>
      <x:c r="C709" s="38"/>
      <x:c r="D709" s="38"/>
      <x:c r="E709" s="38"/>
      <x:c r="F709" s="38"/>
      <x:c r="G709" s="38"/>
      <x:c r="H709" s="38"/>
      <x:c r="I709" s="41"/>
      <x:c r="J709" s="38"/>
      <x:c r="K709" s="38"/>
    </x:row>
    <x:row r="710" ht="25" customHeight="1">
      <x:c r="A710" s="38"/>
      <x:c r="B710" s="38"/>
      <x:c r="C710" s="38"/>
      <x:c r="D710" s="38"/>
      <x:c r="E710" s="38"/>
      <x:c r="F710" s="38"/>
      <x:c r="G710" s="38"/>
      <x:c r="H710" s="38"/>
      <x:c r="I710" s="41"/>
      <x:c r="J710" s="38"/>
      <x:c r="K710" s="38"/>
    </x:row>
    <x:row r="711" ht="25" customHeight="1">
      <x:c r="A711" s="38"/>
      <x:c r="B711" s="38"/>
      <x:c r="C711" s="38"/>
      <x:c r="D711" s="38"/>
      <x:c r="E711" s="38"/>
      <x:c r="F711" s="38"/>
      <x:c r="G711" s="38"/>
      <x:c r="H711" s="38"/>
      <x:c r="I711" s="41"/>
      <x:c r="J711" s="38"/>
      <x:c r="K711" s="38"/>
    </x:row>
    <x:row r="712" ht="25" customHeight="1">
      <x:c r="A712" s="38"/>
      <x:c r="B712" s="38"/>
      <x:c r="C712" s="38"/>
      <x:c r="D712" s="38"/>
      <x:c r="E712" s="38"/>
      <x:c r="F712" s="38"/>
      <x:c r="G712" s="38"/>
      <x:c r="H712" s="38"/>
      <x:c r="I712" s="41"/>
      <x:c r="J712" s="38"/>
      <x:c r="K712" s="38"/>
    </x:row>
    <x:row r="713" ht="25" customHeight="1">
      <x:c r="A713" s="38"/>
      <x:c r="B713" s="38"/>
      <x:c r="C713" s="38"/>
      <x:c r="D713" s="38"/>
      <x:c r="E713" s="38"/>
      <x:c r="F713" s="38"/>
      <x:c r="G713" s="38"/>
      <x:c r="H713" s="38"/>
      <x:c r="I713" s="41"/>
      <x:c r="J713" s="38"/>
      <x:c r="K713" s="38"/>
    </x:row>
    <x:row r="714" ht="25" customHeight="1">
      <x:c r="A714" s="38"/>
      <x:c r="B714" s="38"/>
      <x:c r="C714" s="38"/>
      <x:c r="D714" s="38"/>
      <x:c r="E714" s="38"/>
      <x:c r="F714" s="38"/>
      <x:c r="G714" s="38"/>
      <x:c r="H714" s="38"/>
      <x:c r="I714" s="41"/>
      <x:c r="J714" s="38"/>
      <x:c r="K714" s="38"/>
    </x:row>
    <x:row r="715" ht="25" customHeight="1">
      <x:c r="A715" s="38"/>
      <x:c r="B715" s="38"/>
      <x:c r="C715" s="38"/>
      <x:c r="D715" s="38"/>
      <x:c r="E715" s="38"/>
      <x:c r="F715" s="38"/>
      <x:c r="G715" s="38"/>
      <x:c r="H715" s="38"/>
      <x:c r="I715" s="41"/>
      <x:c r="J715" s="38"/>
      <x:c r="K715" s="38"/>
    </x:row>
    <x:row r="716" ht="25" customHeight="1">
      <x:c r="A716" s="38"/>
      <x:c r="B716" s="38"/>
      <x:c r="C716" s="38"/>
      <x:c r="D716" s="38"/>
      <x:c r="E716" s="38"/>
      <x:c r="F716" s="38"/>
      <x:c r="G716" s="38"/>
      <x:c r="H716" s="38"/>
      <x:c r="I716" s="41"/>
      <x:c r="J716" s="38"/>
      <x:c r="K716" s="38"/>
    </x:row>
    <x:row r="717" ht="25" customHeight="1">
      <x:c r="A717" s="38"/>
      <x:c r="B717" s="38"/>
      <x:c r="C717" s="38"/>
      <x:c r="D717" s="38"/>
      <x:c r="E717" s="38"/>
      <x:c r="F717" s="38"/>
      <x:c r="G717" s="38"/>
      <x:c r="H717" s="38"/>
      <x:c r="I717" s="41"/>
      <x:c r="J717" s="38"/>
      <x:c r="K717" s="38"/>
    </x:row>
    <x:row r="718" ht="25" customHeight="1">
      <x:c r="A718" s="38"/>
      <x:c r="B718" s="38"/>
      <x:c r="C718" s="38"/>
      <x:c r="D718" s="38"/>
      <x:c r="E718" s="38"/>
      <x:c r="F718" s="38"/>
      <x:c r="G718" s="38"/>
      <x:c r="H718" s="38"/>
      <x:c r="I718" s="41"/>
      <x:c r="J718" s="38"/>
      <x:c r="K718" s="38"/>
    </x:row>
    <x:row r="719" ht="25" customHeight="1">
      <x:c r="A719" s="38"/>
      <x:c r="B719" s="38"/>
      <x:c r="C719" s="38"/>
      <x:c r="D719" s="38"/>
      <x:c r="E719" s="38"/>
      <x:c r="F719" s="38"/>
      <x:c r="G719" s="38"/>
      <x:c r="H719" s="38"/>
      <x:c r="I719" s="41"/>
      <x:c r="J719" s="38"/>
      <x:c r="K719" s="38"/>
    </x:row>
    <x:row r="720" ht="25" customHeight="1">
      <x:c r="A720" s="38"/>
      <x:c r="B720" s="38"/>
      <x:c r="C720" s="38"/>
      <x:c r="D720" s="38"/>
      <x:c r="E720" s="38"/>
      <x:c r="F720" s="38"/>
      <x:c r="G720" s="38"/>
      <x:c r="H720" s="38"/>
      <x:c r="I720" s="41"/>
      <x:c r="J720" s="38"/>
      <x:c r="K720" s="38"/>
    </x:row>
    <x:row r="721" ht="25" customHeight="1">
      <x:c r="A721" s="38"/>
      <x:c r="B721" s="38"/>
      <x:c r="C721" s="38"/>
      <x:c r="D721" s="38"/>
      <x:c r="E721" s="38"/>
      <x:c r="F721" s="38"/>
      <x:c r="G721" s="38"/>
      <x:c r="H721" s="38"/>
      <x:c r="I721" s="41"/>
      <x:c r="J721" s="38"/>
      <x:c r="K721" s="38"/>
    </x:row>
    <x:row r="722" ht="25" customHeight="1">
      <x:c r="A722" s="38"/>
      <x:c r="B722" s="38"/>
      <x:c r="C722" s="38"/>
      <x:c r="D722" s="38"/>
      <x:c r="E722" s="38"/>
      <x:c r="F722" s="38"/>
      <x:c r="G722" s="38"/>
      <x:c r="H722" s="38"/>
      <x:c r="I722" s="41"/>
      <x:c r="J722" s="38"/>
      <x:c r="K722" s="38"/>
    </x:row>
    <x:row r="723" ht="25" customHeight="1">
      <x:c r="A723" s="38"/>
      <x:c r="B723" s="38"/>
      <x:c r="C723" s="38"/>
      <x:c r="D723" s="38"/>
      <x:c r="E723" s="38"/>
      <x:c r="F723" s="38"/>
      <x:c r="G723" s="38"/>
      <x:c r="H723" s="38"/>
      <x:c r="I723" s="41"/>
      <x:c r="J723" s="38"/>
      <x:c r="K723" s="38"/>
    </x:row>
    <x:row r="724" ht="25" customHeight="1">
      <x:c r="A724" s="38"/>
      <x:c r="B724" s="38"/>
      <x:c r="C724" s="38"/>
      <x:c r="D724" s="38"/>
      <x:c r="E724" s="38"/>
      <x:c r="F724" s="38"/>
      <x:c r="G724" s="38"/>
      <x:c r="H724" s="38"/>
      <x:c r="I724" s="41"/>
      <x:c r="J724" s="38"/>
      <x:c r="K724" s="38"/>
    </x:row>
    <x:row r="725" ht="25" customHeight="1">
      <x:c r="A725" s="38"/>
      <x:c r="B725" s="38"/>
      <x:c r="C725" s="38"/>
      <x:c r="D725" s="38"/>
      <x:c r="E725" s="38"/>
      <x:c r="F725" s="38"/>
      <x:c r="G725" s="38"/>
      <x:c r="H725" s="38"/>
      <x:c r="I725" s="41"/>
      <x:c r="J725" s="38"/>
      <x:c r="K725" s="38"/>
    </x:row>
    <x:row r="726" ht="25" customHeight="1">
      <x:c r="A726" s="38"/>
      <x:c r="B726" s="38"/>
      <x:c r="C726" s="38"/>
      <x:c r="D726" s="38"/>
      <x:c r="E726" s="38"/>
      <x:c r="F726" s="38"/>
      <x:c r="G726" s="38"/>
      <x:c r="H726" s="38"/>
      <x:c r="I726" s="41"/>
      <x:c r="J726" s="38"/>
      <x:c r="K726" s="38"/>
    </x:row>
    <x:row r="727" ht="25" customHeight="1">
      <x:c r="A727" s="38"/>
      <x:c r="B727" s="38"/>
      <x:c r="C727" s="38"/>
      <x:c r="D727" s="38"/>
      <x:c r="E727" s="38"/>
      <x:c r="F727" s="38"/>
      <x:c r="G727" s="38"/>
      <x:c r="H727" s="38"/>
      <x:c r="I727" s="41"/>
      <x:c r="J727" s="38"/>
      <x:c r="K727" s="38"/>
    </x:row>
    <x:row r="728" ht="25" customHeight="1">
      <x:c r="A728" s="38"/>
      <x:c r="B728" s="38"/>
      <x:c r="C728" s="38"/>
      <x:c r="D728" s="38"/>
      <x:c r="E728" s="38"/>
      <x:c r="F728" s="38"/>
      <x:c r="G728" s="38"/>
      <x:c r="H728" s="38"/>
      <x:c r="I728" s="41"/>
      <x:c r="J728" s="38"/>
      <x:c r="K728" s="38"/>
    </x:row>
    <x:row r="729" ht="25" customHeight="1">
      <x:c r="A729" s="38"/>
      <x:c r="B729" s="38"/>
      <x:c r="C729" s="38"/>
      <x:c r="D729" s="38"/>
      <x:c r="E729" s="38"/>
      <x:c r="F729" s="38"/>
      <x:c r="G729" s="38"/>
      <x:c r="H729" s="38"/>
      <x:c r="I729" s="41"/>
      <x:c r="J729" s="38"/>
      <x:c r="K729" s="38"/>
    </x:row>
    <x:row r="730" ht="25" customHeight="1">
      <x:c r="A730" s="38"/>
      <x:c r="B730" s="38"/>
      <x:c r="C730" s="38"/>
      <x:c r="D730" s="38"/>
      <x:c r="E730" s="38"/>
      <x:c r="F730" s="38"/>
      <x:c r="G730" s="38"/>
      <x:c r="H730" s="38"/>
      <x:c r="I730" s="41"/>
      <x:c r="J730" s="38"/>
      <x:c r="K730" s="38"/>
    </x:row>
    <x:row r="731" ht="25" customHeight="1">
      <x:c r="A731" s="38"/>
      <x:c r="B731" s="38"/>
      <x:c r="C731" s="38"/>
      <x:c r="D731" s="38"/>
      <x:c r="E731" s="38"/>
      <x:c r="F731" s="38"/>
      <x:c r="G731" s="38"/>
      <x:c r="H731" s="38"/>
      <x:c r="I731" s="41"/>
      <x:c r="J731" s="38"/>
      <x:c r="K731" s="38"/>
    </x:row>
    <x:row r="732" ht="25" customHeight="1">
      <x:c r="A732" s="38"/>
      <x:c r="B732" s="38"/>
      <x:c r="C732" s="38"/>
      <x:c r="D732" s="38"/>
      <x:c r="E732" s="38"/>
      <x:c r="F732" s="38"/>
      <x:c r="G732" s="38"/>
      <x:c r="H732" s="38"/>
      <x:c r="I732" s="41"/>
      <x:c r="J732" s="38"/>
      <x:c r="K732" s="38"/>
    </x:row>
    <x:row r="733" ht="25" customHeight="1">
      <x:c r="A733" s="38"/>
      <x:c r="B733" s="38"/>
      <x:c r="C733" s="38"/>
      <x:c r="D733" s="38"/>
      <x:c r="E733" s="38"/>
      <x:c r="F733" s="38"/>
      <x:c r="G733" s="38"/>
      <x:c r="H733" s="38"/>
      <x:c r="I733" s="41"/>
      <x:c r="J733" s="38"/>
      <x:c r="K733" s="38"/>
    </x:row>
    <x:row r="734" ht="25" customHeight="1">
      <x:c r="A734" s="38"/>
      <x:c r="B734" s="38"/>
      <x:c r="C734" s="38"/>
      <x:c r="D734" s="38"/>
      <x:c r="E734" s="38"/>
      <x:c r="F734" s="38"/>
      <x:c r="G734" s="38"/>
      <x:c r="H734" s="38"/>
      <x:c r="I734" s="41"/>
      <x:c r="J734" s="38"/>
      <x:c r="K734" s="38"/>
    </x:row>
    <x:row r="735" ht="25" customHeight="1">
      <x:c r="A735" s="38"/>
      <x:c r="B735" s="38"/>
      <x:c r="C735" s="38"/>
      <x:c r="D735" s="38"/>
      <x:c r="E735" s="38"/>
      <x:c r="F735" s="38"/>
      <x:c r="G735" s="38"/>
      <x:c r="H735" s="38"/>
      <x:c r="I735" s="41"/>
      <x:c r="J735" s="38"/>
      <x:c r="K735" s="38"/>
    </x:row>
    <x:row r="736" ht="25" customHeight="1">
      <x:c r="A736" s="38"/>
      <x:c r="B736" s="38"/>
      <x:c r="C736" s="38"/>
      <x:c r="D736" s="38"/>
      <x:c r="E736" s="38"/>
      <x:c r="F736" s="38"/>
      <x:c r="G736" s="38"/>
      <x:c r="H736" s="38"/>
      <x:c r="I736" s="41"/>
      <x:c r="J736" s="38"/>
      <x:c r="K736" s="38"/>
    </x:row>
    <x:row r="737" ht="25" customHeight="1">
      <x:c r="A737" s="38"/>
      <x:c r="B737" s="38"/>
      <x:c r="C737" s="38"/>
      <x:c r="D737" s="38"/>
      <x:c r="E737" s="38"/>
      <x:c r="F737" s="38"/>
      <x:c r="G737" s="38"/>
      <x:c r="H737" s="38"/>
      <x:c r="I737" s="41"/>
      <x:c r="J737" s="38"/>
      <x:c r="K737" s="38"/>
    </x:row>
    <x:row r="738" ht="25" customHeight="1">
      <x:c r="A738" s="38"/>
      <x:c r="B738" s="38"/>
      <x:c r="C738" s="38"/>
      <x:c r="D738" s="38"/>
      <x:c r="E738" s="38"/>
      <x:c r="F738" s="38"/>
      <x:c r="G738" s="38"/>
      <x:c r="H738" s="38"/>
      <x:c r="I738" s="41"/>
      <x:c r="J738" s="38"/>
      <x:c r="K738" s="38"/>
    </x:row>
    <x:row r="739" ht="25" customHeight="1">
      <x:c r="A739" s="38"/>
      <x:c r="B739" s="38"/>
      <x:c r="C739" s="38"/>
      <x:c r="D739" s="38"/>
      <x:c r="E739" s="38"/>
      <x:c r="F739" s="38"/>
      <x:c r="G739" s="38"/>
      <x:c r="H739" s="38"/>
      <x:c r="I739" s="41"/>
      <x:c r="J739" s="38"/>
      <x:c r="K739" s="38"/>
    </x:row>
    <x:row r="740" ht="25" customHeight="1">
      <x:c r="A740" s="38"/>
      <x:c r="B740" s="38"/>
      <x:c r="C740" s="38"/>
      <x:c r="D740" s="38"/>
      <x:c r="E740" s="38"/>
      <x:c r="F740" s="38"/>
      <x:c r="G740" s="38"/>
      <x:c r="H740" s="38"/>
      <x:c r="I740" s="41"/>
      <x:c r="J740" s="38"/>
      <x:c r="K740" s="38"/>
    </x:row>
    <x:row r="741" ht="25" customHeight="1">
      <x:c r="A741" s="38"/>
      <x:c r="B741" s="38"/>
      <x:c r="C741" s="38"/>
      <x:c r="D741" s="38"/>
      <x:c r="E741" s="38"/>
      <x:c r="F741" s="38"/>
      <x:c r="G741" s="38"/>
      <x:c r="H741" s="38"/>
      <x:c r="I741" s="41"/>
      <x:c r="J741" s="38"/>
      <x:c r="K741" s="38"/>
    </x:row>
    <x:row r="742" ht="25" customHeight="1">
      <x:c r="A742" s="38"/>
      <x:c r="B742" s="38"/>
      <x:c r="C742" s="38"/>
      <x:c r="D742" s="38"/>
      <x:c r="E742" s="38"/>
      <x:c r="F742" s="38"/>
      <x:c r="G742" s="38"/>
      <x:c r="H742" s="38"/>
      <x:c r="I742" s="41"/>
      <x:c r="J742" s="38"/>
      <x:c r="K742" s="38"/>
    </x:row>
    <x:row r="743" ht="25" customHeight="1">
      <x:c r="A743" s="38"/>
      <x:c r="B743" s="38"/>
      <x:c r="C743" s="38"/>
      <x:c r="D743" s="38"/>
      <x:c r="E743" s="38"/>
      <x:c r="F743" s="38"/>
      <x:c r="G743" s="38"/>
      <x:c r="H743" s="38"/>
      <x:c r="I743" s="41"/>
      <x:c r="J743" s="38"/>
      <x:c r="K743" s="38"/>
    </x:row>
    <x:row r="744" ht="25" customHeight="1">
      <x:c r="A744" s="38"/>
      <x:c r="B744" s="38"/>
      <x:c r="C744" s="38"/>
      <x:c r="D744" s="38"/>
      <x:c r="E744" s="38"/>
      <x:c r="F744" s="38"/>
      <x:c r="G744" s="38"/>
      <x:c r="H744" s="38"/>
      <x:c r="I744" s="41"/>
      <x:c r="J744" s="38"/>
      <x:c r="K744" s="38"/>
    </x:row>
    <x:row r="745" ht="25" customHeight="1">
      <x:c r="A745" s="38"/>
      <x:c r="B745" s="38"/>
      <x:c r="C745" s="38"/>
      <x:c r="D745" s="38"/>
      <x:c r="E745" s="38"/>
      <x:c r="F745" s="38"/>
      <x:c r="G745" s="38"/>
      <x:c r="H745" s="38"/>
      <x:c r="I745" s="41"/>
      <x:c r="J745" s="38"/>
      <x:c r="K745" s="38"/>
    </x:row>
    <x:row r="746" ht="25" customHeight="1">
      <x:c r="A746" s="38"/>
      <x:c r="B746" s="38"/>
      <x:c r="C746" s="38"/>
      <x:c r="D746" s="38"/>
      <x:c r="E746" s="38"/>
      <x:c r="F746" s="38"/>
      <x:c r="G746" s="38"/>
      <x:c r="H746" s="38"/>
      <x:c r="I746" s="41"/>
      <x:c r="J746" s="38"/>
      <x:c r="K746" s="38"/>
    </x:row>
    <x:row r="747" ht="25" customHeight="1">
      <x:c r="A747" s="38"/>
      <x:c r="B747" s="38"/>
      <x:c r="C747" s="38"/>
      <x:c r="D747" s="38"/>
      <x:c r="E747" s="38"/>
      <x:c r="F747" s="38"/>
      <x:c r="G747" s="38"/>
      <x:c r="H747" s="38"/>
      <x:c r="I747" s="41"/>
      <x:c r="J747" s="38"/>
      <x:c r="K747" s="38"/>
    </x:row>
    <x:row r="748" ht="25" customHeight="1">
      <x:c r="A748" s="38"/>
      <x:c r="B748" s="38"/>
      <x:c r="C748" s="38"/>
      <x:c r="D748" s="38"/>
      <x:c r="E748" s="38"/>
      <x:c r="F748" s="38"/>
      <x:c r="G748" s="38"/>
      <x:c r="H748" s="38"/>
      <x:c r="I748" s="41"/>
      <x:c r="J748" s="38"/>
      <x:c r="K748" s="38"/>
    </x:row>
    <x:row r="749" ht="25" customHeight="1">
      <x:c r="A749" s="38"/>
      <x:c r="B749" s="38"/>
      <x:c r="C749" s="38"/>
      <x:c r="D749" s="38"/>
      <x:c r="E749" s="38"/>
      <x:c r="F749" s="38"/>
      <x:c r="G749" s="38"/>
      <x:c r="H749" s="38"/>
      <x:c r="I749" s="41"/>
      <x:c r="J749" s="38"/>
      <x:c r="K749" s="38"/>
    </x:row>
    <x:row r="750" ht="25" customHeight="1">
      <x:c r="A750" s="38"/>
      <x:c r="B750" s="38"/>
      <x:c r="C750" s="38"/>
      <x:c r="D750" s="38"/>
      <x:c r="E750" s="38"/>
      <x:c r="F750" s="38"/>
      <x:c r="G750" s="38"/>
      <x:c r="H750" s="38"/>
      <x:c r="I750" s="41"/>
      <x:c r="J750" s="38"/>
      <x:c r="K750" s="38"/>
    </x:row>
    <x:row r="751" ht="25" customHeight="1">
      <x:c r="A751" s="38"/>
      <x:c r="B751" s="38"/>
      <x:c r="C751" s="38"/>
      <x:c r="D751" s="38"/>
      <x:c r="E751" s="38"/>
      <x:c r="F751" s="38"/>
      <x:c r="G751" s="38"/>
      <x:c r="H751" s="38"/>
      <x:c r="I751" s="41"/>
      <x:c r="J751" s="38"/>
      <x:c r="K751" s="38"/>
    </x:row>
    <x:row r="752" ht="25" customHeight="1">
      <x:c r="A752" s="38"/>
      <x:c r="B752" s="38"/>
      <x:c r="C752" s="38"/>
      <x:c r="D752" s="38"/>
      <x:c r="E752" s="38"/>
      <x:c r="F752" s="38"/>
      <x:c r="G752" s="38"/>
      <x:c r="H752" s="38"/>
      <x:c r="I752" s="41"/>
      <x:c r="J752" s="38"/>
      <x:c r="K752" s="38"/>
    </x:row>
    <x:row r="753" ht="25" customHeight="1">
      <x:c r="A753" s="38"/>
      <x:c r="B753" s="38"/>
      <x:c r="C753" s="38"/>
      <x:c r="D753" s="38"/>
      <x:c r="E753" s="38"/>
      <x:c r="F753" s="38"/>
      <x:c r="G753" s="38"/>
      <x:c r="H753" s="38"/>
      <x:c r="I753" s="41"/>
      <x:c r="J753" s="38"/>
      <x:c r="K753" s="38"/>
    </x:row>
    <x:row r="754" ht="25" customHeight="1">
      <x:c r="A754" s="38"/>
      <x:c r="B754" s="38"/>
      <x:c r="C754" s="38"/>
      <x:c r="D754" s="38"/>
      <x:c r="E754" s="38"/>
      <x:c r="F754" s="38"/>
      <x:c r="G754" s="38"/>
      <x:c r="H754" s="38"/>
      <x:c r="I754" s="41"/>
      <x:c r="J754" s="38"/>
      <x:c r="K754" s="38"/>
    </x:row>
    <x:row r="755" ht="25" customHeight="1">
      <x:c r="A755" s="38"/>
      <x:c r="B755" s="38"/>
      <x:c r="C755" s="38"/>
      <x:c r="D755" s="38"/>
      <x:c r="E755" s="38"/>
      <x:c r="F755" s="38"/>
      <x:c r="G755" s="38"/>
      <x:c r="H755" s="38"/>
      <x:c r="I755" s="41"/>
      <x:c r="J755" s="38"/>
      <x:c r="K755" s="38"/>
    </x:row>
    <x:row r="756" ht="25" customHeight="1">
      <x:c r="A756" s="38"/>
      <x:c r="B756" s="38"/>
      <x:c r="C756" s="38"/>
      <x:c r="D756" s="38"/>
      <x:c r="E756" s="38"/>
      <x:c r="F756" s="38"/>
      <x:c r="G756" s="38"/>
      <x:c r="H756" s="38"/>
      <x:c r="I756" s="41"/>
      <x:c r="J756" s="38"/>
      <x:c r="K756" s="38"/>
    </x:row>
    <x:row r="757" ht="25" customHeight="1">
      <x:c r="A757" s="38"/>
      <x:c r="B757" s="38"/>
      <x:c r="C757" s="38"/>
      <x:c r="D757" s="38"/>
      <x:c r="E757" s="38"/>
      <x:c r="F757" s="38"/>
      <x:c r="G757" s="38"/>
      <x:c r="H757" s="38"/>
      <x:c r="I757" s="41"/>
      <x:c r="J757" s="38"/>
      <x:c r="K757" s="38"/>
    </x:row>
    <x:row r="758" ht="25" customHeight="1">
      <x:c r="A758" s="38"/>
      <x:c r="B758" s="38"/>
      <x:c r="C758" s="38"/>
      <x:c r="D758" s="38"/>
      <x:c r="E758" s="38"/>
      <x:c r="F758" s="38"/>
      <x:c r="G758" s="38"/>
      <x:c r="H758" s="38"/>
      <x:c r="I758" s="41"/>
      <x:c r="J758" s="38"/>
      <x:c r="K758" s="38"/>
    </x:row>
    <x:row r="759" ht="25" customHeight="1">
      <x:c r="A759" s="38"/>
      <x:c r="B759" s="38"/>
      <x:c r="C759" s="38"/>
      <x:c r="D759" s="38"/>
      <x:c r="E759" s="38"/>
      <x:c r="F759" s="38"/>
      <x:c r="G759" s="38"/>
      <x:c r="H759" s="38"/>
      <x:c r="I759" s="41"/>
      <x:c r="J759" s="38"/>
      <x:c r="K759" s="38"/>
    </x:row>
    <x:row r="760" ht="25" customHeight="1">
      <x:c r="A760" s="38"/>
      <x:c r="B760" s="38"/>
      <x:c r="C760" s="38"/>
      <x:c r="D760" s="38"/>
      <x:c r="E760" s="38"/>
      <x:c r="F760" s="38"/>
      <x:c r="G760" s="38"/>
      <x:c r="H760" s="38"/>
      <x:c r="I760" s="41"/>
      <x:c r="J760" s="38"/>
      <x:c r="K760" s="38"/>
    </x:row>
    <x:row r="761" ht="25" customHeight="1">
      <x:c r="A761" s="38"/>
      <x:c r="B761" s="38"/>
      <x:c r="C761" s="38"/>
      <x:c r="D761" s="38"/>
      <x:c r="E761" s="38"/>
      <x:c r="F761" s="38"/>
      <x:c r="G761" s="38"/>
      <x:c r="H761" s="38"/>
      <x:c r="I761" s="41"/>
      <x:c r="J761" s="38"/>
      <x:c r="K761" s="38"/>
    </x:row>
    <x:row r="762" ht="25" customHeight="1">
      <x:c r="A762" s="38"/>
      <x:c r="B762" s="38"/>
      <x:c r="C762" s="38"/>
      <x:c r="D762" s="38"/>
      <x:c r="E762" s="38"/>
      <x:c r="F762" s="38"/>
      <x:c r="G762" s="38"/>
      <x:c r="H762" s="38"/>
      <x:c r="I762" s="41"/>
      <x:c r="J762" s="38"/>
      <x:c r="K762" s="38"/>
    </x:row>
    <x:row r="763" ht="25" customHeight="1">
      <x:c r="A763" s="38"/>
      <x:c r="B763" s="38"/>
      <x:c r="C763" s="38"/>
      <x:c r="D763" s="38"/>
      <x:c r="E763" s="38"/>
      <x:c r="F763" s="38"/>
      <x:c r="G763" s="38"/>
      <x:c r="H763" s="38"/>
      <x:c r="I763" s="41"/>
      <x:c r="J763" s="38"/>
      <x:c r="K763" s="38"/>
    </x:row>
    <x:row r="764" ht="25" customHeight="1">
      <x:c r="A764" s="38"/>
      <x:c r="B764" s="38"/>
      <x:c r="C764" s="38"/>
      <x:c r="D764" s="38"/>
      <x:c r="E764" s="38"/>
      <x:c r="F764" s="38"/>
      <x:c r="G764" s="38"/>
      <x:c r="H764" s="38"/>
      <x:c r="I764" s="41"/>
      <x:c r="J764" s="38"/>
      <x:c r="K764" s="38"/>
    </x:row>
    <x:row r="765" ht="25" customHeight="1">
      <x:c r="A765" s="38"/>
      <x:c r="B765" s="38"/>
      <x:c r="C765" s="38"/>
      <x:c r="D765" s="38"/>
      <x:c r="E765" s="38"/>
      <x:c r="F765" s="38"/>
      <x:c r="G765" s="38"/>
      <x:c r="H765" s="38"/>
      <x:c r="I765" s="41"/>
      <x:c r="J765" s="38"/>
      <x:c r="K765" s="38"/>
    </x:row>
    <x:row r="766" ht="25" customHeight="1">
      <x:c r="A766" s="38"/>
      <x:c r="B766" s="38"/>
      <x:c r="C766" s="38"/>
      <x:c r="D766" s="38"/>
      <x:c r="E766" s="38"/>
      <x:c r="F766" s="38"/>
      <x:c r="G766" s="38"/>
      <x:c r="H766" s="38"/>
      <x:c r="I766" s="41"/>
      <x:c r="J766" s="38"/>
      <x:c r="K766" s="38"/>
    </x:row>
    <x:row r="767" ht="25" customHeight="1">
      <x:c r="A767" s="38"/>
      <x:c r="B767" s="38"/>
      <x:c r="C767" s="38"/>
      <x:c r="D767" s="38"/>
      <x:c r="E767" s="38"/>
      <x:c r="F767" s="38"/>
      <x:c r="G767" s="38"/>
      <x:c r="H767" s="38"/>
      <x:c r="I767" s="41"/>
      <x:c r="J767" s="38"/>
      <x:c r="K767" s="38"/>
    </x:row>
    <x:row r="768" ht="25" customHeight="1">
      <x:c r="A768" s="38"/>
      <x:c r="B768" s="38"/>
      <x:c r="C768" s="38"/>
      <x:c r="D768" s="38"/>
      <x:c r="E768" s="38"/>
      <x:c r="F768" s="38"/>
      <x:c r="G768" s="38"/>
      <x:c r="H768" s="38"/>
      <x:c r="I768" s="41"/>
      <x:c r="J768" s="38"/>
      <x:c r="K768" s="38"/>
    </x:row>
    <x:row r="769" ht="25" customHeight="1">
      <x:c r="A769" s="38"/>
      <x:c r="B769" s="38"/>
      <x:c r="C769" s="38"/>
      <x:c r="D769" s="38"/>
      <x:c r="E769" s="38"/>
      <x:c r="F769" s="38"/>
      <x:c r="G769" s="38"/>
      <x:c r="H769" s="38"/>
      <x:c r="I769" s="41"/>
      <x:c r="J769" s="38"/>
      <x:c r="K769" s="38"/>
    </x:row>
    <x:row r="770" ht="25" customHeight="1">
      <x:c r="A770" s="38"/>
      <x:c r="B770" s="38"/>
      <x:c r="C770" s="38"/>
      <x:c r="D770" s="38"/>
      <x:c r="E770" s="38"/>
      <x:c r="F770" s="38"/>
      <x:c r="G770" s="38"/>
      <x:c r="H770" s="38"/>
      <x:c r="I770" s="41"/>
      <x:c r="J770" s="38"/>
      <x:c r="K770" s="38"/>
    </x:row>
    <x:row r="771" ht="25" customHeight="1">
      <x:c r="A771" s="38"/>
      <x:c r="B771" s="38"/>
      <x:c r="C771" s="38"/>
      <x:c r="D771" s="38"/>
      <x:c r="E771" s="38"/>
      <x:c r="F771" s="38"/>
      <x:c r="G771" s="38"/>
      <x:c r="H771" s="38"/>
      <x:c r="I771" s="41"/>
      <x:c r="J771" s="38"/>
      <x:c r="K771" s="38"/>
    </x:row>
    <x:row r="772" ht="25" customHeight="1">
      <x:c r="A772" s="38"/>
      <x:c r="B772" s="38"/>
      <x:c r="C772" s="38"/>
      <x:c r="D772" s="38"/>
      <x:c r="E772" s="38"/>
      <x:c r="F772" s="38"/>
      <x:c r="G772" s="38"/>
      <x:c r="H772" s="38"/>
      <x:c r="I772" s="41"/>
      <x:c r="J772" s="38"/>
      <x:c r="K772" s="38"/>
    </x:row>
    <x:row r="773" ht="25" customHeight="1">
      <x:c r="A773" s="38"/>
      <x:c r="B773" s="38"/>
      <x:c r="C773" s="38"/>
      <x:c r="D773" s="38"/>
      <x:c r="E773" s="38"/>
      <x:c r="F773" s="38"/>
      <x:c r="G773" s="38"/>
      <x:c r="H773" s="38"/>
      <x:c r="I773" s="41"/>
      <x:c r="J773" s="38"/>
      <x:c r="K773" s="38"/>
    </x:row>
    <x:row r="774" ht="25" customHeight="1">
      <x:c r="A774" s="38"/>
      <x:c r="B774" s="38"/>
      <x:c r="C774" s="38"/>
      <x:c r="D774" s="38"/>
      <x:c r="E774" s="38"/>
      <x:c r="F774" s="38"/>
      <x:c r="G774" s="38"/>
      <x:c r="H774" s="38"/>
      <x:c r="I774" s="41"/>
      <x:c r="J774" s="38"/>
      <x:c r="K774" s="38"/>
    </x:row>
    <x:row r="775" ht="25" customHeight="1">
      <x:c r="A775" s="38"/>
      <x:c r="B775" s="38"/>
      <x:c r="C775" s="38"/>
      <x:c r="D775" s="38"/>
      <x:c r="E775" s="38"/>
      <x:c r="F775" s="38"/>
      <x:c r="G775" s="38"/>
      <x:c r="H775" s="38"/>
      <x:c r="I775" s="41"/>
      <x:c r="J775" s="38"/>
      <x:c r="K775" s="38"/>
    </x:row>
    <x:row r="776" ht="25" customHeight="1">
      <x:c r="A776" s="38"/>
      <x:c r="B776" s="38"/>
      <x:c r="C776" s="38"/>
      <x:c r="D776" s="38"/>
      <x:c r="E776" s="38"/>
      <x:c r="F776" s="38"/>
      <x:c r="G776" s="38"/>
      <x:c r="H776" s="38"/>
      <x:c r="I776" s="41"/>
      <x:c r="J776" s="38"/>
      <x:c r="K776" s="38"/>
    </x:row>
    <x:row r="777" ht="25" customHeight="1">
      <x:c r="A777" s="38"/>
      <x:c r="B777" s="38"/>
      <x:c r="C777" s="38"/>
      <x:c r="D777" s="38"/>
      <x:c r="E777" s="38"/>
      <x:c r="F777" s="38"/>
      <x:c r="G777" s="38"/>
      <x:c r="H777" s="38"/>
      <x:c r="I777" s="41"/>
      <x:c r="J777" s="38"/>
      <x:c r="K777" s="38"/>
    </x:row>
    <x:row r="778" ht="25" customHeight="1">
      <x:c r="A778" s="38"/>
      <x:c r="B778" s="38"/>
      <x:c r="C778" s="38"/>
      <x:c r="D778" s="38"/>
      <x:c r="E778" s="38"/>
      <x:c r="F778" s="38"/>
      <x:c r="G778" s="38"/>
      <x:c r="H778" s="38"/>
      <x:c r="I778" s="41"/>
      <x:c r="J778" s="38"/>
      <x:c r="K778" s="38"/>
    </x:row>
    <x:row r="779" ht="25" customHeight="1">
      <x:c r="A779" s="38"/>
      <x:c r="B779" s="38"/>
      <x:c r="C779" s="38"/>
      <x:c r="D779" s="38"/>
      <x:c r="E779" s="38"/>
      <x:c r="F779" s="38"/>
      <x:c r="G779" s="38"/>
      <x:c r="H779" s="38"/>
      <x:c r="I779" s="41"/>
      <x:c r="J779" s="38"/>
      <x:c r="K779" s="38"/>
    </x:row>
    <x:row r="780" ht="25" customHeight="1">
      <x:c r="A780" s="38"/>
      <x:c r="B780" s="38"/>
      <x:c r="C780" s="38"/>
      <x:c r="D780" s="38"/>
      <x:c r="E780" s="38"/>
      <x:c r="F780" s="38"/>
      <x:c r="G780" s="38"/>
      <x:c r="H780" s="38"/>
      <x:c r="I780" s="41"/>
      <x:c r="J780" s="38"/>
      <x:c r="K780" s="38"/>
    </x:row>
    <x:row r="781" ht="25" customHeight="1">
      <x:c r="A781" s="38"/>
      <x:c r="B781" s="38"/>
      <x:c r="C781" s="38"/>
      <x:c r="D781" s="38"/>
      <x:c r="E781" s="38"/>
      <x:c r="F781" s="38"/>
      <x:c r="G781" s="38"/>
      <x:c r="H781" s="38"/>
      <x:c r="I781" s="41"/>
      <x:c r="J781" s="38"/>
      <x:c r="K781" s="38"/>
    </x:row>
    <x:row r="782" ht="25" customHeight="1">
      <x:c r="A782" s="38"/>
      <x:c r="B782" s="38"/>
      <x:c r="C782" s="38"/>
      <x:c r="D782" s="38"/>
      <x:c r="E782" s="38"/>
      <x:c r="F782" s="38"/>
      <x:c r="G782" s="38"/>
      <x:c r="H782" s="38"/>
      <x:c r="I782" s="41"/>
      <x:c r="J782" s="38"/>
      <x:c r="K782" s="38"/>
    </x:row>
    <x:row r="783" ht="25" customHeight="1">
      <x:c r="A783" s="38"/>
      <x:c r="B783" s="38"/>
      <x:c r="C783" s="38"/>
      <x:c r="D783" s="38"/>
      <x:c r="E783" s="38"/>
      <x:c r="F783" s="38"/>
      <x:c r="G783" s="38"/>
      <x:c r="H783" s="38"/>
      <x:c r="I783" s="41"/>
      <x:c r="J783" s="38"/>
      <x:c r="K783" s="38"/>
    </x:row>
    <x:row r="784" ht="25" customHeight="1">
      <x:c r="A784" s="38"/>
      <x:c r="B784" s="38"/>
      <x:c r="C784" s="38"/>
      <x:c r="D784" s="38"/>
      <x:c r="E784" s="38"/>
      <x:c r="F784" s="38"/>
      <x:c r="G784" s="38"/>
      <x:c r="H784" s="38"/>
      <x:c r="I784" s="41"/>
      <x:c r="J784" s="38"/>
      <x:c r="K784" s="38"/>
    </x:row>
    <x:row r="785" ht="25" customHeight="1">
      <x:c r="A785" s="38"/>
      <x:c r="B785" s="38"/>
      <x:c r="C785" s="38"/>
      <x:c r="D785" s="38"/>
      <x:c r="E785" s="38"/>
      <x:c r="F785" s="38"/>
      <x:c r="G785" s="38"/>
      <x:c r="H785" s="38"/>
      <x:c r="I785" s="41"/>
      <x:c r="J785" s="38"/>
      <x:c r="K785" s="38"/>
    </x:row>
    <x:row r="786" ht="25" customHeight="1">
      <x:c r="A786" s="38"/>
      <x:c r="B786" s="38"/>
      <x:c r="C786" s="38"/>
      <x:c r="D786" s="38"/>
      <x:c r="E786" s="38"/>
      <x:c r="F786" s="38"/>
      <x:c r="G786" s="38"/>
      <x:c r="H786" s="38"/>
      <x:c r="I786" s="41"/>
      <x:c r="J786" s="38"/>
      <x:c r="K786" s="38"/>
    </x:row>
    <x:row r="787" ht="25" customHeight="1">
      <x:c r="A787" s="38"/>
      <x:c r="B787" s="38"/>
      <x:c r="C787" s="38"/>
      <x:c r="D787" s="38"/>
      <x:c r="E787" s="38"/>
      <x:c r="F787" s="38"/>
      <x:c r="G787" s="38"/>
      <x:c r="H787" s="38"/>
      <x:c r="I787" s="41"/>
      <x:c r="J787" s="38"/>
      <x:c r="K787" s="38"/>
    </x:row>
    <x:row r="788" ht="25" customHeight="1">
      <x:c r="A788" s="38"/>
      <x:c r="B788" s="38"/>
      <x:c r="C788" s="38"/>
      <x:c r="D788" s="38"/>
      <x:c r="E788" s="38"/>
      <x:c r="F788" s="38"/>
      <x:c r="G788" s="38"/>
      <x:c r="H788" s="38"/>
      <x:c r="I788" s="41"/>
      <x:c r="J788" s="38"/>
      <x:c r="K788" s="38"/>
    </x:row>
    <x:row r="789" ht="25" customHeight="1">
      <x:c r="A789" s="38"/>
      <x:c r="B789" s="38"/>
      <x:c r="C789" s="38"/>
      <x:c r="D789" s="38"/>
      <x:c r="E789" s="38"/>
      <x:c r="F789" s="38"/>
      <x:c r="G789" s="38"/>
      <x:c r="H789" s="38"/>
      <x:c r="I789" s="41"/>
      <x:c r="J789" s="38"/>
      <x:c r="K789" s="38"/>
    </x:row>
    <x:row r="790" ht="25" customHeight="1">
      <x:c r="A790" s="38"/>
      <x:c r="B790" s="38"/>
      <x:c r="C790" s="38"/>
      <x:c r="D790" s="38"/>
      <x:c r="E790" s="38"/>
      <x:c r="F790" s="38"/>
      <x:c r="G790" s="38"/>
      <x:c r="H790" s="38"/>
      <x:c r="I790" s="41"/>
      <x:c r="J790" s="38"/>
      <x:c r="K790" s="38"/>
    </x:row>
    <x:row r="791" ht="25" customHeight="1">
      <x:c r="A791" s="38"/>
      <x:c r="B791" s="38"/>
      <x:c r="C791" s="38"/>
      <x:c r="D791" s="38"/>
      <x:c r="E791" s="38"/>
      <x:c r="F791" s="38"/>
      <x:c r="G791" s="38"/>
      <x:c r="H791" s="38"/>
      <x:c r="I791" s="41"/>
      <x:c r="J791" s="38"/>
      <x:c r="K791" s="38"/>
    </x:row>
    <x:row r="792" ht="25" customHeight="1">
      <x:c r="A792" s="38"/>
      <x:c r="B792" s="38"/>
      <x:c r="C792" s="38"/>
      <x:c r="D792" s="38"/>
      <x:c r="E792" s="38"/>
      <x:c r="F792" s="38"/>
      <x:c r="G792" s="38"/>
      <x:c r="H792" s="38"/>
      <x:c r="I792" s="41"/>
      <x:c r="J792" s="38"/>
      <x:c r="K792" s="38"/>
    </x:row>
    <x:row r="793" ht="25" customHeight="1">
      <x:c r="A793" s="38"/>
      <x:c r="B793" s="38"/>
      <x:c r="C793" s="38"/>
      <x:c r="D793" s="38"/>
      <x:c r="E793" s="38"/>
      <x:c r="F793" s="38"/>
      <x:c r="G793" s="38"/>
      <x:c r="H793" s="38"/>
      <x:c r="I793" s="41"/>
      <x:c r="J793" s="38"/>
      <x:c r="K793" s="38"/>
    </x:row>
    <x:row r="794" ht="25" customHeight="1">
      <x:c r="A794" s="38"/>
      <x:c r="B794" s="38"/>
      <x:c r="C794" s="38"/>
      <x:c r="D794" s="38"/>
      <x:c r="E794" s="38"/>
      <x:c r="F794" s="38"/>
      <x:c r="G794" s="38"/>
      <x:c r="H794" s="38"/>
      <x:c r="I794" s="41"/>
      <x:c r="J794" s="38"/>
      <x:c r="K794" s="38"/>
    </x:row>
    <x:row r="795" ht="25" customHeight="1">
      <x:c r="A795" s="38"/>
      <x:c r="B795" s="38"/>
      <x:c r="C795" s="38"/>
      <x:c r="D795" s="38"/>
      <x:c r="E795" s="38"/>
      <x:c r="F795" s="38"/>
      <x:c r="G795" s="38"/>
      <x:c r="H795" s="38"/>
      <x:c r="I795" s="41"/>
      <x:c r="J795" s="38"/>
      <x:c r="K795" s="38"/>
    </x:row>
    <x:row r="796" ht="25" customHeight="1">
      <x:c r="A796" s="38"/>
      <x:c r="B796" s="38"/>
      <x:c r="C796" s="38"/>
      <x:c r="D796" s="38"/>
      <x:c r="E796" s="38"/>
      <x:c r="F796" s="38"/>
      <x:c r="G796" s="38"/>
      <x:c r="H796" s="38"/>
      <x:c r="I796" s="41"/>
      <x:c r="J796" s="38"/>
      <x:c r="K796" s="38"/>
    </x:row>
    <x:row r="797" ht="25" customHeight="1">
      <x:c r="A797" s="38"/>
      <x:c r="B797" s="38"/>
      <x:c r="C797" s="38"/>
      <x:c r="D797" s="38"/>
      <x:c r="E797" s="38"/>
      <x:c r="F797" s="38"/>
      <x:c r="G797" s="38"/>
      <x:c r="H797" s="38"/>
      <x:c r="I797" s="41"/>
      <x:c r="J797" s="38"/>
      <x:c r="K797" s="38"/>
    </x:row>
    <x:row r="798" ht="25" customHeight="1">
      <x:c r="A798" s="38"/>
      <x:c r="B798" s="38"/>
      <x:c r="C798" s="38"/>
      <x:c r="D798" s="38"/>
      <x:c r="E798" s="38"/>
      <x:c r="F798" s="38"/>
      <x:c r="G798" s="38"/>
      <x:c r="H798" s="38"/>
      <x:c r="I798" s="41"/>
      <x:c r="J798" s="38"/>
      <x:c r="K798" s="38"/>
    </x:row>
    <x:row r="799" ht="25" customHeight="1">
      <x:c r="A799" s="38"/>
      <x:c r="B799" s="38"/>
      <x:c r="C799" s="38"/>
      <x:c r="D799" s="38"/>
      <x:c r="E799" s="38"/>
      <x:c r="F799" s="38"/>
      <x:c r="G799" s="38"/>
      <x:c r="H799" s="38"/>
      <x:c r="I799" s="41"/>
      <x:c r="J799" s="38"/>
      <x:c r="K799" s="38"/>
    </x:row>
    <x:row r="800" ht="25" customHeight="1">
      <x:c r="A800" s="38"/>
      <x:c r="B800" s="38"/>
      <x:c r="C800" s="38"/>
      <x:c r="D800" s="38"/>
      <x:c r="E800" s="38"/>
      <x:c r="F800" s="38"/>
      <x:c r="G800" s="38"/>
      <x:c r="H800" s="38"/>
      <x:c r="I800" s="41"/>
      <x:c r="J800" s="38"/>
      <x:c r="K800" s="38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110" hidden="0" customWidth="1"/>
    <x:col min="3" max="3" width="16" hidden="0" customWidth="1"/>
  </x:cols>
  <x:sheetData>
    <x:row r="1" ht="25" customHeight="1">
      <x:c r="A1" s="33"/>
      <x:c r="B1" s="33"/>
    </x:row>
    <x:row r="2" ht="25" customHeight="1">
      <x:c r="A2" s="34" t="str">
        <x:v>DELTA1 · 来源与状态</x:v>
      </x:c>
      <x:c r="B2" s="33"/>
    </x:row>
    <x:row r="3" ht="25" customHeight="1">
      <x:c r="A3" s="33" t="str">
        <x:v>空白模板 · 请用 start_numeric_excel.cmd 打开自动更新版</x:v>
      </x:c>
      <x:c r="B3" s="33"/>
    </x:row>
    <x:row r="4" ht="25" customHeight="1">
      <x:c r="A4" s="35" t="str">
        <x:v>未连接 · 本模板不含任何公司行情或凭据</x:v>
      </x:c>
      <x:c r="B4" s="33"/>
    </x:row>
    <x:row r="5" ht="25" customHeight="1">
      <x:c r="A5" s="33"/>
      <x:c r="B5" s="33"/>
    </x:row>
    <x:row r="6" ht="32" customHeight="1">
      <x:c r="A6" s="37" t="str">
        <x:v>项目</x:v>
      </x:c>
      <x:c r="B6" s="37" t="str">
        <x:v>内容</x:v>
      </x:c>
    </x:row>
    <x:row r="7" ht="48" customHeight="1">
      <x:c r="A7" s="43"/>
      <x:c r="B7" s="44"/>
    </x:row>
    <x:row r="8" ht="48" customHeight="1">
      <x:c r="A8" s="43"/>
      <x:c r="B8" s="44"/>
    </x:row>
    <x:row r="9" ht="48" customHeight="1">
      <x:c r="A9" s="43"/>
      <x:c r="B9" s="44"/>
    </x:row>
    <x:row r="10" ht="48" customHeight="1">
      <x:c r="A10" s="43"/>
      <x:c r="B10" s="44"/>
    </x:row>
    <x:row r="11" ht="48" customHeight="1">
      <x:c r="A11" s="43"/>
      <x:c r="B11" s="44"/>
    </x:row>
    <x:row r="12" ht="48" customHeight="1">
      <x:c r="A12" s="43"/>
      <x:c r="B12" s="44"/>
    </x:row>
    <x:row r="13" ht="48" customHeight="1">
      <x:c r="A13" s="43"/>
      <x:c r="B13" s="44"/>
    </x:row>
    <x:row r="14" ht="48" customHeight="1">
      <x:c r="A14" s="43"/>
      <x:c r="B14" s="44"/>
    </x:row>
    <x:row r="15" ht="48" customHeight="1">
      <x:c r="A15" s="43"/>
      <x:c r="B15" s="44"/>
    </x:row>
    <x:row r="16" ht="48" customHeight="1">
      <x:c r="A16" s="43"/>
      <x:c r="B16" s="44"/>
    </x:row>
    <x:row r="17" ht="48" customHeight="1">
      <x:c r="A17" s="43"/>
      <x:c r="B17" s="44"/>
    </x:row>
    <x:row r="18" ht="48" customHeight="1">
      <x:c r="A18" s="43"/>
      <x:c r="B18" s="44"/>
    </x:row>
    <x:row r="19" ht="48" customHeight="1">
      <x:c r="A19" s="43"/>
      <x:c r="B19" s="44"/>
    </x:row>
    <x:row r="20" ht="48" customHeight="1">
      <x:c r="A20" s="43"/>
      <x:c r="B20" s="44"/>
    </x:row>
    <x:row r="21" ht="48" customHeight="1">
      <x:c r="A21" s="43"/>
      <x:c r="B21" s="44"/>
    </x:row>
    <x:row r="22" ht="48" customHeight="1">
      <x:c r="A22" s="43"/>
      <x:c r="B22" s="44"/>
    </x:row>
    <x:row r="23" ht="48" customHeight="1">
      <x:c r="A23" s="43"/>
      <x:c r="B23" s="44"/>
    </x:row>
    <x:row r="24" ht="48" customHeight="1">
      <x:c r="A24" s="43"/>
      <x:c r="B24" s="44"/>
    </x:row>
    <x:row r="25" ht="48" customHeight="1">
      <x:c r="A25" s="43"/>
      <x:c r="B25" s="44"/>
    </x:row>
    <x:row r="26" ht="48" customHeight="1">
      <x:c r="A26" s="43"/>
      <x:c r="B26" s="44"/>
    </x:row>
    <x:row r="27" ht="48" customHeight="1">
      <x:c r="A27" s="43"/>
      <x:c r="B27" s="44"/>
    </x:row>
    <x:row r="28" ht="48" customHeight="1">
      <x:c r="A28" s="43"/>
      <x:c r="B28" s="44"/>
    </x:row>
    <x:row r="29" ht="48" customHeight="1">
      <x:c r="A29" s="43"/>
      <x:c r="B29" s="44"/>
    </x:row>
    <x:row r="30" ht="48" customHeight="1">
      <x:c r="A30" s="43"/>
      <x:c r="B30" s="44"/>
    </x:row>
    <x:row r="31" ht="48" customHeight="1">
      <x:c r="A31" s="43"/>
      <x:c r="B31" s="44"/>
    </x:row>
    <x:row r="32" ht="48" customHeight="1">
      <x:c r="A32" s="43"/>
      <x:c r="B32" s="44"/>
    </x:row>
    <x:row r="33" ht="25" customHeight="1">
      <x:c r="A33" s="38"/>
      <x:c r="B33" s="38"/>
    </x:row>
    <x:row r="34" ht="25" customHeight="1">
      <x:c r="A34" s="38"/>
      <x:c r="B34" s="38"/>
    </x:row>
    <x:row r="35" ht="25" customHeight="1">
      <x:c r="A35" s="38"/>
      <x:c r="B35" s="38"/>
    </x:row>
    <x:row r="36" ht="25" customHeight="1">
      <x:c r="A36" s="38"/>
      <x:c r="B36" s="38"/>
    </x:row>
    <x:row r="37" ht="25" customHeight="1">
      <x:c r="A37" s="38"/>
      <x:c r="B37" s="38"/>
    </x:row>
    <x:row r="38" ht="25" customHeight="1">
      <x:c r="A38" s="38"/>
      <x:c r="B38" s="38"/>
    </x:row>
    <x:row r="39" ht="25" customHeight="1">
      <x:c r="A39" s="38"/>
      <x:c r="B39" s="38"/>
    </x:row>
    <x:row r="40" ht="25" customHeight="1">
      <x:c r="A40" s="38"/>
      <x:c r="B40" s="38"/>
    </x:row>
    <x:row r="41" ht="25" customHeight="1">
      <x:c r="A41" s="38"/>
      <x:c r="B41" s="38"/>
    </x:row>
    <x:row r="42" ht="25" customHeight="1">
      <x:c r="A42" s="38"/>
      <x:c r="B42" s="38"/>
    </x:row>
    <x:row r="43" ht="25" customHeight="1">
      <x:c r="A43" s="38"/>
      <x:c r="B43" s="38"/>
    </x:row>
    <x:row r="44" ht="25" customHeight="1">
      <x:c r="A44" s="38"/>
      <x:c r="B44" s="38"/>
    </x:row>
    <x:row r="45" ht="25" customHeight="1">
      <x:c r="A45" s="38"/>
      <x:c r="B45" s="38"/>
    </x:row>
    <x:row r="46" ht="25" customHeight="1">
      <x:c r="A46" s="38"/>
      <x:c r="B46" s="38"/>
    </x:row>
    <x:row r="47" ht="25" customHeight="1">
      <x:c r="A47" s="38"/>
      <x:c r="B47" s="38"/>
    </x:row>
    <x:row r="48" ht="25" customHeight="1">
      <x:c r="A48" s="38"/>
      <x:c r="B48" s="38"/>
    </x:row>
    <x:row r="49" ht="25" customHeight="1">
      <x:c r="A49" s="38"/>
      <x:c r="B49" s="38"/>
    </x:row>
    <x:row r="50" ht="25" customHeight="1">
      <x:c r="A50" s="38"/>
      <x:c r="B50" s="38"/>
    </x:row>
    <x:row r="51" ht="25" customHeight="1">
      <x:c r="A51" s="38"/>
      <x:c r="B51" s="38"/>
    </x:row>
    <x:row r="52" ht="25" customHeight="1">
      <x:c r="A52" s="38"/>
      <x:c r="B52" s="38"/>
    </x:row>
    <x:row r="53" ht="25" customHeight="1">
      <x:c r="A53" s="38"/>
      <x:c r="B53" s="38"/>
    </x:row>
    <x:row r="54" ht="25" customHeight="1">
      <x:c r="A54" s="38"/>
      <x:c r="B54" s="38"/>
    </x:row>
    <x:row r="55" ht="25" customHeight="1">
      <x:c r="A55" s="38"/>
      <x:c r="B55" s="38"/>
    </x:row>
    <x:row r="56" ht="25" customHeight="1">
      <x:c r="A56" s="38"/>
      <x:c r="B56" s="38"/>
    </x:row>
    <x:row r="57" ht="25" customHeight="1">
      <x:c r="A57" s="38"/>
      <x:c r="B57" s="38"/>
    </x:row>
    <x:row r="58" ht="25" customHeight="1">
      <x:c r="A58" s="38"/>
      <x:c r="B58" s="38"/>
    </x:row>
    <x:row r="59" ht="25" customHeight="1">
      <x:c r="A59" s="38"/>
      <x:c r="B59" s="38"/>
    </x:row>
    <x:row r="60" ht="25" customHeight="1">
      <x:c r="A60" s="38"/>
      <x:c r="B60" s="38"/>
    </x:row>
    <x:row r="61" ht="25" customHeight="1">
      <x:c r="A61" s="38"/>
      <x:c r="B61" s="38"/>
    </x:row>
    <x:row r="62" ht="25" customHeight="1">
      <x:c r="A62" s="38"/>
      <x:c r="B62" s="38"/>
    </x:row>
    <x:row r="63" ht="25" customHeight="1">
      <x:c r="A63" s="38"/>
      <x:c r="B63" s="38"/>
    </x:row>
    <x:row r="64" ht="25" customHeight="1">
      <x:c r="A64" s="38"/>
      <x:c r="B64" s="38"/>
    </x:row>
    <x:row r="65" ht="25" customHeight="1">
      <x:c r="A65" s="38"/>
      <x:c r="B65" s="38"/>
    </x:row>
    <x:row r="66" ht="25" customHeight="1">
      <x:c r="A66" s="38"/>
      <x:c r="B66" s="38"/>
    </x:row>
    <x:row r="67" ht="25" customHeight="1">
      <x:c r="A67" s="38"/>
      <x:c r="B67" s="38"/>
    </x:row>
    <x:row r="68" ht="25" customHeight="1">
      <x:c r="A68" s="38"/>
      <x:c r="B68" s="38"/>
    </x:row>
    <x:row r="69" ht="25" customHeight="1">
      <x:c r="A69" s="38"/>
      <x:c r="B69" s="38"/>
    </x:row>
    <x:row r="70" ht="25" customHeight="1">
      <x:c r="A70" s="38"/>
      <x:c r="B70" s="38"/>
    </x:row>
    <x:row r="71" ht="25" customHeight="1">
      <x:c r="A71" s="38"/>
      <x:c r="B71" s="38"/>
    </x:row>
    <x:row r="72" ht="25" customHeight="1">
      <x:c r="A72" s="38"/>
      <x:c r="B72" s="38"/>
    </x:row>
    <x:row r="73" ht="25" customHeight="1">
      <x:c r="A73" s="38"/>
      <x:c r="B73" s="38"/>
    </x:row>
    <x:row r="74" ht="25" customHeight="1">
      <x:c r="A74" s="38"/>
      <x:c r="B74" s="38"/>
    </x:row>
    <x:row r="75" ht="25" customHeight="1">
      <x:c r="A75" s="38"/>
      <x:c r="B75" s="38"/>
    </x:row>
    <x:row r="76" ht="25" customHeight="1">
      <x:c r="A76" s="38"/>
      <x:c r="B76" s="38"/>
    </x:row>
    <x:row r="77" ht="25" customHeight="1">
      <x:c r="A77" s="38"/>
      <x:c r="B77" s="38"/>
    </x:row>
    <x:row r="78" ht="25" customHeight="1">
      <x:c r="A78" s="38"/>
      <x:c r="B78" s="38"/>
    </x:row>
    <x:row r="79" ht="25" customHeight="1">
      <x:c r="A79" s="38"/>
      <x:c r="B79" s="38"/>
    </x:row>
    <x:row r="80" ht="25" customHeight="1">
      <x:c r="A80" s="38"/>
      <x:c r="B80" s="38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</x:row>
    <x:row r="2" ht="25" customHeight="1">
      <x:c r="A2" s="34" t="str">
        <x:v>DELTA1 · 卡片数据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</x:row>
    <x:row r="6" ht="32" customHeight="1">
      <x:c r="A6" s="37" t="str">
        <x:v>档位</x:v>
      </x:c>
      <x:c r="B6" s="37" t="str">
        <x:v>品种</x:v>
      </x:c>
      <x:c r="C6" s="37" t="str">
        <x:v>合约</x:v>
      </x:c>
      <x:c r="D6" s="37" t="str">
        <x:v>期货</x:v>
      </x:c>
      <x:c r="E6" s="37" t="str">
        <x:v>指数</x:v>
      </x:c>
      <x:c r="F6" s="37" t="str">
        <x:v>基差bp</x:v>
      </x:c>
      <x:c r="G6" s="37" t="str">
        <x:v>年化</x:v>
      </x:c>
      <x:c r="H6" s="37" t="str">
        <x:v>收敛</x:v>
      </x:c>
      <x:c r="I6" s="37" t="str">
        <x:v>振幅</x:v>
      </x:c>
      <x:c r="J6" s="37" t="str">
        <x:v>路径效率</x:v>
      </x:c>
      <x:c r="K6" s="37" t="str">
        <x:v>分钟中枢</x:v>
      </x:c>
      <x:c r="L6" s="37" t="str">
        <x:v>换手</x:v>
      </x:c>
      <x:c r="M6" s="37" t="str">
        <x:v>活跃度</x:v>
      </x:c>
      <x:c r="N6" s="37" t="str">
        <x:v>20日分位</x:v>
      </x:c>
      <x:c r="O6" s="37" t="str">
        <x:v>3月分位</x:v>
      </x:c>
      <x:c r="P6" s="37" t="str">
        <x:v>6月分位</x:v>
      </x:c>
      <x:c r="Q6" s="37" t="str">
        <x:v>12月分位</x:v>
      </x:c>
      <x:c r="R6" s="37" t="str">
        <x:v>20日n</x:v>
      </x:c>
      <x:c r="S6" s="37" t="str">
        <x:v>3月n</x:v>
      </x:c>
      <x:c r="T6" s="37" t="str">
        <x:v>6月n</x:v>
      </x:c>
      <x:c r="U6" s="37" t="str">
        <x:v>12月n</x:v>
      </x:c>
      <x:c r="V6" s="37" t="str">
        <x:v>提示</x:v>
      </x:c>
      <x:c r="W6" s="37" t="str">
        <x:v>行情时间</x:v>
      </x:c>
      <x:c r="X6" s="37" t="str">
        <x:v>历史时间</x:v>
      </x:c>
      <x:c r="Y6" s="37" t="str">
        <x:v>数据类型</x:v>
      </x:c>
      <x:c r="Z6" t="str">
        <x:v>品种</x:v>
      </x:c>
      <x:c r="AA6" t="str">
        <x:v>20日分位</x:v>
      </x:c>
    </x:row>
    <x:row r="7" ht="25" customHeight="1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t="str">
        <x:v>IF</x:v>
      </x:c>
      <x:c r="AA7" t="e">
        <x:f>IF(ISNUMBER('概览'!B15),'概览'!B15,NA())</x:f>
        <x:v>#N/A</x:v>
      </x:c>
    </x:row>
    <x:row r="8" ht="25" customHeight="1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t="str">
        <x:v>IH</x:v>
      </x:c>
      <x:c r="AA8" t="e">
        <x:f>IF(ISNUMBER('概览'!K15),'概览'!K15,NA())</x:f>
        <x:v>#N/A</x:v>
      </x:c>
    </x:row>
    <x:row r="9" ht="25" customHeight="1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t="str">
        <x:v>IC</x:v>
      </x:c>
      <x:c r="AA9" t="e">
        <x:f>IF(ISNUMBER('概览'!B28),'概览'!B28,NA())</x:f>
        <x:v>#N/A</x:v>
      </x:c>
    </x:row>
    <x:row r="10" ht="25" customHeight="1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t="str">
        <x:v>IM</x:v>
      </x:c>
      <x:c r="AA10" t="e">
        <x:f>IF(ISNUMBER('概览'!K28),'概览'!K28,NA())</x:f>
        <x:v>#N/A</x:v>
      </x:c>
    </x:row>
    <x:row r="11" ht="25" customHeight="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</x:row>
    <x:row r="12" ht="25" customHeight="1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</x:row>
    <x:row r="13" ht="25" customHeight="1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</x:row>
    <x:row r="14" ht="25" customHeight="1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</x:row>
    <x:row r="15" ht="25" customHeight="1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</x:row>
    <x:row r="16" ht="25" customHeight="1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</x:row>
    <x:row r="17" ht="25" customHeight="1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</x:row>
    <x:row r="18" ht="25" customHeight="1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</x:row>
    <x:row r="19" ht="25" customHeight="1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</x:row>
    <x:row r="20" ht="25" customHeight="1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</x:row>
    <x:row r="21" ht="25" customHeight="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</x:row>
    <x:row r="22" ht="25" customHeight="1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</x:row>
    <x:row r="23" ht="25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</x:row>
    <x:row r="24" ht="25" customHeight="1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</x:row>
    <x:row r="25" ht="25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</x:row>
    <x:row r="26" ht="25" customHeight="1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</x:row>
    <x:row r="27" ht="25" customHeight="1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</x:row>
    <x:row r="28" ht="25" customHeight="1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</x:row>
    <x:row r="29" ht="25" customHeight="1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</x:row>
    <x:row r="30" ht="25" customHeight="1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</x:row>
    <x:row r="31" ht="25" customHeight="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</x:row>
    <x:row r="32" ht="25" customHeight="1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5" customHeight="1">
      <x:c r="A1" s="33"/>
      <x:c r="B1" s="33"/>
      <x:c r="C1" s="33"/>
      <x:c r="D1" s="33"/>
      <x:c r="E1" s="33"/>
      <x:c r="F1" s="33"/>
      <x:c r="G1" s="33"/>
      <x:c r="H1" s="33"/>
      <x:c r="I1" s="33"/>
      <x:c r="J1" s="33"/>
      <x:c r="K1" s="33"/>
      <x:c r="L1" s="33"/>
      <x:c r="M1" s="33"/>
      <x:c r="N1" s="33"/>
      <x:c r="O1" s="33"/>
      <x:c r="P1" s="33"/>
    </x:row>
    <x:row r="2" ht="25" customHeight="1">
      <x:c r="A2" s="34" t="str">
        <x:v>DELTA1 · 指标数据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</x:row>
    <x:row r="3" ht="25" customHeight="1">
      <x:c r="A3" s="33" t="str">
        <x:v>空白模板 · 请用 start_numeric_excel.cmd 打开自动更新版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 ht="25" customHeight="1">
      <x:c r="A4" s="35" t="str">
        <x:v>未连接 · 本模板不含任何公司行情或凭据</x:v>
      </x:c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 ht="25" customHeight="1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</x:row>
    <x:row r="6" ht="32" customHeight="1">
      <x:c r="A6" s="37" t="str">
        <x:v>档位</x:v>
      </x:c>
      <x:c r="B6" s="37" t="str">
        <x:v>ID</x:v>
      </x:c>
      <x:c r="C6" s="37" t="str">
        <x:v>指标</x:v>
      </x:c>
      <x:c r="D6" s="37" t="str">
        <x:v>单位</x:v>
      </x:c>
      <x:c r="E6" s="37" t="str">
        <x:v>IF数值</x:v>
      </x:c>
      <x:c r="F6" s="37" t="str">
        <x:v>IF日期</x:v>
      </x:c>
      <x:c r="G6" s="37" t="str">
        <x:v>IF说明</x:v>
      </x:c>
      <x:c r="H6" s="37" t="str">
        <x:v>IH数值</x:v>
      </x:c>
      <x:c r="I6" s="37" t="str">
        <x:v>IH日期</x:v>
      </x:c>
      <x:c r="J6" s="37" t="str">
        <x:v>IH说明</x:v>
      </x:c>
      <x:c r="K6" s="37" t="str">
        <x:v>IC数值</x:v>
      </x:c>
      <x:c r="L6" s="37" t="str">
        <x:v>IC日期</x:v>
      </x:c>
      <x:c r="M6" s="37" t="str">
        <x:v>IC说明</x:v>
      </x:c>
      <x:c r="N6" s="37" t="str">
        <x:v>IM数值</x:v>
      </x:c>
      <x:c r="O6" s="37" t="str">
        <x:v>IM日期</x:v>
      </x:c>
      <x:c r="P6" s="37" t="str">
        <x:v>IM说明</x:v>
      </x:c>
    </x:row>
    <x:row r="7" ht="25" customHeight="1">
      <x:c r="A7" s="38"/>
      <x:c r="B7" s="38"/>
      <x:c r="C7" s="38"/>
      <x:c r="D7" s="38"/>
      <x:c r="E7" s="38"/>
      <x:c r="F7" s="38"/>
      <x:c r="G7" s="38"/>
      <x:c r="H7" s="38"/>
      <x:c r="I7" s="38"/>
      <x:c r="J7" s="38"/>
      <x:c r="K7" s="38"/>
      <x:c r="L7" s="38"/>
      <x:c r="M7" s="38"/>
      <x:c r="N7" s="38"/>
      <x:c r="O7" s="38"/>
      <x:c r="P7" s="38"/>
    </x:row>
    <x:row r="8" ht="25" customHeight="1">
      <x:c r="A8" s="38"/>
      <x:c r="B8" s="38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</x:row>
    <x:row r="9" ht="25" customHeight="1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</x:row>
    <x:row r="10" ht="25" customHeight="1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</x:row>
    <x:row r="11" ht="25" customHeight="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</x:row>
    <x:row r="12" ht="25" customHeight="1">
      <x:c r="A12" s="38"/>
      <x:c r="B12" s="38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</x:row>
    <x:row r="13" ht="25" customHeight="1">
      <x:c r="A13" s="38"/>
      <x:c r="B13" s="38"/>
      <x:c r="C13" s="38"/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</x:row>
    <x:row r="14" ht="25" customHeight="1">
      <x:c r="A14" s="38"/>
      <x:c r="B14" s="38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</x:row>
    <x:row r="15" ht="25" customHeight="1">
      <x:c r="A15" s="38"/>
      <x:c r="B15" s="38"/>
      <x:c r="C15" s="38"/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</x:row>
    <x:row r="16" ht="25" customHeight="1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</x:row>
    <x:row r="17" ht="25" customHeight="1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</x:row>
    <x:row r="18" ht="25" customHeight="1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</x:row>
    <x:row r="19" ht="25" customHeight="1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</x:row>
    <x:row r="20" ht="25" customHeight="1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</x:row>
    <x:row r="21" ht="25" customHeight="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</x:row>
    <x:row r="22" ht="25" customHeight="1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</x:row>
    <x:row r="23" ht="25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</x:row>
    <x:row r="24" ht="25" customHeight="1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</x:row>
    <x:row r="25" ht="25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</x:row>
    <x:row r="26" ht="25" customHeight="1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</x:row>
    <x:row r="27" ht="25" customHeight="1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</x:row>
    <x:row r="28" ht="25" customHeight="1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</x:row>
    <x:row r="29" ht="25" customHeight="1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</x:row>
    <x:row r="30" ht="25" customHeight="1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</x:row>
    <x:row r="31" ht="25" customHeight="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</x:row>
    <x:row r="32" ht="25" customHeight="1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</x:row>
    <x:row r="33" ht="25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</x:row>
    <x:row r="34" ht="25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</x:row>
    <x:row r="35" ht="25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</x:row>
    <x:row r="36" ht="25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</x:row>
    <x:row r="37" ht="25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</x:row>
    <x:row r="38" ht="25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</x:row>
    <x:row r="39" ht="25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</x:row>
    <x:row r="40" ht="25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</x:row>
    <x:row r="41" ht="25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</x:row>
    <x:row r="42" ht="25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</x:row>
    <x:row r="43" ht="25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</x:row>
    <x:row r="44" ht="25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</x:row>
    <x:row r="45" ht="25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</x:row>
    <x:row r="46" ht="25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</x:row>
    <x:row r="47" ht="25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</x:row>
    <x:row r="48" ht="25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</x:row>
    <x:row r="49" ht="25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</x:row>
    <x:row r="50" ht="25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</x:row>
    <x:row r="51" ht="25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</x:row>
    <x:row r="52" ht="25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</x:row>
    <x:row r="53" ht="25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</x:row>
    <x:row r="54" ht="25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</x:row>
    <x:row r="55" ht="25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</x:row>
    <x:row r="56" ht="25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</x:row>
    <x:row r="57" ht="25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</x:row>
    <x:row r="58" ht="25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</x:row>
    <x:row r="59" ht="25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</x:row>
    <x:row r="60" ht="25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</x:row>
    <x:row r="61" ht="25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</x:row>
    <x:row r="62" ht="25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</x:row>
    <x:row r="63" ht="25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</x:row>
    <x:row r="64" ht="25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</x:row>
    <x:row r="65" ht="25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</x:row>
    <x:row r="66" ht="25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</x:row>
    <x:row r="67" ht="25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</x:row>
    <x:row r="68" ht="25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</x:row>
    <x:row r="69" ht="25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</x:row>
    <x:row r="70" ht="25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</x:row>
    <x:row r="71" ht="25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</x:row>
    <x:row r="72" ht="25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</x:row>
    <x:row r="73" ht="25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</x:row>
    <x:row r="74" ht="25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</x:row>
    <x:row r="75" ht="25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</x:row>
    <x:row r="76" ht="25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</x:row>
    <x:row r="77" ht="25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</x:row>
    <x:row r="78" ht="25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</x:row>
    <x:row r="79" ht="25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</x:row>
    <x:row r="80" ht="25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</x:row>
    <x:row r="81" ht="25" customHeight="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</x:row>
    <x:row r="82" ht="25" customHeight="1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</x:row>
    <x:row r="83" ht="25" customHeight="1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</x:row>
    <x:row r="84" ht="25" customHeight="1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</x:row>
    <x:row r="85" ht="25" customHeight="1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</x:row>
    <x:row r="86" ht="25" customHeight="1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</x:row>
    <x:row r="87" ht="25" customHeight="1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</x:row>
    <x:row r="88" ht="25" customHeight="1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</x:row>
    <x:row r="89" ht="25" customHeight="1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</x:row>
    <x:row r="90" ht="25" customHeight="1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</x:row>
    <x:row r="91" ht="25" customHeight="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</x:row>
    <x:row r="92" ht="25" customHeight="1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</x:row>
    <x:row r="93" ht="25" customHeight="1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</x:row>
    <x:row r="94" ht="25" customHeight="1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</x:row>
    <x:row r="95" ht="25" customHeight="1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</x:row>
    <x:row r="96" ht="25" customHeight="1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</x:row>
    <x:row r="97" ht="25" customHeight="1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</x:row>
    <x:row r="98" ht="25" customHeight="1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</x:row>
    <x:row r="99" ht="25" customHeight="1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</x:row>
    <x:row r="100" ht="25" customHeight="1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</x:row>
    <x:row r="101" ht="25" customHeight="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</x:row>
    <x:row r="102" ht="25" customHeight="1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</x:row>
    <x:row r="103" ht="25" customHeight="1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</x:row>
    <x:row r="104" ht="25" customHeight="1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</x:row>
    <x:row r="105" ht="25" customHeight="1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</x:row>
    <x:row r="106" ht="25" customHeight="1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</x:row>
    <x:row r="107" ht="25" customHeight="1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</x:row>
    <x:row r="108" ht="25" customHeight="1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</x:row>
    <x:row r="109" ht="25" customHeight="1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</x:row>
    <x:row r="110" ht="25" customHeight="1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</x:row>
    <x:row r="111" ht="25" customHeight="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</x:row>
    <x:row r="112" ht="25" customHeight="1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</x:row>
    <x:row r="113" ht="25" customHeight="1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</x:row>
    <x:row r="114" ht="25" customHeight="1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</x:row>
    <x:row r="115" ht="25" customHeight="1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</x:row>
    <x:row r="116" ht="25" customHeight="1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</x:row>
    <x:row r="117" ht="25" customHeight="1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</x:row>
    <x:row r="118" ht="25" customHeight="1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</x:row>
    <x:row r="119" ht="25" customHeight="1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</x:row>
    <x:row r="120" ht="25" customHeight="1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</x:row>
    <x:row r="121" ht="25" customHeight="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</x:row>
    <x:row r="122" ht="25" customHeight="1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</x:row>
    <x:row r="123" ht="25" customHeight="1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</x:row>
    <x:row r="124" ht="25" customHeight="1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</x:row>
    <x:row r="125" ht="25" customHeight="1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</x:row>
    <x:row r="126" ht="25" customHeight="1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</x:row>
    <x:row r="127" ht="25" customHeight="1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</x:row>
    <x:row r="128" ht="25" customHeight="1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</x:row>
    <x:row r="129" ht="25" customHeight="1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</x:row>
    <x:row r="130" ht="25" customHeight="1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</x:row>
    <x:row r="131" ht="25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</x:row>
    <x:row r="132" ht="25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</x:row>
    <x:row r="133" ht="25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</x:row>
    <x:row r="134" ht="25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</x:row>
    <x:row r="135" ht="25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</x:row>
    <x:row r="136" ht="25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</x:row>
    <x:row r="137" ht="25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</x:row>
    <x:row r="138" ht="25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</x:row>
    <x:row r="139" ht="25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</x:row>
    <x:row r="140" ht="25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</x:row>
    <x:row r="141" ht="25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</x:row>
    <x:row r="142" ht="25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</x:row>
    <x:row r="143" ht="25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</x:row>
    <x:row r="144" ht="25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</x:row>
    <x:row r="145" ht="25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</x:row>
    <x:row r="146" ht="25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</x:row>
    <x:row r="147" ht="25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</x:row>
    <x:row r="148" ht="25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</x:row>
    <x:row r="149" ht="25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</x:row>
    <x:row r="150" ht="25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</x:row>
    <x:row r="151" ht="25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</x:row>
    <x:row r="152" ht="25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</x:row>
    <x:row r="153" ht="25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</x:row>
    <x:row r="154" ht="25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</x:row>
    <x:row r="155" ht="25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</x:row>
    <x:row r="156" ht="25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</x:row>
    <x:row r="157" ht="25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</x:row>
    <x:row r="158" ht="25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</x:row>
    <x:row r="159" ht="25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</x:row>
    <x:row r="160" ht="25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</x:row>
    <x:row r="161" ht="25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</x:row>
    <x:row r="162" ht="25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</x:row>
    <x:row r="163" ht="25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</x:row>
    <x:row r="164" ht="25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</x:row>
    <x:row r="165" ht="25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</x:row>
    <x:row r="166" ht="25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</x:row>
    <x:row r="167" ht="25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</x:row>
    <x:row r="168" ht="25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</x:row>
    <x:row r="169" ht="25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</x:row>
    <x:row r="170" ht="25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</x:row>
    <x:row r="171" ht="25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</x:row>
    <x:row r="172" ht="25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</x:row>
    <x:row r="173" ht="25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</x:row>
    <x:row r="174" ht="25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</x:row>
    <x:row r="175" ht="25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</x:row>
    <x:row r="176" ht="25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</x:row>
    <x:row r="177" ht="25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</x:row>
    <x:row r="178" ht="25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</x:row>
    <x:row r="179" ht="25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</x:row>
    <x:row r="180" ht="25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</x:row>
    <x:row r="181" ht="25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</x:row>
    <x:row r="182" ht="25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</x:row>
    <x:row r="183" ht="25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</x:row>
    <x:row r="184" ht="25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</x:row>
    <x:row r="185" ht="25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</x:row>
    <x:row r="186" ht="25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</x:row>
    <x:row r="187" ht="25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</x:row>
    <x:row r="188" ht="25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</x:row>
    <x:row r="189" ht="25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</x:row>
    <x:row r="190" ht="25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</x:row>
    <x:row r="191" ht="25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</x:row>
    <x:row r="192" ht="25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</x:row>
    <x:row r="193" ht="25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</x:row>
    <x:row r="194" ht="25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</x:row>
    <x:row r="195" ht="25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</x:row>
    <x:row r="196" ht="25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</x:row>
    <x:row r="197" ht="25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</x:row>
    <x:row r="198" ht="25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</x:row>
    <x:row r="199" ht="25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</x:row>
    <x:row r="200" ht="25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</x:row>
    <x:row r="201" ht="25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</x:row>
    <x:row r="202" ht="25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</x:row>
    <x:row r="203" ht="25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</x:row>
    <x:row r="204" ht="25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</x:row>
    <x:row r="205" ht="25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</x:row>
    <x:row r="206" ht="25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</x:row>
    <x:row r="207" ht="25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</x:row>
    <x:row r="208" ht="25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</x:row>
    <x:row r="209" ht="25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</x:row>
    <x:row r="210" ht="25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</x:row>
    <x:row r="211" ht="25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</x:row>
    <x:row r="212" ht="25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</x:row>
    <x:row r="213" ht="25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</x:row>
    <x:row r="214" ht="25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</x:row>
    <x:row r="215" ht="25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</x:row>
    <x:row r="216" ht="25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</x:row>
    <x:row r="217" ht="25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</x:row>
    <x:row r="218" ht="25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</x:row>
    <x:row r="219" ht="25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</x:row>
    <x:row r="220" ht="25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</x:row>
    <x:row r="221" ht="25" customHeight="1">
      <x:c r="A221" s="38"/>
      <x:c r="B221" s="38"/>
      <x:c r="C221" s="38"/>
      <x:c r="D221" s="38"/>
      <x:c r="E221" s="38"/>
      <x:c r="F221" s="38"/>
      <x:c r="G221" s="38"/>
      <x:c r="H221" s="38"/>
      <x:c r="I221" s="38"/>
      <x:c r="J221" s="38"/>
      <x:c r="K221" s="38"/>
      <x:c r="L221" s="38"/>
      <x:c r="M221" s="38"/>
      <x:c r="N221" s="38"/>
      <x:c r="O221" s="38"/>
      <x:c r="P221" s="38"/>
    </x:row>
    <x:row r="222" ht="25" customHeight="1">
      <x:c r="A222" s="38"/>
      <x:c r="B222" s="38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8"/>
      <x:c r="N222" s="38"/>
      <x:c r="O222" s="38"/>
      <x:c r="P222" s="38"/>
    </x:row>
    <x:row r="223" ht="25" customHeight="1">
      <x:c r="A223" s="38"/>
      <x:c r="B223" s="38"/>
      <x:c r="C223" s="38"/>
      <x:c r="D223" s="38"/>
      <x:c r="E223" s="38"/>
      <x:c r="F223" s="38"/>
      <x:c r="G223" s="38"/>
      <x:c r="H223" s="38"/>
      <x:c r="I223" s="38"/>
      <x:c r="J223" s="38"/>
      <x:c r="K223" s="38"/>
      <x:c r="L223" s="38"/>
      <x:c r="M223" s="38"/>
      <x:c r="N223" s="38"/>
      <x:c r="O223" s="38"/>
      <x:c r="P223" s="38"/>
    </x:row>
    <x:row r="224" ht="25" customHeight="1">
      <x:c r="A224" s="38"/>
      <x:c r="B224" s="38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8"/>
      <x:c r="N224" s="38"/>
      <x:c r="O224" s="38"/>
      <x:c r="P224" s="38"/>
    </x:row>
    <x:row r="225" ht="25" customHeight="1">
      <x:c r="A225" s="38"/>
      <x:c r="B225" s="38"/>
      <x:c r="C225" s="38"/>
      <x:c r="D225" s="38"/>
      <x:c r="E225" s="38"/>
      <x:c r="F225" s="38"/>
      <x:c r="G225" s="38"/>
      <x:c r="H225" s="38"/>
      <x:c r="I225" s="38"/>
      <x:c r="J225" s="38"/>
      <x:c r="K225" s="38"/>
      <x:c r="L225" s="38"/>
      <x:c r="M225" s="38"/>
      <x:c r="N225" s="38"/>
      <x:c r="O225" s="38"/>
      <x:c r="P225" s="38"/>
    </x:row>
    <x:row r="226" ht="25" customHeight="1">
      <x:c r="A226" s="38"/>
      <x:c r="B226" s="38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8"/>
      <x:c r="N226" s="38"/>
      <x:c r="O226" s="38"/>
      <x:c r="P226" s="38"/>
    </x:row>
    <x:row r="227" ht="25" customHeight="1">
      <x:c r="A227" s="38"/>
      <x:c r="B227" s="38"/>
      <x:c r="C227" s="38"/>
      <x:c r="D227" s="38"/>
      <x:c r="E227" s="38"/>
      <x:c r="F227" s="38"/>
      <x:c r="G227" s="38"/>
      <x:c r="H227" s="38"/>
      <x:c r="I227" s="38"/>
      <x:c r="J227" s="38"/>
      <x:c r="K227" s="38"/>
      <x:c r="L227" s="38"/>
      <x:c r="M227" s="38"/>
      <x:c r="N227" s="38"/>
      <x:c r="O227" s="38"/>
      <x:c r="P227" s="38"/>
    </x:row>
    <x:row r="228" ht="25" customHeight="1">
      <x:c r="A228" s="38"/>
      <x:c r="B228" s="38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8"/>
      <x:c r="N228" s="38"/>
      <x:c r="O228" s="38"/>
      <x:c r="P228" s="38"/>
    </x:row>
    <x:row r="229" ht="25" customHeight="1">
      <x:c r="A229" s="38"/>
      <x:c r="B229" s="38"/>
      <x:c r="C229" s="38"/>
      <x:c r="D229" s="38"/>
      <x:c r="E229" s="38"/>
      <x:c r="F229" s="38"/>
      <x:c r="G229" s="38"/>
      <x:c r="H229" s="38"/>
      <x:c r="I229" s="38"/>
      <x:c r="J229" s="38"/>
      <x:c r="K229" s="38"/>
      <x:c r="L229" s="38"/>
      <x:c r="M229" s="38"/>
      <x:c r="N229" s="38"/>
      <x:c r="O229" s="38"/>
      <x:c r="P229" s="38"/>
    </x:row>
    <x:row r="230" ht="25" customHeight="1">
      <x:c r="A230" s="38"/>
      <x:c r="B230" s="38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8"/>
      <x:c r="N230" s="38"/>
      <x:c r="O230" s="38"/>
      <x:c r="P230" s="38"/>
    </x:row>
    <x:row r="231" ht="25" customHeight="1">
      <x:c r="A231" s="38"/>
      <x:c r="B231" s="38"/>
      <x:c r="C231" s="38"/>
      <x:c r="D231" s="38"/>
      <x:c r="E231" s="38"/>
      <x:c r="F231" s="38"/>
      <x:c r="G231" s="38"/>
      <x:c r="H231" s="38"/>
      <x:c r="I231" s="38"/>
      <x:c r="J231" s="38"/>
      <x:c r="K231" s="38"/>
      <x:c r="L231" s="38"/>
      <x:c r="M231" s="38"/>
      <x:c r="N231" s="38"/>
      <x:c r="O231" s="38"/>
      <x:c r="P231" s="38"/>
    </x:row>
    <x:row r="232" ht="25" customHeight="1">
      <x:c r="A232" s="38"/>
      <x:c r="B232" s="38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8"/>
      <x:c r="N232" s="38"/>
      <x:c r="O232" s="38"/>
      <x:c r="P232" s="38"/>
    </x:row>
    <x:row r="233" ht="25" customHeight="1">
      <x:c r="A233" s="38"/>
      <x:c r="B233" s="38"/>
      <x:c r="C233" s="38"/>
      <x:c r="D233" s="38"/>
      <x:c r="E233" s="38"/>
      <x:c r="F233" s="38"/>
      <x:c r="G233" s="38"/>
      <x:c r="H233" s="38"/>
      <x:c r="I233" s="38"/>
      <x:c r="J233" s="38"/>
      <x:c r="K233" s="38"/>
      <x:c r="L233" s="38"/>
      <x:c r="M233" s="38"/>
      <x:c r="N233" s="38"/>
      <x:c r="O233" s="38"/>
      <x:c r="P233" s="38"/>
    </x:row>
    <x:row r="234" ht="25" customHeight="1">
      <x:c r="A234" s="38"/>
      <x:c r="B234" s="38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8"/>
      <x:c r="N234" s="38"/>
      <x:c r="O234" s="38"/>
      <x:c r="P234" s="38"/>
    </x:row>
    <x:row r="235" ht="25" customHeight="1">
      <x:c r="A235" s="38"/>
      <x:c r="B235" s="38"/>
      <x:c r="C235" s="38"/>
      <x:c r="D235" s="38"/>
      <x:c r="E235" s="38"/>
      <x:c r="F235" s="38"/>
      <x:c r="G235" s="38"/>
      <x:c r="H235" s="38"/>
      <x:c r="I235" s="38"/>
      <x:c r="J235" s="38"/>
      <x:c r="K235" s="38"/>
      <x:c r="L235" s="38"/>
      <x:c r="M235" s="38"/>
      <x:c r="N235" s="38"/>
      <x:c r="O235" s="38"/>
      <x:c r="P235" s="38"/>
    </x:row>
    <x:row r="236" ht="25" customHeight="1">
      <x:c r="A236" s="38"/>
      <x:c r="B236" s="38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8"/>
      <x:c r="N236" s="38"/>
      <x:c r="O236" s="38"/>
      <x:c r="P236" s="38"/>
    </x:row>
    <x:row r="237" ht="25" customHeight="1">
      <x:c r="A237" s="38"/>
      <x:c r="B237" s="38"/>
      <x:c r="C237" s="38"/>
      <x:c r="D237" s="38"/>
      <x:c r="E237" s="38"/>
      <x:c r="F237" s="38"/>
      <x:c r="G237" s="38"/>
      <x:c r="H237" s="38"/>
      <x:c r="I237" s="38"/>
      <x:c r="J237" s="38"/>
      <x:c r="K237" s="38"/>
      <x:c r="L237" s="38"/>
      <x:c r="M237" s="38"/>
      <x:c r="N237" s="38"/>
      <x:c r="O237" s="38"/>
      <x:c r="P237" s="38"/>
    </x:row>
    <x:row r="238" ht="25" customHeight="1">
      <x:c r="A238" s="38"/>
      <x:c r="B238" s="38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8"/>
      <x:c r="N238" s="38"/>
      <x:c r="O238" s="38"/>
      <x:c r="P238" s="38"/>
    </x:row>
    <x:row r="239" ht="25" customHeight="1">
      <x:c r="A239" s="38"/>
      <x:c r="B239" s="38"/>
      <x:c r="C239" s="38"/>
      <x:c r="D239" s="38"/>
      <x:c r="E239" s="38"/>
      <x:c r="F239" s="38"/>
      <x:c r="G239" s="38"/>
      <x:c r="H239" s="38"/>
      <x:c r="I239" s="38"/>
      <x:c r="J239" s="38"/>
      <x:c r="K239" s="38"/>
      <x:c r="L239" s="38"/>
      <x:c r="M239" s="38"/>
      <x:c r="N239" s="38"/>
      <x:c r="O239" s="38"/>
      <x:c r="P239" s="38"/>
    </x:row>
    <x:row r="240" ht="25" customHeight="1">
      <x:c r="A240" s="38"/>
      <x:c r="B240" s="38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8"/>
      <x:c r="N240" s="38"/>
      <x:c r="O240" s="38"/>
      <x:c r="P240" s="38"/>
    </x:row>
    <x:row r="241" ht="25" customHeight="1">
      <x:c r="A241" s="38"/>
      <x:c r="B241" s="38"/>
      <x:c r="C241" s="38"/>
      <x:c r="D241" s="38"/>
      <x:c r="E241" s="38"/>
      <x:c r="F241" s="38"/>
      <x:c r="G241" s="38"/>
      <x:c r="H241" s="38"/>
      <x:c r="I241" s="38"/>
      <x:c r="J241" s="38"/>
      <x:c r="K241" s="38"/>
      <x:c r="L241" s="38"/>
      <x:c r="M241" s="38"/>
      <x:c r="N241" s="38"/>
      <x:c r="O241" s="38"/>
      <x:c r="P241" s="38"/>
    </x:row>
    <x:row r="242" ht="25" customHeight="1">
      <x:c r="A242" s="38"/>
      <x:c r="B242" s="38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8"/>
      <x:c r="N242" s="38"/>
      <x:c r="O242" s="38"/>
      <x:c r="P242" s="38"/>
    </x:row>
    <x:row r="243" ht="25" customHeight="1">
      <x:c r="A243" s="38"/>
      <x:c r="B243" s="38"/>
      <x:c r="C243" s="38"/>
      <x:c r="D243" s="38"/>
      <x:c r="E243" s="38"/>
      <x:c r="F243" s="38"/>
      <x:c r="G243" s="38"/>
      <x:c r="H243" s="38"/>
      <x:c r="I243" s="38"/>
      <x:c r="J243" s="38"/>
      <x:c r="K243" s="38"/>
      <x:c r="L243" s="38"/>
      <x:c r="M243" s="38"/>
      <x:c r="N243" s="38"/>
      <x:c r="O243" s="38"/>
      <x:c r="P243" s="38"/>
    </x:row>
    <x:row r="244" ht="25" customHeight="1">
      <x:c r="A244" s="38"/>
      <x:c r="B244" s="38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8"/>
      <x:c r="N244" s="38"/>
      <x:c r="O244" s="38"/>
      <x:c r="P244" s="38"/>
    </x:row>
    <x:row r="245" ht="25" customHeight="1">
      <x:c r="A245" s="38"/>
      <x:c r="B245" s="38"/>
      <x:c r="C245" s="38"/>
      <x:c r="D245" s="38"/>
      <x:c r="E245" s="38"/>
      <x:c r="F245" s="38"/>
      <x:c r="G245" s="38"/>
      <x:c r="H245" s="38"/>
      <x:c r="I245" s="38"/>
      <x:c r="J245" s="38"/>
      <x:c r="K245" s="38"/>
      <x:c r="L245" s="38"/>
      <x:c r="M245" s="38"/>
      <x:c r="N245" s="38"/>
      <x:c r="O245" s="38"/>
      <x:c r="P245" s="38"/>
    </x:row>
    <x:row r="246" ht="25" customHeight="1">
      <x:c r="A246" s="38"/>
      <x:c r="B246" s="38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8"/>
      <x:c r="N246" s="38"/>
      <x:c r="O246" s="38"/>
      <x:c r="P246" s="38"/>
    </x:row>
    <x:row r="247" ht="25" customHeight="1">
      <x:c r="A247" s="38"/>
      <x:c r="B247" s="38"/>
      <x:c r="C247" s="38"/>
      <x:c r="D247" s="38"/>
      <x:c r="E247" s="38"/>
      <x:c r="F247" s="38"/>
      <x:c r="G247" s="38"/>
      <x:c r="H247" s="38"/>
      <x:c r="I247" s="38"/>
      <x:c r="J247" s="38"/>
      <x:c r="K247" s="38"/>
      <x:c r="L247" s="38"/>
      <x:c r="M247" s="38"/>
      <x:c r="N247" s="38"/>
      <x:c r="O247" s="38"/>
      <x:c r="P247" s="38"/>
    </x:row>
    <x:row r="248" ht="25" customHeight="1">
      <x:c r="A248" s="38"/>
      <x:c r="B248" s="38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8"/>
      <x:c r="N248" s="38"/>
      <x:c r="O248" s="38"/>
      <x:c r="P248" s="38"/>
    </x:row>
    <x:row r="249" ht="25" customHeight="1">
      <x:c r="A249" s="38"/>
      <x:c r="B249" s="38"/>
      <x:c r="C249" s="38"/>
      <x:c r="D249" s="38"/>
      <x:c r="E249" s="38"/>
      <x:c r="F249" s="38"/>
      <x:c r="G249" s="38"/>
      <x:c r="H249" s="38"/>
      <x:c r="I249" s="38"/>
      <x:c r="J249" s="38"/>
      <x:c r="K249" s="38"/>
      <x:c r="L249" s="38"/>
      <x:c r="M249" s="38"/>
      <x:c r="N249" s="38"/>
      <x:c r="O249" s="38"/>
      <x:c r="P249" s="38"/>
    </x:row>
    <x:row r="250" ht="25" customHeight="1">
      <x:c r="A250" s="38"/>
      <x:c r="B250" s="38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8"/>
      <x:c r="N250" s="38"/>
      <x:c r="O250" s="38"/>
      <x:c r="P250" s="38"/>
    </x:row>
    <x:row r="251" ht="25" customHeight="1">
      <x:c r="A251" s="38"/>
      <x:c r="B251" s="38"/>
      <x:c r="C251" s="38"/>
      <x:c r="D251" s="38"/>
      <x:c r="E251" s="38"/>
      <x:c r="F251" s="38"/>
      <x:c r="G251" s="38"/>
      <x:c r="H251" s="38"/>
      <x:c r="I251" s="38"/>
      <x:c r="J251" s="38"/>
      <x:c r="K251" s="38"/>
      <x:c r="L251" s="38"/>
      <x:c r="M251" s="38"/>
      <x:c r="N251" s="38"/>
      <x:c r="O251" s="38"/>
      <x:c r="P251" s="38"/>
    </x:row>
    <x:row r="252" ht="25" customHeight="1">
      <x:c r="A252" s="38"/>
      <x:c r="B252" s="38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8"/>
      <x:c r="N252" s="38"/>
      <x:c r="O252" s="38"/>
      <x:c r="P252" s="38"/>
    </x:row>
    <x:row r="253" ht="25" customHeight="1">
      <x:c r="A253" s="38"/>
      <x:c r="B253" s="38"/>
      <x:c r="C253" s="38"/>
      <x:c r="D253" s="38"/>
      <x:c r="E253" s="38"/>
      <x:c r="F253" s="38"/>
      <x:c r="G253" s="38"/>
      <x:c r="H253" s="38"/>
      <x:c r="I253" s="38"/>
      <x:c r="J253" s="38"/>
      <x:c r="K253" s="38"/>
      <x:c r="L253" s="38"/>
      <x:c r="M253" s="38"/>
      <x:c r="N253" s="38"/>
      <x:c r="O253" s="38"/>
      <x:c r="P253" s="38"/>
    </x:row>
    <x:row r="254" ht="25" customHeight="1">
      <x:c r="A254" s="38"/>
      <x:c r="B254" s="38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8"/>
      <x:c r="N254" s="38"/>
      <x:c r="O254" s="38"/>
      <x:c r="P254" s="38"/>
    </x:row>
    <x:row r="255" ht="25" customHeight="1">
      <x:c r="A255" s="38"/>
      <x:c r="B255" s="38"/>
      <x:c r="C255" s="38"/>
      <x:c r="D255" s="38"/>
      <x:c r="E255" s="38"/>
      <x:c r="F255" s="38"/>
      <x:c r="G255" s="38"/>
      <x:c r="H255" s="38"/>
      <x:c r="I255" s="38"/>
      <x:c r="J255" s="38"/>
      <x:c r="K255" s="38"/>
      <x:c r="L255" s="38"/>
      <x:c r="M255" s="38"/>
      <x:c r="N255" s="38"/>
      <x:c r="O255" s="38"/>
      <x:c r="P255" s="38"/>
    </x:row>
    <x:row r="256" ht="25" customHeight="1">
      <x:c r="A256" s="38"/>
      <x:c r="B256" s="38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8"/>
      <x:c r="N256" s="38"/>
      <x:c r="O256" s="38"/>
      <x:c r="P256" s="38"/>
    </x:row>
    <x:row r="257" ht="25" customHeight="1">
      <x:c r="A257" s="38"/>
      <x:c r="B257" s="38"/>
      <x:c r="C257" s="38"/>
      <x:c r="D257" s="38"/>
      <x:c r="E257" s="38"/>
      <x:c r="F257" s="38"/>
      <x:c r="G257" s="38"/>
      <x:c r="H257" s="38"/>
      <x:c r="I257" s="38"/>
      <x:c r="J257" s="38"/>
      <x:c r="K257" s="38"/>
      <x:c r="L257" s="38"/>
      <x:c r="M257" s="38"/>
      <x:c r="N257" s="38"/>
      <x:c r="O257" s="38"/>
      <x:c r="P257" s="38"/>
    </x:row>
    <x:row r="258" ht="25" customHeight="1">
      <x:c r="A258" s="38"/>
      <x:c r="B258" s="38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8"/>
      <x:c r="N258" s="38"/>
      <x:c r="O258" s="38"/>
      <x:c r="P258" s="38"/>
    </x:row>
    <x:row r="259" ht="25" customHeight="1">
      <x:c r="A259" s="38"/>
      <x:c r="B259" s="38"/>
      <x:c r="C259" s="38"/>
      <x:c r="D259" s="38"/>
      <x:c r="E259" s="38"/>
      <x:c r="F259" s="38"/>
      <x:c r="G259" s="38"/>
      <x:c r="H259" s="38"/>
      <x:c r="I259" s="38"/>
      <x:c r="J259" s="38"/>
      <x:c r="K259" s="38"/>
      <x:c r="L259" s="38"/>
      <x:c r="M259" s="38"/>
      <x:c r="N259" s="38"/>
      <x:c r="O259" s="38"/>
      <x:c r="P259" s="38"/>
    </x:row>
    <x:row r="260" ht="25" customHeight="1">
      <x:c r="A260" s="38"/>
      <x:c r="B260" s="38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8"/>
      <x:c r="N260" s="38"/>
      <x:c r="O260" s="38"/>
      <x:c r="P260" s="38"/>
    </x:row>
    <x:row r="261" ht="25" customHeight="1">
      <x:c r="A261" s="38"/>
      <x:c r="B261" s="38"/>
      <x:c r="C261" s="38"/>
      <x:c r="D261" s="38"/>
      <x:c r="E261" s="38"/>
      <x:c r="F261" s="38"/>
      <x:c r="G261" s="38"/>
      <x:c r="H261" s="38"/>
      <x:c r="I261" s="38"/>
      <x:c r="J261" s="38"/>
      <x:c r="K261" s="38"/>
      <x:c r="L261" s="38"/>
      <x:c r="M261" s="38"/>
      <x:c r="N261" s="38"/>
      <x:c r="O261" s="38"/>
      <x:c r="P261" s="38"/>
    </x:row>
    <x:row r="262" ht="25" customHeight="1">
      <x:c r="A262" s="38"/>
      <x:c r="B262" s="38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8"/>
      <x:c r="N262" s="38"/>
      <x:c r="O262" s="38"/>
      <x:c r="P262" s="38"/>
    </x:row>
    <x:row r="263" ht="25" customHeight="1">
      <x:c r="A263" s="38"/>
      <x:c r="B263" s="38"/>
      <x:c r="C263" s="38"/>
      <x:c r="D263" s="38"/>
      <x:c r="E263" s="38"/>
      <x:c r="F263" s="38"/>
      <x:c r="G263" s="38"/>
      <x:c r="H263" s="38"/>
      <x:c r="I263" s="38"/>
      <x:c r="J263" s="38"/>
      <x:c r="K263" s="38"/>
      <x:c r="L263" s="38"/>
      <x:c r="M263" s="38"/>
      <x:c r="N263" s="38"/>
      <x:c r="O263" s="38"/>
      <x:c r="P263" s="38"/>
    </x:row>
    <x:row r="264" ht="25" customHeight="1">
      <x:c r="A264" s="38"/>
      <x:c r="B264" s="38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8"/>
      <x:c r="N264" s="38"/>
      <x:c r="O264" s="38"/>
      <x:c r="P264" s="38"/>
    </x:row>
    <x:row r="265" ht="25" customHeight="1">
      <x:c r="A265" s="38"/>
      <x:c r="B265" s="38"/>
      <x:c r="C265" s="38"/>
      <x:c r="D265" s="38"/>
      <x:c r="E265" s="38"/>
      <x:c r="F265" s="38"/>
      <x:c r="G265" s="38"/>
      <x:c r="H265" s="38"/>
      <x:c r="I265" s="38"/>
      <x:c r="J265" s="38"/>
      <x:c r="K265" s="38"/>
      <x:c r="L265" s="38"/>
      <x:c r="M265" s="38"/>
      <x:c r="N265" s="38"/>
      <x:c r="O265" s="38"/>
      <x:c r="P265" s="38"/>
    </x:row>
    <x:row r="266" ht="25" customHeight="1">
      <x:c r="A266" s="38"/>
      <x:c r="B266" s="38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8"/>
      <x:c r="N266" s="38"/>
      <x:c r="O266" s="38"/>
      <x:c r="P266" s="38"/>
    </x:row>
    <x:row r="267" ht="25" customHeight="1">
      <x:c r="A267" s="38"/>
      <x:c r="B267" s="38"/>
      <x:c r="C267" s="38"/>
      <x:c r="D267" s="38"/>
      <x:c r="E267" s="38"/>
      <x:c r="F267" s="38"/>
      <x:c r="G267" s="38"/>
      <x:c r="H267" s="38"/>
      <x:c r="I267" s="38"/>
      <x:c r="J267" s="38"/>
      <x:c r="K267" s="38"/>
      <x:c r="L267" s="38"/>
      <x:c r="M267" s="38"/>
      <x:c r="N267" s="38"/>
      <x:c r="O267" s="38"/>
      <x:c r="P267" s="38"/>
    </x:row>
    <x:row r="268" ht="25" customHeight="1">
      <x:c r="A268" s="38"/>
      <x:c r="B268" s="38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8"/>
      <x:c r="N268" s="38"/>
      <x:c r="O268" s="38"/>
      <x:c r="P268" s="38"/>
    </x:row>
    <x:row r="269" ht="25" customHeight="1">
      <x:c r="A269" s="38"/>
      <x:c r="B269" s="38"/>
      <x:c r="C269" s="38"/>
      <x:c r="D269" s="38"/>
      <x:c r="E269" s="38"/>
      <x:c r="F269" s="38"/>
      <x:c r="G269" s="38"/>
      <x:c r="H269" s="38"/>
      <x:c r="I269" s="38"/>
      <x:c r="J269" s="38"/>
      <x:c r="K269" s="38"/>
      <x:c r="L269" s="38"/>
      <x:c r="M269" s="38"/>
      <x:c r="N269" s="38"/>
      <x:c r="O269" s="38"/>
      <x:c r="P269" s="38"/>
    </x:row>
    <x:row r="270" ht="25" customHeight="1">
      <x:c r="A270" s="38"/>
      <x:c r="B270" s="38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8"/>
      <x:c r="N270" s="38"/>
      <x:c r="O270" s="38"/>
      <x:c r="P270" s="38"/>
    </x:row>
    <x:row r="271" ht="25" customHeight="1">
      <x:c r="A271" s="38"/>
      <x:c r="B271" s="38"/>
      <x:c r="C271" s="38"/>
      <x:c r="D271" s="38"/>
      <x:c r="E271" s="38"/>
      <x:c r="F271" s="38"/>
      <x:c r="G271" s="38"/>
      <x:c r="H271" s="38"/>
      <x:c r="I271" s="38"/>
      <x:c r="J271" s="38"/>
      <x:c r="K271" s="38"/>
      <x:c r="L271" s="38"/>
      <x:c r="M271" s="38"/>
      <x:c r="N271" s="38"/>
      <x:c r="O271" s="38"/>
      <x:c r="P271" s="38"/>
    </x:row>
    <x:row r="272" ht="25" customHeight="1">
      <x:c r="A272" s="38"/>
      <x:c r="B272" s="38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8"/>
      <x:c r="N272" s="38"/>
      <x:c r="O272" s="38"/>
      <x:c r="P272" s="38"/>
    </x:row>
    <x:row r="273" ht="25" customHeight="1">
      <x:c r="A273" s="38"/>
      <x:c r="B273" s="38"/>
      <x:c r="C273" s="38"/>
      <x:c r="D273" s="38"/>
      <x:c r="E273" s="38"/>
      <x:c r="F273" s="38"/>
      <x:c r="G273" s="38"/>
      <x:c r="H273" s="38"/>
      <x:c r="I273" s="38"/>
      <x:c r="J273" s="38"/>
      <x:c r="K273" s="38"/>
      <x:c r="L273" s="38"/>
      <x:c r="M273" s="38"/>
      <x:c r="N273" s="38"/>
      <x:c r="O273" s="38"/>
      <x:c r="P273" s="38"/>
    </x:row>
    <x:row r="274" ht="25" customHeight="1">
      <x:c r="A274" s="38"/>
      <x:c r="B274" s="38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8"/>
      <x:c r="N274" s="38"/>
      <x:c r="O274" s="38"/>
      <x:c r="P274" s="38"/>
    </x:row>
    <x:row r="275" ht="25" customHeight="1">
      <x:c r="A275" s="38"/>
      <x:c r="B275" s="38"/>
      <x:c r="C275" s="38"/>
      <x:c r="D275" s="38"/>
      <x:c r="E275" s="38"/>
      <x:c r="F275" s="38"/>
      <x:c r="G275" s="38"/>
      <x:c r="H275" s="38"/>
      <x:c r="I275" s="38"/>
      <x:c r="J275" s="38"/>
      <x:c r="K275" s="38"/>
      <x:c r="L275" s="38"/>
      <x:c r="M275" s="38"/>
      <x:c r="N275" s="38"/>
      <x:c r="O275" s="38"/>
      <x:c r="P275" s="38"/>
    </x:row>
    <x:row r="276" ht="25" customHeight="1">
      <x:c r="A276" s="38"/>
      <x:c r="B276" s="38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8"/>
      <x:c r="N276" s="38"/>
      <x:c r="O276" s="38"/>
      <x:c r="P276" s="38"/>
    </x:row>
    <x:row r="277" ht="25" customHeight="1">
      <x:c r="A277" s="38"/>
      <x:c r="B277" s="38"/>
      <x:c r="C277" s="38"/>
      <x:c r="D277" s="38"/>
      <x:c r="E277" s="38"/>
      <x:c r="F277" s="38"/>
      <x:c r="G277" s="38"/>
      <x:c r="H277" s="38"/>
      <x:c r="I277" s="38"/>
      <x:c r="J277" s="38"/>
      <x:c r="K277" s="38"/>
      <x:c r="L277" s="38"/>
      <x:c r="M277" s="38"/>
      <x:c r="N277" s="38"/>
      <x:c r="O277" s="38"/>
      <x:c r="P277" s="38"/>
    </x:row>
    <x:row r="278" ht="25" customHeight="1">
      <x:c r="A278" s="38"/>
      <x:c r="B278" s="38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8"/>
      <x:c r="N278" s="38"/>
      <x:c r="O278" s="38"/>
      <x:c r="P278" s="38"/>
    </x:row>
    <x:row r="279" ht="25" customHeight="1">
      <x:c r="A279" s="38"/>
      <x:c r="B279" s="38"/>
      <x:c r="C279" s="38"/>
      <x:c r="D279" s="38"/>
      <x:c r="E279" s="38"/>
      <x:c r="F279" s="38"/>
      <x:c r="G279" s="38"/>
      <x:c r="H279" s="38"/>
      <x:c r="I279" s="38"/>
      <x:c r="J279" s="38"/>
      <x:c r="K279" s="38"/>
      <x:c r="L279" s="38"/>
      <x:c r="M279" s="38"/>
      <x:c r="N279" s="38"/>
      <x:c r="O279" s="38"/>
      <x:c r="P279" s="38"/>
    </x:row>
    <x:row r="280" ht="25" customHeight="1">
      <x:c r="A280" s="38"/>
      <x:c r="B280" s="38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8"/>
      <x:c r="N280" s="38"/>
      <x:c r="O280" s="38"/>
      <x:c r="P280" s="38"/>
    </x:row>
    <x:row r="281" ht="25" customHeight="1">
      <x:c r="A281" s="38"/>
      <x:c r="B281" s="38"/>
      <x:c r="C281" s="38"/>
      <x:c r="D281" s="38"/>
      <x:c r="E281" s="38"/>
      <x:c r="F281" s="38"/>
      <x:c r="G281" s="38"/>
      <x:c r="H281" s="38"/>
      <x:c r="I281" s="38"/>
      <x:c r="J281" s="38"/>
      <x:c r="K281" s="38"/>
      <x:c r="L281" s="38"/>
      <x:c r="M281" s="38"/>
      <x:c r="N281" s="38"/>
      <x:c r="O281" s="38"/>
      <x:c r="P281" s="38"/>
    </x:row>
    <x:row r="282" ht="25" customHeight="1">
      <x:c r="A282" s="38"/>
      <x:c r="B282" s="38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8"/>
      <x:c r="N282" s="38"/>
      <x:c r="O282" s="38"/>
      <x:c r="P282" s="38"/>
    </x:row>
    <x:row r="283" ht="25" customHeight="1">
      <x:c r="A283" s="38"/>
      <x:c r="B283" s="38"/>
      <x:c r="C283" s="38"/>
      <x:c r="D283" s="38"/>
      <x:c r="E283" s="38"/>
      <x:c r="F283" s="38"/>
      <x:c r="G283" s="38"/>
      <x:c r="H283" s="38"/>
      <x:c r="I283" s="38"/>
      <x:c r="J283" s="38"/>
      <x:c r="K283" s="38"/>
      <x:c r="L283" s="38"/>
      <x:c r="M283" s="38"/>
      <x:c r="N283" s="38"/>
      <x:c r="O283" s="38"/>
      <x:c r="P283" s="38"/>
    </x:row>
    <x:row r="284" ht="25" customHeight="1">
      <x:c r="A284" s="38"/>
      <x:c r="B284" s="38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8"/>
      <x:c r="N284" s="38"/>
      <x:c r="O284" s="38"/>
      <x:c r="P284" s="38"/>
    </x:row>
    <x:row r="285" ht="25" customHeight="1">
      <x:c r="A285" s="38"/>
      <x:c r="B285" s="38"/>
      <x:c r="C285" s="38"/>
      <x:c r="D285" s="38"/>
      <x:c r="E285" s="38"/>
      <x:c r="F285" s="38"/>
      <x:c r="G285" s="38"/>
      <x:c r="H285" s="38"/>
      <x:c r="I285" s="38"/>
      <x:c r="J285" s="38"/>
      <x:c r="K285" s="38"/>
      <x:c r="L285" s="38"/>
      <x:c r="M285" s="38"/>
      <x:c r="N285" s="38"/>
      <x:c r="O285" s="38"/>
      <x:c r="P285" s="38"/>
    </x:row>
    <x:row r="286" ht="25" customHeight="1">
      <x:c r="A286" s="38"/>
      <x:c r="B286" s="38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8"/>
      <x:c r="N286" s="38"/>
      <x:c r="O286" s="38"/>
      <x:c r="P286" s="38"/>
    </x:row>
    <x:row r="287" ht="25" customHeight="1">
      <x:c r="A287" s="38"/>
      <x:c r="B287" s="38"/>
      <x:c r="C287" s="38"/>
      <x:c r="D287" s="38"/>
      <x:c r="E287" s="38"/>
      <x:c r="F287" s="38"/>
      <x:c r="G287" s="38"/>
      <x:c r="H287" s="38"/>
      <x:c r="I287" s="38"/>
      <x:c r="J287" s="38"/>
      <x:c r="K287" s="38"/>
      <x:c r="L287" s="38"/>
      <x:c r="M287" s="38"/>
      <x:c r="N287" s="38"/>
      <x:c r="O287" s="38"/>
      <x:c r="P287" s="38"/>
    </x:row>
    <x:row r="288" ht="25" customHeight="1">
      <x:c r="A288" s="38"/>
      <x:c r="B288" s="38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8"/>
      <x:c r="N288" s="38"/>
      <x:c r="O288" s="38"/>
      <x:c r="P288" s="38"/>
    </x:row>
    <x:row r="289" ht="25" customHeight="1">
      <x:c r="A289" s="38"/>
      <x:c r="B289" s="38"/>
      <x:c r="C289" s="38"/>
      <x:c r="D289" s="38"/>
      <x:c r="E289" s="38"/>
      <x:c r="F289" s="38"/>
      <x:c r="G289" s="38"/>
      <x:c r="H289" s="38"/>
      <x:c r="I289" s="38"/>
      <x:c r="J289" s="38"/>
      <x:c r="K289" s="38"/>
      <x:c r="L289" s="38"/>
      <x:c r="M289" s="38"/>
      <x:c r="N289" s="38"/>
      <x:c r="O289" s="38"/>
      <x:c r="P289" s="38"/>
    </x:row>
    <x:row r="290" ht="25" customHeight="1">
      <x:c r="A290" s="38"/>
      <x:c r="B290" s="38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8"/>
      <x:c r="N290" s="38"/>
      <x:c r="O290" s="38"/>
      <x:c r="P290" s="38"/>
    </x:row>
    <x:row r="291" ht="25" customHeight="1">
      <x:c r="A291" s="38"/>
      <x:c r="B291" s="38"/>
      <x:c r="C291" s="38"/>
      <x:c r="D291" s="38"/>
      <x:c r="E291" s="38"/>
      <x:c r="F291" s="38"/>
      <x:c r="G291" s="38"/>
      <x:c r="H291" s="38"/>
      <x:c r="I291" s="38"/>
      <x:c r="J291" s="38"/>
      <x:c r="K291" s="38"/>
      <x:c r="L291" s="38"/>
      <x:c r="M291" s="38"/>
      <x:c r="N291" s="38"/>
      <x:c r="O291" s="38"/>
      <x:c r="P291" s="38"/>
    </x:row>
    <x:row r="292" ht="25" customHeight="1">
      <x:c r="A292" s="38"/>
      <x:c r="B292" s="38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8"/>
      <x:c r="N292" s="38"/>
      <x:c r="O292" s="38"/>
      <x:c r="P292" s="38"/>
    </x:row>
    <x:row r="293" ht="25" customHeight="1">
      <x:c r="A293" s="38"/>
      <x:c r="B293" s="38"/>
      <x:c r="C293" s="38"/>
      <x:c r="D293" s="38"/>
      <x:c r="E293" s="38"/>
      <x:c r="F293" s="38"/>
      <x:c r="G293" s="38"/>
      <x:c r="H293" s="38"/>
      <x:c r="I293" s="38"/>
      <x:c r="J293" s="38"/>
      <x:c r="K293" s="38"/>
      <x:c r="L293" s="38"/>
      <x:c r="M293" s="38"/>
      <x:c r="N293" s="38"/>
      <x:c r="O293" s="38"/>
      <x:c r="P293" s="38"/>
    </x:row>
    <x:row r="294" ht="25" customHeight="1">
      <x:c r="A294" s="38"/>
      <x:c r="B294" s="38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8"/>
      <x:c r="N294" s="38"/>
      <x:c r="O294" s="38"/>
      <x:c r="P294" s="38"/>
    </x:row>
    <x:row r="295" ht="25" customHeight="1">
      <x:c r="A295" s="38"/>
      <x:c r="B295" s="38"/>
      <x:c r="C295" s="38"/>
      <x:c r="D295" s="38"/>
      <x:c r="E295" s="38"/>
      <x:c r="F295" s="38"/>
      <x:c r="G295" s="38"/>
      <x:c r="H295" s="38"/>
      <x:c r="I295" s="38"/>
      <x:c r="J295" s="38"/>
      <x:c r="K295" s="38"/>
      <x:c r="L295" s="38"/>
      <x:c r="M295" s="38"/>
      <x:c r="N295" s="38"/>
      <x:c r="O295" s="38"/>
      <x:c r="P295" s="38"/>
    </x:row>
    <x:row r="296" ht="25" customHeight="1">
      <x:c r="A296" s="38"/>
      <x:c r="B296" s="38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8"/>
      <x:c r="N296" s="38"/>
      <x:c r="O296" s="38"/>
      <x:c r="P296" s="38"/>
    </x:row>
    <x:row r="297" ht="25" customHeight="1">
      <x:c r="A297" s="38"/>
      <x:c r="B297" s="38"/>
      <x:c r="C297" s="38"/>
      <x:c r="D297" s="38"/>
      <x:c r="E297" s="38"/>
      <x:c r="F297" s="38"/>
      <x:c r="G297" s="38"/>
      <x:c r="H297" s="38"/>
      <x:c r="I297" s="38"/>
      <x:c r="J297" s="38"/>
      <x:c r="K297" s="38"/>
      <x:c r="L297" s="38"/>
      <x:c r="M297" s="38"/>
      <x:c r="N297" s="38"/>
      <x:c r="O297" s="38"/>
      <x:c r="P297" s="38"/>
    </x:row>
    <x:row r="298" ht="25" customHeight="1">
      <x:c r="A298" s="38"/>
      <x:c r="B298" s="38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8"/>
      <x:c r="N298" s="38"/>
      <x:c r="O298" s="38"/>
      <x:c r="P298" s="38"/>
    </x:row>
    <x:row r="299" ht="25" customHeight="1">
      <x:c r="A299" s="38"/>
      <x:c r="B299" s="38"/>
      <x:c r="C299" s="38"/>
      <x:c r="D299" s="38"/>
      <x:c r="E299" s="38"/>
      <x:c r="F299" s="38"/>
      <x:c r="G299" s="38"/>
      <x:c r="H299" s="38"/>
      <x:c r="I299" s="38"/>
      <x:c r="J299" s="38"/>
      <x:c r="K299" s="38"/>
      <x:c r="L299" s="38"/>
      <x:c r="M299" s="38"/>
      <x:c r="N299" s="38"/>
      <x:c r="O299" s="38"/>
      <x:c r="P299" s="38"/>
    </x:row>
    <x:row r="300" ht="25" customHeight="1">
      <x:c r="A300" s="38"/>
      <x:c r="B300" s="38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8"/>
      <x:c r="N300" s="38"/>
      <x:c r="O300" s="38"/>
      <x:c r="P300" s="38"/>
    </x:row>
    <x:row r="301" ht="25" customHeight="1">
      <x:c r="A301" s="38"/>
      <x:c r="B301" s="38"/>
      <x:c r="C301" s="38"/>
      <x:c r="D301" s="38"/>
      <x:c r="E301" s="38"/>
      <x:c r="F301" s="38"/>
      <x:c r="G301" s="38"/>
      <x:c r="H301" s="38"/>
      <x:c r="I301" s="38"/>
      <x:c r="J301" s="38"/>
      <x:c r="K301" s="38"/>
      <x:c r="L301" s="38"/>
      <x:c r="M301" s="38"/>
      <x:c r="N301" s="38"/>
      <x:c r="O301" s="38"/>
      <x:c r="P301" s="38"/>
    </x:row>
    <x:row r="302" ht="25" customHeight="1">
      <x:c r="A302" s="38"/>
      <x:c r="B302" s="38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8"/>
      <x:c r="N302" s="38"/>
      <x:c r="O302" s="38"/>
      <x:c r="P302" s="38"/>
    </x:row>
    <x:row r="303" ht="25" customHeight="1">
      <x:c r="A303" s="38"/>
      <x:c r="B303" s="38"/>
      <x:c r="C303" s="38"/>
      <x:c r="D303" s="38"/>
      <x:c r="E303" s="38"/>
      <x:c r="F303" s="38"/>
      <x:c r="G303" s="38"/>
      <x:c r="H303" s="38"/>
      <x:c r="I303" s="38"/>
      <x:c r="J303" s="38"/>
      <x:c r="K303" s="38"/>
      <x:c r="L303" s="38"/>
      <x:c r="M303" s="38"/>
      <x:c r="N303" s="38"/>
      <x:c r="O303" s="38"/>
      <x:c r="P303" s="38"/>
    </x:row>
    <x:row r="304" ht="25" customHeight="1">
      <x:c r="A304" s="38"/>
      <x:c r="B304" s="38"/>
      <x:c r="C304" s="38"/>
      <x:c r="D304" s="38"/>
      <x:c r="E304" s="38"/>
      <x:c r="F304" s="38"/>
      <x:c r="G304" s="38"/>
      <x:c r="H304" s="38"/>
      <x:c r="I304" s="38"/>
      <x:c r="J304" s="38"/>
      <x:c r="K304" s="38"/>
      <x:c r="L304" s="38"/>
      <x:c r="M304" s="38"/>
      <x:c r="N304" s="38"/>
      <x:c r="O304" s="38"/>
      <x:c r="P304" s="38"/>
    </x:row>
    <x:row r="305" ht="25" customHeight="1">
      <x:c r="A305" s="38"/>
      <x:c r="B305" s="38"/>
      <x:c r="C305" s="38"/>
      <x:c r="D305" s="38"/>
      <x:c r="E305" s="38"/>
      <x:c r="F305" s="38"/>
      <x:c r="G305" s="38"/>
      <x:c r="H305" s="38"/>
      <x:c r="I305" s="38"/>
      <x:c r="J305" s="38"/>
      <x:c r="K305" s="38"/>
      <x:c r="L305" s="38"/>
      <x:c r="M305" s="38"/>
      <x:c r="N305" s="38"/>
      <x:c r="O305" s="38"/>
      <x:c r="P305" s="38"/>
    </x:row>
    <x:row r="306" ht="25" customHeight="1">
      <x:c r="A306" s="38"/>
      <x:c r="B306" s="38"/>
      <x:c r="C306" s="38"/>
      <x:c r="D306" s="38"/>
      <x:c r="E306" s="38"/>
      <x:c r="F306" s="38"/>
      <x:c r="G306" s="38"/>
      <x:c r="H306" s="38"/>
      <x:c r="I306" s="38"/>
      <x:c r="J306" s="38"/>
      <x:c r="K306" s="38"/>
      <x:c r="L306" s="38"/>
      <x:c r="M306" s="38"/>
      <x:c r="N306" s="38"/>
      <x:c r="O306" s="38"/>
      <x:c r="P306" s="38"/>
    </x:row>
    <x:row r="307" ht="25" customHeight="1">
      <x:c r="A307" s="38"/>
      <x:c r="B307" s="38"/>
      <x:c r="C307" s="38"/>
      <x:c r="D307" s="38"/>
      <x:c r="E307" s="38"/>
      <x:c r="F307" s="38"/>
      <x:c r="G307" s="38"/>
      <x:c r="H307" s="38"/>
      <x:c r="I307" s="38"/>
      <x:c r="J307" s="38"/>
      <x:c r="K307" s="38"/>
      <x:c r="L307" s="38"/>
      <x:c r="M307" s="38"/>
      <x:c r="N307" s="38"/>
      <x:c r="O307" s="38"/>
      <x:c r="P307" s="38"/>
    </x:row>
    <x:row r="308" ht="25" customHeight="1">
      <x:c r="A308" s="38"/>
      <x:c r="B308" s="38"/>
      <x:c r="C308" s="38"/>
      <x:c r="D308" s="38"/>
      <x:c r="E308" s="38"/>
      <x:c r="F308" s="38"/>
      <x:c r="G308" s="38"/>
      <x:c r="H308" s="38"/>
      <x:c r="I308" s="38"/>
      <x:c r="J308" s="38"/>
      <x:c r="K308" s="38"/>
      <x:c r="L308" s="38"/>
      <x:c r="M308" s="38"/>
      <x:c r="N308" s="38"/>
      <x:c r="O308" s="38"/>
      <x:c r="P308" s="38"/>
    </x:row>
    <x:row r="309" ht="25" customHeight="1">
      <x:c r="A309" s="38"/>
      <x:c r="B309" s="38"/>
      <x:c r="C309" s="38"/>
      <x:c r="D309" s="38"/>
      <x:c r="E309" s="38"/>
      <x:c r="F309" s="38"/>
      <x:c r="G309" s="38"/>
      <x:c r="H309" s="38"/>
      <x:c r="I309" s="38"/>
      <x:c r="J309" s="38"/>
      <x:c r="K309" s="38"/>
      <x:c r="L309" s="38"/>
      <x:c r="M309" s="38"/>
      <x:c r="N309" s="38"/>
      <x:c r="O309" s="38"/>
      <x:c r="P309" s="38"/>
    </x:row>
    <x:row r="310" ht="25" customHeight="1">
      <x:c r="A310" s="38"/>
      <x:c r="B310" s="38"/>
      <x:c r="C310" s="38"/>
      <x:c r="D310" s="38"/>
      <x:c r="E310" s="38"/>
      <x:c r="F310" s="38"/>
      <x:c r="G310" s="38"/>
      <x:c r="H310" s="38"/>
      <x:c r="I310" s="38"/>
      <x:c r="J310" s="38"/>
      <x:c r="K310" s="38"/>
      <x:c r="L310" s="38"/>
      <x:c r="M310" s="38"/>
      <x:c r="N310" s="38"/>
      <x:c r="O310" s="38"/>
      <x:c r="P310" s="38"/>
    </x:row>
    <x:row r="311" ht="25" customHeight="1">
      <x:c r="A311" s="38"/>
      <x:c r="B311" s="38"/>
      <x:c r="C311" s="38"/>
      <x:c r="D311" s="38"/>
      <x:c r="E311" s="38"/>
      <x:c r="F311" s="38"/>
      <x:c r="G311" s="38"/>
      <x:c r="H311" s="38"/>
      <x:c r="I311" s="38"/>
      <x:c r="J311" s="38"/>
      <x:c r="K311" s="38"/>
      <x:c r="L311" s="38"/>
      <x:c r="M311" s="38"/>
      <x:c r="N311" s="38"/>
      <x:c r="O311" s="38"/>
      <x:c r="P311" s="38"/>
    </x:row>
    <x:row r="312" ht="25" customHeight="1">
      <x:c r="A312" s="38"/>
      <x:c r="B312" s="38"/>
      <x:c r="C312" s="38"/>
      <x:c r="D312" s="38"/>
      <x:c r="E312" s="38"/>
      <x:c r="F312" s="38"/>
      <x:c r="G312" s="38"/>
      <x:c r="H312" s="38"/>
      <x:c r="I312" s="38"/>
      <x:c r="J312" s="38"/>
      <x:c r="K312" s="38"/>
      <x:c r="L312" s="38"/>
      <x:c r="M312" s="38"/>
      <x:c r="N312" s="38"/>
      <x:c r="O312" s="38"/>
      <x:c r="P312" s="38"/>
    </x:row>
    <x:row r="313" ht="25" customHeight="1">
      <x:c r="A313" s="38"/>
      <x:c r="B313" s="38"/>
      <x:c r="C313" s="38"/>
      <x:c r="D313" s="38"/>
      <x:c r="E313" s="38"/>
      <x:c r="F313" s="38"/>
      <x:c r="G313" s="38"/>
      <x:c r="H313" s="38"/>
      <x:c r="I313" s="38"/>
      <x:c r="J313" s="38"/>
      <x:c r="K313" s="38"/>
      <x:c r="L313" s="38"/>
      <x:c r="M313" s="38"/>
      <x:c r="N313" s="38"/>
      <x:c r="O313" s="38"/>
      <x:c r="P313" s="38"/>
    </x:row>
    <x:row r="314" ht="25" customHeight="1">
      <x:c r="A314" s="38"/>
      <x:c r="B314" s="38"/>
      <x:c r="C314" s="38"/>
      <x:c r="D314" s="38"/>
      <x:c r="E314" s="38"/>
      <x:c r="F314" s="38"/>
      <x:c r="G314" s="38"/>
      <x:c r="H314" s="38"/>
      <x:c r="I314" s="38"/>
      <x:c r="J314" s="38"/>
      <x:c r="K314" s="38"/>
      <x:c r="L314" s="38"/>
      <x:c r="M314" s="38"/>
      <x:c r="N314" s="38"/>
      <x:c r="O314" s="38"/>
      <x:c r="P314" s="38"/>
    </x:row>
    <x:row r="315" ht="25" customHeight="1">
      <x:c r="A315" s="38"/>
      <x:c r="B315" s="38"/>
      <x:c r="C315" s="38"/>
      <x:c r="D315" s="38"/>
      <x:c r="E315" s="38"/>
      <x:c r="F315" s="38"/>
      <x:c r="G315" s="38"/>
      <x:c r="H315" s="38"/>
      <x:c r="I315" s="38"/>
      <x:c r="J315" s="38"/>
      <x:c r="K315" s="38"/>
      <x:c r="L315" s="38"/>
      <x:c r="M315" s="38"/>
      <x:c r="N315" s="38"/>
      <x:c r="O315" s="38"/>
      <x:c r="P315" s="38"/>
    </x:row>
    <x:row r="316" ht="25" customHeight="1">
      <x:c r="A316" s="38"/>
      <x:c r="B316" s="38"/>
      <x:c r="C316" s="38"/>
      <x:c r="D316" s="38"/>
      <x:c r="E316" s="38"/>
      <x:c r="F316" s="38"/>
      <x:c r="G316" s="38"/>
      <x:c r="H316" s="38"/>
      <x:c r="I316" s="38"/>
      <x:c r="J316" s="38"/>
      <x:c r="K316" s="38"/>
      <x:c r="L316" s="38"/>
      <x:c r="M316" s="38"/>
      <x:c r="N316" s="38"/>
      <x:c r="O316" s="38"/>
      <x:c r="P316" s="38"/>
    </x:row>
    <x:row r="317" ht="25" customHeight="1">
      <x:c r="A317" s="38"/>
      <x:c r="B317" s="38"/>
      <x:c r="C317" s="38"/>
      <x:c r="D317" s="38"/>
      <x:c r="E317" s="38"/>
      <x:c r="F317" s="38"/>
      <x:c r="G317" s="38"/>
      <x:c r="H317" s="38"/>
      <x:c r="I317" s="38"/>
      <x:c r="J317" s="38"/>
      <x:c r="K317" s="38"/>
      <x:c r="L317" s="38"/>
      <x:c r="M317" s="38"/>
      <x:c r="N317" s="38"/>
      <x:c r="O317" s="38"/>
      <x:c r="P317" s="38"/>
    </x:row>
    <x:row r="318" ht="25" customHeight="1">
      <x:c r="A318" s="38"/>
      <x:c r="B318" s="38"/>
      <x:c r="C318" s="38"/>
      <x:c r="D318" s="38"/>
      <x:c r="E318" s="38"/>
      <x:c r="F318" s="38"/>
      <x:c r="G318" s="38"/>
      <x:c r="H318" s="38"/>
      <x:c r="I318" s="38"/>
      <x:c r="J318" s="38"/>
      <x:c r="K318" s="38"/>
      <x:c r="L318" s="38"/>
      <x:c r="M318" s="38"/>
      <x:c r="N318" s="38"/>
      <x:c r="O318" s="38"/>
      <x:c r="P318" s="38"/>
    </x:row>
    <x:row r="319" ht="25" customHeight="1">
      <x:c r="A319" s="38"/>
      <x:c r="B319" s="38"/>
      <x:c r="C319" s="38"/>
      <x:c r="D319" s="38"/>
      <x:c r="E319" s="38"/>
      <x:c r="F319" s="38"/>
      <x:c r="G319" s="38"/>
      <x:c r="H319" s="38"/>
      <x:c r="I319" s="38"/>
      <x:c r="J319" s="38"/>
      <x:c r="K319" s="38"/>
      <x:c r="L319" s="38"/>
      <x:c r="M319" s="38"/>
      <x:c r="N319" s="38"/>
      <x:c r="O319" s="38"/>
      <x:c r="P319" s="38"/>
    </x:row>
    <x:row r="320" ht="25" customHeight="1">
      <x:c r="A320" s="38"/>
      <x:c r="B320" s="38"/>
      <x:c r="C320" s="38"/>
      <x:c r="D320" s="38"/>
      <x:c r="E320" s="38"/>
      <x:c r="F320" s="38"/>
      <x:c r="G320" s="38"/>
      <x:c r="H320" s="38"/>
      <x:c r="I320" s="38"/>
      <x:c r="J320" s="38"/>
      <x:c r="K320" s="38"/>
      <x:c r="L320" s="38"/>
      <x:c r="M320" s="38"/>
      <x:c r="N320" s="38"/>
      <x:c r="O320" s="38"/>
      <x:c r="P320" s="38"/>
    </x:row>
    <x:row r="321" ht="25" customHeight="1">
      <x:c r="A321" s="38"/>
      <x:c r="B321" s="38"/>
      <x:c r="C321" s="38"/>
      <x:c r="D321" s="38"/>
      <x:c r="E321" s="38"/>
      <x:c r="F321" s="38"/>
      <x:c r="G321" s="38"/>
      <x:c r="H321" s="38"/>
      <x:c r="I321" s="38"/>
      <x:c r="J321" s="38"/>
      <x:c r="K321" s="38"/>
      <x:c r="L321" s="38"/>
      <x:c r="M321" s="38"/>
      <x:c r="N321" s="38"/>
      <x:c r="O321" s="38"/>
      <x:c r="P321" s="38"/>
    </x:row>
    <x:row r="322" ht="25" customHeight="1">
      <x:c r="A322" s="38"/>
      <x:c r="B322" s="38"/>
      <x:c r="C322" s="38"/>
      <x:c r="D322" s="38"/>
      <x:c r="E322" s="38"/>
      <x:c r="F322" s="38"/>
      <x:c r="G322" s="38"/>
      <x:c r="H322" s="38"/>
      <x:c r="I322" s="38"/>
      <x:c r="J322" s="38"/>
      <x:c r="K322" s="38"/>
      <x:c r="L322" s="38"/>
      <x:c r="M322" s="38"/>
      <x:c r="N322" s="38"/>
      <x:c r="O322" s="38"/>
      <x:c r="P322" s="38"/>
    </x:row>
    <x:row r="323" ht="25" customHeight="1">
      <x:c r="A323" s="38"/>
      <x:c r="B323" s="38"/>
      <x:c r="C323" s="38"/>
      <x:c r="D323" s="38"/>
      <x:c r="E323" s="38"/>
      <x:c r="F323" s="38"/>
      <x:c r="G323" s="38"/>
      <x:c r="H323" s="38"/>
      <x:c r="I323" s="38"/>
      <x:c r="J323" s="38"/>
      <x:c r="K323" s="38"/>
      <x:c r="L323" s="38"/>
      <x:c r="M323" s="38"/>
      <x:c r="N323" s="38"/>
      <x:c r="O323" s="38"/>
      <x:c r="P323" s="38"/>
    </x:row>
    <x:row r="324" ht="25" customHeight="1">
      <x:c r="A324" s="38"/>
      <x:c r="B324" s="38"/>
      <x:c r="C324" s="38"/>
      <x:c r="D324" s="38"/>
      <x:c r="E324" s="38"/>
      <x:c r="F324" s="38"/>
      <x:c r="G324" s="38"/>
      <x:c r="H324" s="38"/>
      <x:c r="I324" s="38"/>
      <x:c r="J324" s="38"/>
      <x:c r="K324" s="38"/>
      <x:c r="L324" s="38"/>
      <x:c r="M324" s="38"/>
      <x:c r="N324" s="38"/>
      <x:c r="O324" s="38"/>
      <x:c r="P324" s="38"/>
    </x:row>
    <x:row r="325" ht="25" customHeight="1">
      <x:c r="A325" s="38"/>
      <x:c r="B325" s="38"/>
      <x:c r="C325" s="38"/>
      <x:c r="D325" s="38"/>
      <x:c r="E325" s="38"/>
      <x:c r="F325" s="38"/>
      <x:c r="G325" s="38"/>
      <x:c r="H325" s="38"/>
      <x:c r="I325" s="38"/>
      <x:c r="J325" s="38"/>
      <x:c r="K325" s="38"/>
      <x:c r="L325" s="38"/>
      <x:c r="M325" s="38"/>
      <x:c r="N325" s="38"/>
      <x:c r="O325" s="38"/>
      <x:c r="P325" s="38"/>
    </x:row>
    <x:row r="326" ht="25" customHeight="1">
      <x:c r="A326" s="38"/>
      <x:c r="B326" s="38"/>
      <x:c r="C326" s="38"/>
      <x:c r="D326" s="38"/>
      <x:c r="E326" s="38"/>
      <x:c r="F326" s="38"/>
      <x:c r="G326" s="38"/>
      <x:c r="H326" s="38"/>
      <x:c r="I326" s="38"/>
      <x:c r="J326" s="38"/>
      <x:c r="K326" s="38"/>
      <x:c r="L326" s="38"/>
      <x:c r="M326" s="38"/>
      <x:c r="N326" s="38"/>
      <x:c r="O326" s="38"/>
      <x:c r="P326" s="38"/>
    </x:row>
    <x:row r="327" ht="25" customHeight="1">
      <x:c r="A327" s="38"/>
      <x:c r="B327" s="38"/>
      <x:c r="C327" s="38"/>
      <x:c r="D327" s="38"/>
      <x:c r="E327" s="38"/>
      <x:c r="F327" s="38"/>
      <x:c r="G327" s="38"/>
      <x:c r="H327" s="38"/>
      <x:c r="I327" s="38"/>
      <x:c r="J327" s="38"/>
      <x:c r="K327" s="38"/>
      <x:c r="L327" s="38"/>
      <x:c r="M327" s="38"/>
      <x:c r="N327" s="38"/>
      <x:c r="O327" s="38"/>
      <x:c r="P327" s="38"/>
    </x:row>
    <x:row r="328" ht="25" customHeight="1">
      <x:c r="A328" s="38"/>
      <x:c r="B328" s="38"/>
      <x:c r="C328" s="38"/>
      <x:c r="D328" s="38"/>
      <x:c r="E328" s="38"/>
      <x:c r="F328" s="38"/>
      <x:c r="G328" s="38"/>
      <x:c r="H328" s="38"/>
      <x:c r="I328" s="38"/>
      <x:c r="J328" s="38"/>
      <x:c r="K328" s="38"/>
      <x:c r="L328" s="38"/>
      <x:c r="M328" s="38"/>
      <x:c r="N328" s="38"/>
      <x:c r="O328" s="38"/>
      <x:c r="P328" s="38"/>
    </x:row>
    <x:row r="329" ht="25" customHeight="1">
      <x:c r="A329" s="38"/>
      <x:c r="B329" s="38"/>
      <x:c r="C329" s="38"/>
      <x:c r="D329" s="38"/>
      <x:c r="E329" s="38"/>
      <x:c r="F329" s="38"/>
      <x:c r="G329" s="38"/>
      <x:c r="H329" s="38"/>
      <x:c r="I329" s="38"/>
      <x:c r="J329" s="38"/>
      <x:c r="K329" s="38"/>
      <x:c r="L329" s="38"/>
      <x:c r="M329" s="38"/>
      <x:c r="N329" s="38"/>
      <x:c r="O329" s="38"/>
      <x:c r="P329" s="38"/>
    </x:row>
    <x:row r="330" ht="25" customHeight="1">
      <x:c r="A330" s="38"/>
      <x:c r="B330" s="38"/>
      <x:c r="C330" s="38"/>
      <x:c r="D330" s="38"/>
      <x:c r="E330" s="38"/>
      <x:c r="F330" s="38"/>
      <x:c r="G330" s="38"/>
      <x:c r="H330" s="38"/>
      <x:c r="I330" s="38"/>
      <x:c r="J330" s="38"/>
      <x:c r="K330" s="38"/>
      <x:c r="L330" s="38"/>
      <x:c r="M330" s="38"/>
      <x:c r="N330" s="38"/>
      <x:c r="O330" s="38"/>
      <x:c r="P330" s="38"/>
    </x:row>
    <x:row r="331" ht="25" customHeight="1">
      <x:c r="A331" s="38"/>
      <x:c r="B331" s="38"/>
      <x:c r="C331" s="38"/>
      <x:c r="D331" s="38"/>
      <x:c r="E331" s="38"/>
      <x:c r="F331" s="38"/>
      <x:c r="G331" s="38"/>
      <x:c r="H331" s="38"/>
      <x:c r="I331" s="38"/>
      <x:c r="J331" s="38"/>
      <x:c r="K331" s="38"/>
      <x:c r="L331" s="38"/>
      <x:c r="M331" s="38"/>
      <x:c r="N331" s="38"/>
      <x:c r="O331" s="38"/>
      <x:c r="P331" s="38"/>
    </x:row>
    <x:row r="332" ht="25" customHeight="1">
      <x:c r="A332" s="38"/>
      <x:c r="B332" s="38"/>
      <x:c r="C332" s="38"/>
      <x:c r="D332" s="38"/>
      <x:c r="E332" s="38"/>
      <x:c r="F332" s="38"/>
      <x:c r="G332" s="38"/>
      <x:c r="H332" s="38"/>
      <x:c r="I332" s="38"/>
      <x:c r="J332" s="38"/>
      <x:c r="K332" s="38"/>
      <x:c r="L332" s="38"/>
      <x:c r="M332" s="38"/>
      <x:c r="N332" s="38"/>
      <x:c r="O332" s="38"/>
      <x:c r="P332" s="38"/>
    </x:row>
    <x:row r="333" ht="25" customHeight="1">
      <x:c r="A333" s="38"/>
      <x:c r="B333" s="38"/>
      <x:c r="C333" s="38"/>
      <x:c r="D333" s="38"/>
      <x:c r="E333" s="38"/>
      <x:c r="F333" s="38"/>
      <x:c r="G333" s="38"/>
      <x:c r="H333" s="38"/>
      <x:c r="I333" s="38"/>
      <x:c r="J333" s="38"/>
      <x:c r="K333" s="38"/>
      <x:c r="L333" s="38"/>
      <x:c r="M333" s="38"/>
      <x:c r="N333" s="38"/>
      <x:c r="O333" s="38"/>
      <x:c r="P333" s="38"/>
    </x:row>
    <x:row r="334" ht="25" customHeight="1">
      <x:c r="A334" s="38"/>
      <x:c r="B334" s="38"/>
      <x:c r="C334" s="38"/>
      <x:c r="D334" s="38"/>
      <x:c r="E334" s="38"/>
      <x:c r="F334" s="38"/>
      <x:c r="G334" s="38"/>
      <x:c r="H334" s="38"/>
      <x:c r="I334" s="38"/>
      <x:c r="J334" s="38"/>
      <x:c r="K334" s="38"/>
      <x:c r="L334" s="38"/>
      <x:c r="M334" s="38"/>
      <x:c r="N334" s="38"/>
      <x:c r="O334" s="38"/>
      <x:c r="P334" s="38"/>
    </x:row>
    <x:row r="335" ht="25" customHeight="1">
      <x:c r="A335" s="38"/>
      <x:c r="B335" s="38"/>
      <x:c r="C335" s="38"/>
      <x:c r="D335" s="38"/>
      <x:c r="E335" s="38"/>
      <x:c r="F335" s="38"/>
      <x:c r="G335" s="38"/>
      <x:c r="H335" s="38"/>
      <x:c r="I335" s="38"/>
      <x:c r="J335" s="38"/>
      <x:c r="K335" s="38"/>
      <x:c r="L335" s="38"/>
      <x:c r="M335" s="38"/>
      <x:c r="N335" s="38"/>
      <x:c r="O335" s="38"/>
      <x:c r="P335" s="38"/>
    </x:row>
    <x:row r="336" ht="25" customHeight="1">
      <x:c r="A336" s="38"/>
      <x:c r="B336" s="38"/>
      <x:c r="C336" s="38"/>
      <x:c r="D336" s="38"/>
      <x:c r="E336" s="38"/>
      <x:c r="F336" s="38"/>
      <x:c r="G336" s="38"/>
      <x:c r="H336" s="38"/>
      <x:c r="I336" s="38"/>
      <x:c r="J336" s="38"/>
      <x:c r="K336" s="38"/>
      <x:c r="L336" s="38"/>
      <x:c r="M336" s="38"/>
      <x:c r="N336" s="38"/>
      <x:c r="O336" s="38"/>
      <x:c r="P336" s="38"/>
    </x:row>
    <x:row r="337" ht="25" customHeight="1">
      <x:c r="A337" s="38"/>
      <x:c r="B337" s="38"/>
      <x:c r="C337" s="38"/>
      <x:c r="D337" s="38"/>
      <x:c r="E337" s="38"/>
      <x:c r="F337" s="38"/>
      <x:c r="G337" s="38"/>
      <x:c r="H337" s="38"/>
      <x:c r="I337" s="38"/>
      <x:c r="J337" s="38"/>
      <x:c r="K337" s="38"/>
      <x:c r="L337" s="38"/>
      <x:c r="M337" s="38"/>
      <x:c r="N337" s="38"/>
      <x:c r="O337" s="38"/>
      <x:c r="P337" s="38"/>
    </x:row>
    <x:row r="338" ht="25" customHeight="1">
      <x:c r="A338" s="38"/>
      <x:c r="B338" s="38"/>
      <x:c r="C338" s="38"/>
      <x:c r="D338" s="38"/>
      <x:c r="E338" s="38"/>
      <x:c r="F338" s="38"/>
      <x:c r="G338" s="38"/>
      <x:c r="H338" s="38"/>
      <x:c r="I338" s="38"/>
      <x:c r="J338" s="38"/>
      <x:c r="K338" s="38"/>
      <x:c r="L338" s="38"/>
      <x:c r="M338" s="38"/>
      <x:c r="N338" s="38"/>
      <x:c r="O338" s="38"/>
      <x:c r="P338" s="38"/>
    </x:row>
    <x:row r="339" ht="25" customHeight="1">
      <x:c r="A339" s="38"/>
      <x:c r="B339" s="38"/>
      <x:c r="C339" s="38"/>
      <x:c r="D339" s="38"/>
      <x:c r="E339" s="38"/>
      <x:c r="F339" s="38"/>
      <x:c r="G339" s="38"/>
      <x:c r="H339" s="38"/>
      <x:c r="I339" s="38"/>
      <x:c r="J339" s="38"/>
      <x:c r="K339" s="38"/>
      <x:c r="L339" s="38"/>
      <x:c r="M339" s="38"/>
      <x:c r="N339" s="38"/>
      <x:c r="O339" s="38"/>
      <x:c r="P339" s="38"/>
    </x:row>
    <x:row r="340" ht="25" customHeight="1">
      <x:c r="A340" s="38"/>
      <x:c r="B340" s="38"/>
      <x:c r="C340" s="38"/>
      <x:c r="D340" s="38"/>
      <x:c r="E340" s="38"/>
      <x:c r="F340" s="38"/>
      <x:c r="G340" s="38"/>
      <x:c r="H340" s="38"/>
      <x:c r="I340" s="38"/>
      <x:c r="J340" s="38"/>
      <x:c r="K340" s="38"/>
      <x:c r="L340" s="38"/>
      <x:c r="M340" s="38"/>
      <x:c r="N340" s="38"/>
      <x:c r="O340" s="38"/>
      <x:c r="P340" s="38"/>
    </x:row>
    <x:row r="341" ht="25" customHeight="1">
      <x:c r="A341" s="38"/>
      <x:c r="B341" s="38"/>
      <x:c r="C341" s="38"/>
      <x:c r="D341" s="38"/>
      <x:c r="E341" s="38"/>
      <x:c r="F341" s="38"/>
      <x:c r="G341" s="38"/>
      <x:c r="H341" s="38"/>
      <x:c r="I341" s="38"/>
      <x:c r="J341" s="38"/>
      <x:c r="K341" s="38"/>
      <x:c r="L341" s="38"/>
      <x:c r="M341" s="38"/>
      <x:c r="N341" s="38"/>
      <x:c r="O341" s="38"/>
      <x:c r="P341" s="38"/>
    </x:row>
    <x:row r="342" ht="25" customHeight="1">
      <x:c r="A342" s="38"/>
      <x:c r="B342" s="38"/>
      <x:c r="C342" s="38"/>
      <x:c r="D342" s="38"/>
      <x:c r="E342" s="38"/>
      <x:c r="F342" s="38"/>
      <x:c r="G342" s="38"/>
      <x:c r="H342" s="38"/>
      <x:c r="I342" s="38"/>
      <x:c r="J342" s="38"/>
      <x:c r="K342" s="38"/>
      <x:c r="L342" s="38"/>
      <x:c r="M342" s="38"/>
      <x:c r="N342" s="38"/>
      <x:c r="O342" s="38"/>
      <x:c r="P342" s="38"/>
    </x:row>
    <x:row r="343" ht="25" customHeight="1">
      <x:c r="A343" s="38"/>
      <x:c r="B343" s="38"/>
      <x:c r="C343" s="38"/>
      <x:c r="D343" s="38"/>
      <x:c r="E343" s="38"/>
      <x:c r="F343" s="38"/>
      <x:c r="G343" s="38"/>
      <x:c r="H343" s="38"/>
      <x:c r="I343" s="38"/>
      <x:c r="J343" s="38"/>
      <x:c r="K343" s="38"/>
      <x:c r="L343" s="38"/>
      <x:c r="M343" s="38"/>
      <x:c r="N343" s="38"/>
      <x:c r="O343" s="38"/>
      <x:c r="P343" s="38"/>
    </x:row>
    <x:row r="344" ht="25" customHeight="1">
      <x:c r="A344" s="38"/>
      <x:c r="B344" s="38"/>
      <x:c r="C344" s="38"/>
      <x:c r="D344" s="38"/>
      <x:c r="E344" s="38"/>
      <x:c r="F344" s="38"/>
      <x:c r="G344" s="38"/>
      <x:c r="H344" s="38"/>
      <x:c r="I344" s="38"/>
      <x:c r="J344" s="38"/>
      <x:c r="K344" s="38"/>
      <x:c r="L344" s="38"/>
      <x:c r="M344" s="38"/>
      <x:c r="N344" s="38"/>
      <x:c r="O344" s="38"/>
      <x:c r="P344" s="38"/>
    </x:row>
    <x:row r="345" ht="25" customHeight="1">
      <x:c r="A345" s="38"/>
      <x:c r="B345" s="38"/>
      <x:c r="C345" s="38"/>
      <x:c r="D345" s="38"/>
      <x:c r="E345" s="38"/>
      <x:c r="F345" s="38"/>
      <x:c r="G345" s="38"/>
      <x:c r="H345" s="38"/>
      <x:c r="I345" s="38"/>
      <x:c r="J345" s="38"/>
      <x:c r="K345" s="38"/>
      <x:c r="L345" s="38"/>
      <x:c r="M345" s="38"/>
      <x:c r="N345" s="38"/>
      <x:c r="O345" s="38"/>
      <x:c r="P345" s="38"/>
    </x:row>
    <x:row r="346" ht="25" customHeight="1">
      <x:c r="A346" s="38"/>
      <x:c r="B346" s="38"/>
      <x:c r="C346" s="38"/>
      <x:c r="D346" s="38"/>
      <x:c r="E346" s="38"/>
      <x:c r="F346" s="38"/>
      <x:c r="G346" s="38"/>
      <x:c r="H346" s="38"/>
      <x:c r="I346" s="38"/>
      <x:c r="J346" s="38"/>
      <x:c r="K346" s="38"/>
      <x:c r="L346" s="38"/>
      <x:c r="M346" s="38"/>
      <x:c r="N346" s="38"/>
      <x:c r="O346" s="38"/>
      <x:c r="P346" s="38"/>
    </x:row>
    <x:row r="347" ht="25" customHeight="1">
      <x:c r="A347" s="38"/>
      <x:c r="B347" s="38"/>
      <x:c r="C347" s="38"/>
      <x:c r="D347" s="38"/>
      <x:c r="E347" s="38"/>
      <x:c r="F347" s="38"/>
      <x:c r="G347" s="38"/>
      <x:c r="H347" s="38"/>
      <x:c r="I347" s="38"/>
      <x:c r="J347" s="38"/>
      <x:c r="K347" s="38"/>
      <x:c r="L347" s="38"/>
      <x:c r="M347" s="38"/>
      <x:c r="N347" s="38"/>
      <x:c r="O347" s="38"/>
      <x:c r="P347" s="38"/>
    </x:row>
    <x:row r="348" ht="25" customHeight="1">
      <x:c r="A348" s="38"/>
      <x:c r="B348" s="38"/>
      <x:c r="C348" s="38"/>
      <x:c r="D348" s="38"/>
      <x:c r="E348" s="38"/>
      <x:c r="F348" s="38"/>
      <x:c r="G348" s="38"/>
      <x:c r="H348" s="38"/>
      <x:c r="I348" s="38"/>
      <x:c r="J348" s="38"/>
      <x:c r="K348" s="38"/>
      <x:c r="L348" s="38"/>
      <x:c r="M348" s="38"/>
      <x:c r="N348" s="38"/>
      <x:c r="O348" s="38"/>
      <x:c r="P348" s="38"/>
    </x:row>
    <x:row r="349" ht="25" customHeight="1">
      <x:c r="A349" s="38"/>
      <x:c r="B349" s="38"/>
      <x:c r="C349" s="38"/>
      <x:c r="D349" s="38"/>
      <x:c r="E349" s="38"/>
      <x:c r="F349" s="38"/>
      <x:c r="G349" s="38"/>
      <x:c r="H349" s="38"/>
      <x:c r="I349" s="38"/>
      <x:c r="J349" s="38"/>
      <x:c r="K349" s="38"/>
      <x:c r="L349" s="38"/>
      <x:c r="M349" s="38"/>
      <x:c r="N349" s="38"/>
      <x:c r="O349" s="38"/>
      <x:c r="P349" s="38"/>
    </x:row>
    <x:row r="350" ht="25" customHeight="1">
      <x:c r="A350" s="38"/>
      <x:c r="B350" s="38"/>
      <x:c r="C350" s="38"/>
      <x:c r="D350" s="38"/>
      <x:c r="E350" s="38"/>
      <x:c r="F350" s="38"/>
      <x:c r="G350" s="38"/>
      <x:c r="H350" s="38"/>
      <x:c r="I350" s="38"/>
      <x:c r="J350" s="38"/>
      <x:c r="K350" s="38"/>
      <x:c r="L350" s="38"/>
      <x:c r="M350" s="38"/>
      <x:c r="N350" s="38"/>
      <x:c r="O350" s="38"/>
      <x:c r="P350" s="38"/>
    </x:row>
    <x:row r="351" ht="25" customHeight="1">
      <x:c r="A351" s="38"/>
      <x:c r="B351" s="38"/>
      <x:c r="C351" s="38"/>
      <x:c r="D351" s="38"/>
      <x:c r="E351" s="38"/>
      <x:c r="F351" s="38"/>
      <x:c r="G351" s="38"/>
      <x:c r="H351" s="38"/>
      <x:c r="I351" s="38"/>
      <x:c r="J351" s="38"/>
      <x:c r="K351" s="38"/>
      <x:c r="L351" s="38"/>
      <x:c r="M351" s="38"/>
      <x:c r="N351" s="38"/>
      <x:c r="O351" s="38"/>
      <x:c r="P351" s="38"/>
    </x:row>
    <x:row r="352" ht="25" customHeight="1">
      <x:c r="A352" s="38"/>
      <x:c r="B352" s="38"/>
      <x:c r="C352" s="38"/>
      <x:c r="D352" s="38"/>
      <x:c r="E352" s="38"/>
      <x:c r="F352" s="38"/>
      <x:c r="G352" s="38"/>
      <x:c r="H352" s="38"/>
      <x:c r="I352" s="38"/>
      <x:c r="J352" s="38"/>
      <x:c r="K352" s="38"/>
      <x:c r="L352" s="38"/>
      <x:c r="M352" s="38"/>
      <x:c r="N352" s="38"/>
      <x:c r="O352" s="38"/>
      <x:c r="P352" s="38"/>
    </x:row>
    <x:row r="353" ht="25" customHeight="1">
      <x:c r="A353" s="38"/>
      <x:c r="B353" s="38"/>
      <x:c r="C353" s="38"/>
      <x:c r="D353" s="38"/>
      <x:c r="E353" s="38"/>
      <x:c r="F353" s="38"/>
      <x:c r="G353" s="38"/>
      <x:c r="H353" s="38"/>
      <x:c r="I353" s="38"/>
      <x:c r="J353" s="38"/>
      <x:c r="K353" s="38"/>
      <x:c r="L353" s="38"/>
      <x:c r="M353" s="38"/>
      <x:c r="N353" s="38"/>
      <x:c r="O353" s="38"/>
      <x:c r="P353" s="38"/>
    </x:row>
    <x:row r="354" ht="25" customHeight="1">
      <x:c r="A354" s="38"/>
      <x:c r="B354" s="38"/>
      <x:c r="C354" s="38"/>
      <x:c r="D354" s="38"/>
      <x:c r="E354" s="38"/>
      <x:c r="F354" s="38"/>
      <x:c r="G354" s="38"/>
      <x:c r="H354" s="38"/>
      <x:c r="I354" s="38"/>
      <x:c r="J354" s="38"/>
      <x:c r="K354" s="38"/>
      <x:c r="L354" s="38"/>
      <x:c r="M354" s="38"/>
      <x:c r="N354" s="38"/>
      <x:c r="O354" s="38"/>
      <x:c r="P354" s="38"/>
    </x:row>
    <x:row r="355" ht="25" customHeight="1">
      <x:c r="A355" s="38"/>
      <x:c r="B355" s="38"/>
      <x:c r="C355" s="38"/>
      <x:c r="D355" s="38"/>
      <x:c r="E355" s="38"/>
      <x:c r="F355" s="38"/>
      <x:c r="G355" s="38"/>
      <x:c r="H355" s="38"/>
      <x:c r="I355" s="38"/>
      <x:c r="J355" s="38"/>
      <x:c r="K355" s="38"/>
      <x:c r="L355" s="38"/>
      <x:c r="M355" s="38"/>
      <x:c r="N355" s="38"/>
      <x:c r="O355" s="38"/>
      <x:c r="P355" s="38"/>
    </x:row>
    <x:row r="356" ht="25" customHeight="1">
      <x:c r="A356" s="38"/>
      <x:c r="B356" s="38"/>
      <x:c r="C356" s="38"/>
      <x:c r="D356" s="38"/>
      <x:c r="E356" s="38"/>
      <x:c r="F356" s="38"/>
      <x:c r="G356" s="38"/>
      <x:c r="H356" s="38"/>
      <x:c r="I356" s="38"/>
      <x:c r="J356" s="38"/>
      <x:c r="K356" s="38"/>
      <x:c r="L356" s="38"/>
      <x:c r="M356" s="38"/>
      <x:c r="N356" s="38"/>
      <x:c r="O356" s="38"/>
      <x:c r="P356" s="38"/>
    </x:row>
    <x:row r="357" ht="25" customHeight="1">
      <x:c r="A357" s="38"/>
      <x:c r="B357" s="38"/>
      <x:c r="C357" s="38"/>
      <x:c r="D357" s="38"/>
      <x:c r="E357" s="38"/>
      <x:c r="F357" s="38"/>
      <x:c r="G357" s="38"/>
      <x:c r="H357" s="38"/>
      <x:c r="I357" s="38"/>
      <x:c r="J357" s="38"/>
      <x:c r="K357" s="38"/>
      <x:c r="L357" s="38"/>
      <x:c r="M357" s="38"/>
      <x:c r="N357" s="38"/>
      <x:c r="O357" s="38"/>
      <x:c r="P357" s="38"/>
    </x:row>
    <x:row r="358" ht="25" customHeight="1">
      <x:c r="A358" s="38"/>
      <x:c r="B358" s="38"/>
      <x:c r="C358" s="38"/>
      <x:c r="D358" s="38"/>
      <x:c r="E358" s="38"/>
      <x:c r="F358" s="38"/>
      <x:c r="G358" s="38"/>
      <x:c r="H358" s="38"/>
      <x:c r="I358" s="38"/>
      <x:c r="J358" s="38"/>
      <x:c r="K358" s="38"/>
      <x:c r="L358" s="38"/>
      <x:c r="M358" s="38"/>
      <x:c r="N358" s="38"/>
      <x:c r="O358" s="38"/>
      <x:c r="P358" s="38"/>
    </x:row>
    <x:row r="359" ht="25" customHeight="1">
      <x:c r="A359" s="38"/>
      <x:c r="B359" s="38"/>
      <x:c r="C359" s="38"/>
      <x:c r="D359" s="38"/>
      <x:c r="E359" s="38"/>
      <x:c r="F359" s="38"/>
      <x:c r="G359" s="38"/>
      <x:c r="H359" s="38"/>
      <x:c r="I359" s="38"/>
      <x:c r="J359" s="38"/>
      <x:c r="K359" s="38"/>
      <x:c r="L359" s="38"/>
      <x:c r="M359" s="38"/>
      <x:c r="N359" s="38"/>
      <x:c r="O359" s="38"/>
      <x:c r="P359" s="38"/>
    </x:row>
    <x:row r="360" ht="25" customHeight="1">
      <x:c r="A360" s="38"/>
      <x:c r="B360" s="38"/>
      <x:c r="C360" s="38"/>
      <x:c r="D360" s="38"/>
      <x:c r="E360" s="38"/>
      <x:c r="F360" s="38"/>
      <x:c r="G360" s="38"/>
      <x:c r="H360" s="38"/>
      <x:c r="I360" s="38"/>
      <x:c r="J360" s="38"/>
      <x:c r="K360" s="38"/>
      <x:c r="L360" s="38"/>
      <x:c r="M360" s="38"/>
      <x:c r="N360" s="38"/>
      <x:c r="O360" s="38"/>
      <x:c r="P360" s="38"/>
    </x:row>
    <x:row r="361" ht="25" customHeight="1">
      <x:c r="A361" s="38"/>
      <x:c r="B361" s="38"/>
      <x:c r="C361" s="38"/>
      <x:c r="D361" s="38"/>
      <x:c r="E361" s="38"/>
      <x:c r="F361" s="38"/>
      <x:c r="G361" s="38"/>
      <x:c r="H361" s="38"/>
      <x:c r="I361" s="38"/>
      <x:c r="J361" s="38"/>
      <x:c r="K361" s="38"/>
      <x:c r="L361" s="38"/>
      <x:c r="M361" s="38"/>
      <x:c r="N361" s="38"/>
      <x:c r="O361" s="38"/>
      <x:c r="P361" s="38"/>
    </x:row>
    <x:row r="362" ht="25" customHeight="1">
      <x:c r="A362" s="38"/>
      <x:c r="B362" s="38"/>
      <x:c r="C362" s="38"/>
      <x:c r="D362" s="38"/>
      <x:c r="E362" s="38"/>
      <x:c r="F362" s="38"/>
      <x:c r="G362" s="38"/>
      <x:c r="H362" s="38"/>
      <x:c r="I362" s="38"/>
      <x:c r="J362" s="38"/>
      <x:c r="K362" s="38"/>
      <x:c r="L362" s="38"/>
      <x:c r="M362" s="38"/>
      <x:c r="N362" s="38"/>
      <x:c r="O362" s="38"/>
      <x:c r="P362" s="38"/>
    </x:row>
    <x:row r="363" ht="25" customHeight="1">
      <x:c r="A363" s="38"/>
      <x:c r="B363" s="38"/>
      <x:c r="C363" s="38"/>
      <x:c r="D363" s="38"/>
      <x:c r="E363" s="38"/>
      <x:c r="F363" s="38"/>
      <x:c r="G363" s="38"/>
      <x:c r="H363" s="38"/>
      <x:c r="I363" s="38"/>
      <x:c r="J363" s="38"/>
      <x:c r="K363" s="38"/>
      <x:c r="L363" s="38"/>
      <x:c r="M363" s="38"/>
      <x:c r="N363" s="38"/>
      <x:c r="O363" s="38"/>
      <x:c r="P363" s="38"/>
    </x:row>
    <x:row r="364" ht="25" customHeight="1">
      <x:c r="A364" s="38"/>
      <x:c r="B364" s="38"/>
      <x:c r="C364" s="38"/>
      <x:c r="D364" s="38"/>
      <x:c r="E364" s="38"/>
      <x:c r="F364" s="38"/>
      <x:c r="G364" s="38"/>
      <x:c r="H364" s="38"/>
      <x:c r="I364" s="38"/>
      <x:c r="J364" s="38"/>
      <x:c r="K364" s="38"/>
      <x:c r="L364" s="38"/>
      <x:c r="M364" s="38"/>
      <x:c r="N364" s="38"/>
      <x:c r="O364" s="38"/>
      <x:c r="P364" s="38"/>
    </x:row>
    <x:row r="365" ht="25" customHeight="1">
      <x:c r="A365" s="38"/>
      <x:c r="B365" s="38"/>
      <x:c r="C365" s="38"/>
      <x:c r="D365" s="38"/>
      <x:c r="E365" s="38"/>
      <x:c r="F365" s="38"/>
      <x:c r="G365" s="38"/>
      <x:c r="H365" s="38"/>
      <x:c r="I365" s="38"/>
      <x:c r="J365" s="38"/>
      <x:c r="K365" s="38"/>
      <x:c r="L365" s="38"/>
      <x:c r="M365" s="38"/>
      <x:c r="N365" s="38"/>
      <x:c r="O365" s="38"/>
      <x:c r="P365" s="38"/>
    </x:row>
    <x:row r="366" ht="25" customHeight="1">
      <x:c r="A366" s="38"/>
      <x:c r="B366" s="38"/>
      <x:c r="C366" s="38"/>
      <x:c r="D366" s="38"/>
      <x:c r="E366" s="38"/>
      <x:c r="F366" s="38"/>
      <x:c r="G366" s="38"/>
      <x:c r="H366" s="38"/>
      <x:c r="I366" s="38"/>
      <x:c r="J366" s="38"/>
      <x:c r="K366" s="38"/>
      <x:c r="L366" s="38"/>
      <x:c r="M366" s="38"/>
      <x:c r="N366" s="38"/>
      <x:c r="O366" s="38"/>
      <x:c r="P366" s="38"/>
    </x:row>
    <x:row r="367" ht="25" customHeight="1">
      <x:c r="A367" s="38"/>
      <x:c r="B367" s="38"/>
      <x:c r="C367" s="38"/>
      <x:c r="D367" s="38"/>
      <x:c r="E367" s="38"/>
      <x:c r="F367" s="38"/>
      <x:c r="G367" s="38"/>
      <x:c r="H367" s="38"/>
      <x:c r="I367" s="38"/>
      <x:c r="J367" s="38"/>
      <x:c r="K367" s="38"/>
      <x:c r="L367" s="38"/>
      <x:c r="M367" s="38"/>
      <x:c r="N367" s="38"/>
      <x:c r="O367" s="38"/>
      <x:c r="P367" s="38"/>
    </x:row>
    <x:row r="368" ht="25" customHeight="1">
      <x:c r="A368" s="38"/>
      <x:c r="B368" s="38"/>
      <x:c r="C368" s="38"/>
      <x:c r="D368" s="38"/>
      <x:c r="E368" s="38"/>
      <x:c r="F368" s="38"/>
      <x:c r="G368" s="38"/>
      <x:c r="H368" s="38"/>
      <x:c r="I368" s="38"/>
      <x:c r="J368" s="38"/>
      <x:c r="K368" s="38"/>
      <x:c r="L368" s="38"/>
      <x:c r="M368" s="38"/>
      <x:c r="N368" s="38"/>
      <x:c r="O368" s="38"/>
      <x:c r="P368" s="38"/>
    </x:row>
    <x:row r="369" ht="25" customHeight="1">
      <x:c r="A369" s="38"/>
      <x:c r="B369" s="38"/>
      <x:c r="C369" s="38"/>
      <x:c r="D369" s="38"/>
      <x:c r="E369" s="38"/>
      <x:c r="F369" s="38"/>
      <x:c r="G369" s="38"/>
      <x:c r="H369" s="38"/>
      <x:c r="I369" s="38"/>
      <x:c r="J369" s="38"/>
      <x:c r="K369" s="38"/>
      <x:c r="L369" s="38"/>
      <x:c r="M369" s="38"/>
      <x:c r="N369" s="38"/>
      <x:c r="O369" s="38"/>
      <x:c r="P369" s="38"/>
    </x:row>
    <x:row r="370" ht="25" customHeight="1">
      <x:c r="A370" s="38"/>
      <x:c r="B370" s="38"/>
      <x:c r="C370" s="38"/>
      <x:c r="D370" s="38"/>
      <x:c r="E370" s="38"/>
      <x:c r="F370" s="38"/>
      <x:c r="G370" s="38"/>
      <x:c r="H370" s="38"/>
      <x:c r="I370" s="38"/>
      <x:c r="J370" s="38"/>
      <x:c r="K370" s="38"/>
      <x:c r="L370" s="38"/>
      <x:c r="M370" s="38"/>
      <x:c r="N370" s="38"/>
      <x:c r="O370" s="38"/>
      <x:c r="P370" s="38"/>
    </x:row>
    <x:row r="371" ht="25" customHeight="1">
      <x:c r="A371" s="38"/>
      <x:c r="B371" s="38"/>
      <x:c r="C371" s="38"/>
      <x:c r="D371" s="38"/>
      <x:c r="E371" s="38"/>
      <x:c r="F371" s="38"/>
      <x:c r="G371" s="38"/>
      <x:c r="H371" s="38"/>
      <x:c r="I371" s="38"/>
      <x:c r="J371" s="38"/>
      <x:c r="K371" s="38"/>
      <x:c r="L371" s="38"/>
      <x:c r="M371" s="38"/>
      <x:c r="N371" s="38"/>
      <x:c r="O371" s="38"/>
      <x:c r="P371" s="38"/>
    </x:row>
    <x:row r="372" ht="25" customHeight="1">
      <x:c r="A372" s="38"/>
      <x:c r="B372" s="38"/>
      <x:c r="C372" s="38"/>
      <x:c r="D372" s="38"/>
      <x:c r="E372" s="38"/>
      <x:c r="F372" s="38"/>
      <x:c r="G372" s="38"/>
      <x:c r="H372" s="38"/>
      <x:c r="I372" s="38"/>
      <x:c r="J372" s="38"/>
      <x:c r="K372" s="38"/>
      <x:c r="L372" s="38"/>
      <x:c r="M372" s="38"/>
      <x:c r="N372" s="38"/>
      <x:c r="O372" s="38"/>
      <x:c r="P372" s="38"/>
    </x:row>
    <x:row r="373" ht="25" customHeight="1">
      <x:c r="A373" s="38"/>
      <x:c r="B373" s="38"/>
      <x:c r="C373" s="38"/>
      <x:c r="D373" s="38"/>
      <x:c r="E373" s="38"/>
      <x:c r="F373" s="38"/>
      <x:c r="G373" s="38"/>
      <x:c r="H373" s="38"/>
      <x:c r="I373" s="38"/>
      <x:c r="J373" s="38"/>
      <x:c r="K373" s="38"/>
      <x:c r="L373" s="38"/>
      <x:c r="M373" s="38"/>
      <x:c r="N373" s="38"/>
      <x:c r="O373" s="38"/>
      <x:c r="P373" s="38"/>
    </x:row>
    <x:row r="374" ht="25" customHeight="1">
      <x:c r="A374" s="38"/>
      <x:c r="B374" s="38"/>
      <x:c r="C374" s="38"/>
      <x:c r="D374" s="38"/>
      <x:c r="E374" s="38"/>
      <x:c r="F374" s="38"/>
      <x:c r="G374" s="38"/>
      <x:c r="H374" s="38"/>
      <x:c r="I374" s="38"/>
      <x:c r="J374" s="38"/>
      <x:c r="K374" s="38"/>
      <x:c r="L374" s="38"/>
      <x:c r="M374" s="38"/>
      <x:c r="N374" s="38"/>
      <x:c r="O374" s="38"/>
      <x:c r="P374" s="38"/>
    </x:row>
    <x:row r="375" ht="25" customHeight="1">
      <x:c r="A375" s="38"/>
      <x:c r="B375" s="38"/>
      <x:c r="C375" s="38"/>
      <x:c r="D375" s="38"/>
      <x:c r="E375" s="38"/>
      <x:c r="F375" s="38"/>
      <x:c r="G375" s="38"/>
      <x:c r="H375" s="38"/>
      <x:c r="I375" s="38"/>
      <x:c r="J375" s="38"/>
      <x:c r="K375" s="38"/>
      <x:c r="L375" s="38"/>
      <x:c r="M375" s="38"/>
      <x:c r="N375" s="38"/>
      <x:c r="O375" s="38"/>
      <x:c r="P375" s="38"/>
    </x:row>
    <x:row r="376" ht="25" customHeight="1">
      <x:c r="A376" s="38"/>
      <x:c r="B376" s="38"/>
      <x:c r="C376" s="38"/>
      <x:c r="D376" s="38"/>
      <x:c r="E376" s="38"/>
      <x:c r="F376" s="38"/>
      <x:c r="G376" s="38"/>
      <x:c r="H376" s="38"/>
      <x:c r="I376" s="38"/>
      <x:c r="J376" s="38"/>
      <x:c r="K376" s="38"/>
      <x:c r="L376" s="38"/>
      <x:c r="M376" s="38"/>
      <x:c r="N376" s="38"/>
      <x:c r="O376" s="38"/>
      <x:c r="P376" s="38"/>
    </x:row>
    <x:row r="377" ht="25" customHeight="1">
      <x:c r="A377" s="38"/>
      <x:c r="B377" s="38"/>
      <x:c r="C377" s="38"/>
      <x:c r="D377" s="38"/>
      <x:c r="E377" s="38"/>
      <x:c r="F377" s="38"/>
      <x:c r="G377" s="38"/>
      <x:c r="H377" s="38"/>
      <x:c r="I377" s="38"/>
      <x:c r="J377" s="38"/>
      <x:c r="K377" s="38"/>
      <x:c r="L377" s="38"/>
      <x:c r="M377" s="38"/>
      <x:c r="N377" s="38"/>
      <x:c r="O377" s="38"/>
      <x:c r="P377" s="38"/>
    </x:row>
    <x:row r="378" ht="25" customHeight="1">
      <x:c r="A378" s="38"/>
      <x:c r="B378" s="38"/>
      <x:c r="C378" s="38"/>
      <x:c r="D378" s="38"/>
      <x:c r="E378" s="38"/>
      <x:c r="F378" s="38"/>
      <x:c r="G378" s="38"/>
      <x:c r="H378" s="38"/>
      <x:c r="I378" s="38"/>
      <x:c r="J378" s="38"/>
      <x:c r="K378" s="38"/>
      <x:c r="L378" s="38"/>
      <x:c r="M378" s="38"/>
      <x:c r="N378" s="38"/>
      <x:c r="O378" s="38"/>
      <x:c r="P378" s="38"/>
    </x:row>
    <x:row r="379" ht="25" customHeight="1">
      <x:c r="A379" s="38"/>
      <x:c r="B379" s="38"/>
      <x:c r="C379" s="38"/>
      <x:c r="D379" s="38"/>
      <x:c r="E379" s="38"/>
      <x:c r="F379" s="38"/>
      <x:c r="G379" s="38"/>
      <x:c r="H379" s="38"/>
      <x:c r="I379" s="38"/>
      <x:c r="J379" s="38"/>
      <x:c r="K379" s="38"/>
      <x:c r="L379" s="38"/>
      <x:c r="M379" s="38"/>
      <x:c r="N379" s="38"/>
      <x:c r="O379" s="38"/>
      <x:c r="P379" s="38"/>
    </x:row>
    <x:row r="380" ht="25" customHeight="1">
      <x:c r="A380" s="38"/>
      <x:c r="B380" s="38"/>
      <x:c r="C380" s="38"/>
      <x:c r="D380" s="38"/>
      <x:c r="E380" s="38"/>
      <x:c r="F380" s="38"/>
      <x:c r="G380" s="38"/>
      <x:c r="H380" s="38"/>
      <x:c r="I380" s="38"/>
      <x:c r="J380" s="38"/>
      <x:c r="K380" s="38"/>
      <x:c r="L380" s="38"/>
      <x:c r="M380" s="38"/>
      <x:c r="N380" s="38"/>
      <x:c r="O380" s="38"/>
      <x:c r="P380" s="38"/>
    </x:row>
    <x:row r="381" ht="25" customHeight="1">
      <x:c r="A381" s="38"/>
      <x:c r="B381" s="38"/>
      <x:c r="C381" s="38"/>
      <x:c r="D381" s="38"/>
      <x:c r="E381" s="38"/>
      <x:c r="F381" s="38"/>
      <x:c r="G381" s="38"/>
      <x:c r="H381" s="38"/>
      <x:c r="I381" s="38"/>
      <x:c r="J381" s="38"/>
      <x:c r="K381" s="38"/>
      <x:c r="L381" s="38"/>
      <x:c r="M381" s="38"/>
      <x:c r="N381" s="38"/>
      <x:c r="O381" s="38"/>
      <x:c r="P381" s="38"/>
    </x:row>
    <x:row r="382" ht="25" customHeight="1">
      <x:c r="A382" s="38"/>
      <x:c r="B382" s="38"/>
      <x:c r="C382" s="38"/>
      <x:c r="D382" s="38"/>
      <x:c r="E382" s="38"/>
      <x:c r="F382" s="38"/>
      <x:c r="G382" s="38"/>
      <x:c r="H382" s="38"/>
      <x:c r="I382" s="38"/>
      <x:c r="J382" s="38"/>
      <x:c r="K382" s="38"/>
      <x:c r="L382" s="38"/>
      <x:c r="M382" s="38"/>
      <x:c r="N382" s="38"/>
      <x:c r="O382" s="38"/>
      <x:c r="P382" s="38"/>
    </x:row>
    <x:row r="383" ht="25" customHeight="1">
      <x:c r="A383" s="38"/>
      <x:c r="B383" s="38"/>
      <x:c r="C383" s="38"/>
      <x:c r="D383" s="38"/>
      <x:c r="E383" s="38"/>
      <x:c r="F383" s="38"/>
      <x:c r="G383" s="38"/>
      <x:c r="H383" s="38"/>
      <x:c r="I383" s="38"/>
      <x:c r="J383" s="38"/>
      <x:c r="K383" s="38"/>
      <x:c r="L383" s="38"/>
      <x:c r="M383" s="38"/>
      <x:c r="N383" s="38"/>
      <x:c r="O383" s="38"/>
      <x:c r="P383" s="38"/>
    </x:row>
    <x:row r="384" ht="25" customHeight="1">
      <x:c r="A384" s="38"/>
      <x:c r="B384" s="38"/>
      <x:c r="C384" s="38"/>
      <x:c r="D384" s="38"/>
      <x:c r="E384" s="38"/>
      <x:c r="F384" s="38"/>
      <x:c r="G384" s="38"/>
      <x:c r="H384" s="38"/>
      <x:c r="I384" s="38"/>
      <x:c r="J384" s="38"/>
      <x:c r="K384" s="38"/>
      <x:c r="L384" s="38"/>
      <x:c r="M384" s="38"/>
      <x:c r="N384" s="38"/>
      <x:c r="O384" s="38"/>
      <x:c r="P384" s="38"/>
    </x:row>
    <x:row r="385" ht="25" customHeight="1">
      <x:c r="A385" s="38"/>
      <x:c r="B385" s="38"/>
      <x:c r="C385" s="38"/>
      <x:c r="D385" s="38"/>
      <x:c r="E385" s="38"/>
      <x:c r="F385" s="38"/>
      <x:c r="G385" s="38"/>
      <x:c r="H385" s="38"/>
      <x:c r="I385" s="38"/>
      <x:c r="J385" s="38"/>
      <x:c r="K385" s="38"/>
      <x:c r="L385" s="38"/>
      <x:c r="M385" s="38"/>
      <x:c r="N385" s="38"/>
      <x:c r="O385" s="38"/>
      <x:c r="P385" s="38"/>
    </x:row>
    <x:row r="386" ht="25" customHeight="1">
      <x:c r="A386" s="38"/>
      <x:c r="B386" s="38"/>
      <x:c r="C386" s="38"/>
      <x:c r="D386" s="38"/>
      <x:c r="E386" s="38"/>
      <x:c r="F386" s="38"/>
      <x:c r="G386" s="38"/>
      <x:c r="H386" s="38"/>
      <x:c r="I386" s="38"/>
      <x:c r="J386" s="38"/>
      <x:c r="K386" s="38"/>
      <x:c r="L386" s="38"/>
      <x:c r="M386" s="38"/>
      <x:c r="N386" s="38"/>
      <x:c r="O386" s="38"/>
      <x:c r="P386" s="38"/>
    </x:row>
    <x:row r="387" ht="25" customHeight="1">
      <x:c r="A387" s="38"/>
      <x:c r="B387" s="38"/>
      <x:c r="C387" s="38"/>
      <x:c r="D387" s="38"/>
      <x:c r="E387" s="38"/>
      <x:c r="F387" s="38"/>
      <x:c r="G387" s="38"/>
      <x:c r="H387" s="38"/>
      <x:c r="I387" s="38"/>
      <x:c r="J387" s="38"/>
      <x:c r="K387" s="38"/>
      <x:c r="L387" s="38"/>
      <x:c r="M387" s="38"/>
      <x:c r="N387" s="38"/>
      <x:c r="O387" s="38"/>
      <x:c r="P387" s="38"/>
    </x:row>
    <x:row r="388" ht="25" customHeight="1">
      <x:c r="A388" s="38"/>
      <x:c r="B388" s="38"/>
      <x:c r="C388" s="38"/>
      <x:c r="D388" s="38"/>
      <x:c r="E388" s="38"/>
      <x:c r="F388" s="38"/>
      <x:c r="G388" s="38"/>
      <x:c r="H388" s="38"/>
      <x:c r="I388" s="38"/>
      <x:c r="J388" s="38"/>
      <x:c r="K388" s="38"/>
      <x:c r="L388" s="38"/>
      <x:c r="M388" s="38"/>
      <x:c r="N388" s="38"/>
      <x:c r="O388" s="38"/>
      <x:c r="P388" s="38"/>
    </x:row>
    <x:row r="389" ht="25" customHeight="1">
      <x:c r="A389" s="38"/>
      <x:c r="B389" s="38"/>
      <x:c r="C389" s="38"/>
      <x:c r="D389" s="38"/>
      <x:c r="E389" s="38"/>
      <x:c r="F389" s="38"/>
      <x:c r="G389" s="38"/>
      <x:c r="H389" s="38"/>
      <x:c r="I389" s="38"/>
      <x:c r="J389" s="38"/>
      <x:c r="K389" s="38"/>
      <x:c r="L389" s="38"/>
      <x:c r="M389" s="38"/>
      <x:c r="N389" s="38"/>
      <x:c r="O389" s="38"/>
      <x:c r="P389" s="38"/>
    </x:row>
    <x:row r="390" ht="25" customHeight="1">
      <x:c r="A390" s="38"/>
      <x:c r="B390" s="38"/>
      <x:c r="C390" s="38"/>
      <x:c r="D390" s="38"/>
      <x:c r="E390" s="38"/>
      <x:c r="F390" s="38"/>
      <x:c r="G390" s="38"/>
      <x:c r="H390" s="38"/>
      <x:c r="I390" s="38"/>
      <x:c r="J390" s="38"/>
      <x:c r="K390" s="38"/>
      <x:c r="L390" s="38"/>
      <x:c r="M390" s="38"/>
      <x:c r="N390" s="38"/>
      <x:c r="O390" s="38"/>
      <x:c r="P390" s="38"/>
    </x:row>
    <x:row r="391" ht="25" customHeight="1">
      <x:c r="A391" s="38"/>
      <x:c r="B391" s="38"/>
      <x:c r="C391" s="38"/>
      <x:c r="D391" s="38"/>
      <x:c r="E391" s="38"/>
      <x:c r="F391" s="38"/>
      <x:c r="G391" s="38"/>
      <x:c r="H391" s="38"/>
      <x:c r="I391" s="38"/>
      <x:c r="J391" s="38"/>
      <x:c r="K391" s="38"/>
      <x:c r="L391" s="38"/>
      <x:c r="M391" s="38"/>
      <x:c r="N391" s="38"/>
      <x:c r="O391" s="38"/>
      <x:c r="P391" s="38"/>
    </x:row>
    <x:row r="392" ht="25" customHeight="1">
      <x:c r="A392" s="38"/>
      <x:c r="B392" s="38"/>
      <x:c r="C392" s="38"/>
      <x:c r="D392" s="38"/>
      <x:c r="E392" s="38"/>
      <x:c r="F392" s="38"/>
      <x:c r="G392" s="38"/>
      <x:c r="H392" s="38"/>
      <x:c r="I392" s="38"/>
      <x:c r="J392" s="38"/>
      <x:c r="K392" s="38"/>
      <x:c r="L392" s="38"/>
      <x:c r="M392" s="38"/>
      <x:c r="N392" s="38"/>
      <x:c r="O392" s="38"/>
      <x:c r="P392" s="38"/>
    </x:row>
    <x:row r="393" ht="25" customHeight="1">
      <x:c r="A393" s="38"/>
      <x:c r="B393" s="38"/>
      <x:c r="C393" s="38"/>
      <x:c r="D393" s="38"/>
      <x:c r="E393" s="38"/>
      <x:c r="F393" s="38"/>
      <x:c r="G393" s="38"/>
      <x:c r="H393" s="38"/>
      <x:c r="I393" s="38"/>
      <x:c r="J393" s="38"/>
      <x:c r="K393" s="38"/>
      <x:c r="L393" s="38"/>
      <x:c r="M393" s="38"/>
      <x:c r="N393" s="38"/>
      <x:c r="O393" s="38"/>
      <x:c r="P393" s="38"/>
    </x:row>
    <x:row r="394" ht="25" customHeight="1">
      <x:c r="A394" s="38"/>
      <x:c r="B394" s="38"/>
      <x:c r="C394" s="38"/>
      <x:c r="D394" s="38"/>
      <x:c r="E394" s="38"/>
      <x:c r="F394" s="38"/>
      <x:c r="G394" s="38"/>
      <x:c r="H394" s="38"/>
      <x:c r="I394" s="38"/>
      <x:c r="J394" s="38"/>
      <x:c r="K394" s="38"/>
      <x:c r="L394" s="38"/>
      <x:c r="M394" s="38"/>
      <x:c r="N394" s="38"/>
      <x:c r="O394" s="38"/>
      <x:c r="P394" s="38"/>
    </x:row>
    <x:row r="395" ht="25" customHeight="1">
      <x:c r="A395" s="38"/>
      <x:c r="B395" s="38"/>
      <x:c r="C395" s="38"/>
      <x:c r="D395" s="38"/>
      <x:c r="E395" s="38"/>
      <x:c r="F395" s="38"/>
      <x:c r="G395" s="38"/>
      <x:c r="H395" s="38"/>
      <x:c r="I395" s="38"/>
      <x:c r="J395" s="38"/>
      <x:c r="K395" s="38"/>
      <x:c r="L395" s="38"/>
      <x:c r="M395" s="38"/>
      <x:c r="N395" s="38"/>
      <x:c r="O395" s="38"/>
      <x:c r="P395" s="38"/>
    </x:row>
    <x:row r="396" ht="25" customHeight="1">
      <x:c r="A396" s="38"/>
      <x:c r="B396" s="38"/>
      <x:c r="C396" s="38"/>
      <x:c r="D396" s="38"/>
      <x:c r="E396" s="38"/>
      <x:c r="F396" s="38"/>
      <x:c r="G396" s="38"/>
      <x:c r="H396" s="38"/>
      <x:c r="I396" s="38"/>
      <x:c r="J396" s="38"/>
      <x:c r="K396" s="38"/>
      <x:c r="L396" s="38"/>
      <x:c r="M396" s="38"/>
      <x:c r="N396" s="38"/>
      <x:c r="O396" s="38"/>
      <x:c r="P396" s="38"/>
    </x:row>
    <x:row r="397" ht="25" customHeight="1">
      <x:c r="A397" s="38"/>
      <x:c r="B397" s="38"/>
      <x:c r="C397" s="38"/>
      <x:c r="D397" s="38"/>
      <x:c r="E397" s="38"/>
      <x:c r="F397" s="38"/>
      <x:c r="G397" s="38"/>
      <x:c r="H397" s="38"/>
      <x:c r="I397" s="38"/>
      <x:c r="J397" s="38"/>
      <x:c r="K397" s="38"/>
      <x:c r="L397" s="38"/>
      <x:c r="M397" s="38"/>
      <x:c r="N397" s="38"/>
      <x:c r="O397" s="38"/>
      <x:c r="P397" s="38"/>
    </x:row>
    <x:row r="398" ht="25" customHeight="1">
      <x:c r="A398" s="38"/>
      <x:c r="B398" s="38"/>
      <x:c r="C398" s="38"/>
      <x:c r="D398" s="38"/>
      <x:c r="E398" s="38"/>
      <x:c r="F398" s="38"/>
      <x:c r="G398" s="38"/>
      <x:c r="H398" s="38"/>
      <x:c r="I398" s="38"/>
      <x:c r="J398" s="38"/>
      <x:c r="K398" s="38"/>
      <x:c r="L398" s="38"/>
      <x:c r="M398" s="38"/>
      <x:c r="N398" s="38"/>
      <x:c r="O398" s="38"/>
      <x:c r="P398" s="38"/>
    </x:row>
    <x:row r="399" ht="25" customHeight="1">
      <x:c r="A399" s="38"/>
      <x:c r="B399" s="38"/>
      <x:c r="C399" s="38"/>
      <x:c r="D399" s="38"/>
      <x:c r="E399" s="38"/>
      <x:c r="F399" s="38"/>
      <x:c r="G399" s="38"/>
      <x:c r="H399" s="38"/>
      <x:c r="I399" s="38"/>
      <x:c r="J399" s="38"/>
      <x:c r="K399" s="38"/>
      <x:c r="L399" s="38"/>
      <x:c r="M399" s="38"/>
      <x:c r="N399" s="38"/>
      <x:c r="O399" s="38"/>
      <x:c r="P399" s="38"/>
    </x:row>
    <x:row r="400" ht="25" customHeight="1">
      <x:c r="A400" s="38"/>
      <x:c r="B400" s="38"/>
      <x:c r="C400" s="38"/>
      <x:c r="D400" s="38"/>
      <x:c r="E400" s="38"/>
      <x:c r="F400" s="38"/>
      <x:c r="G400" s="38"/>
      <x:c r="H400" s="38"/>
      <x:c r="I400" s="38"/>
      <x:c r="J400" s="38"/>
      <x:c r="K400" s="38"/>
      <x:c r="L400" s="38"/>
      <x:c r="M400" s="38"/>
      <x:c r="N400" s="38"/>
      <x:c r="O400" s="38"/>
      <x:c r="P400" s="38"/>
    </x:row>
    <x:row r="401" ht="25" customHeight="1">
      <x:c r="A401" s="38"/>
      <x:c r="B401" s="38"/>
      <x:c r="C401" s="38"/>
      <x:c r="D401" s="38"/>
      <x:c r="E401" s="38"/>
      <x:c r="F401" s="38"/>
      <x:c r="G401" s="38"/>
      <x:c r="H401" s="38"/>
      <x:c r="I401" s="38"/>
      <x:c r="J401" s="38"/>
      <x:c r="K401" s="38"/>
      <x:c r="L401" s="38"/>
      <x:c r="M401" s="38"/>
      <x:c r="N401" s="38"/>
      <x:c r="O401" s="38"/>
      <x:c r="P401" s="38"/>
    </x:row>
    <x:row r="402" ht="25" customHeight="1">
      <x:c r="A402" s="38"/>
      <x:c r="B402" s="38"/>
      <x:c r="C402" s="38"/>
      <x:c r="D402" s="38"/>
      <x:c r="E402" s="38"/>
      <x:c r="F402" s="38"/>
      <x:c r="G402" s="38"/>
      <x:c r="H402" s="38"/>
      <x:c r="I402" s="38"/>
      <x:c r="J402" s="38"/>
      <x:c r="K402" s="38"/>
      <x:c r="L402" s="38"/>
      <x:c r="M402" s="38"/>
      <x:c r="N402" s="38"/>
      <x:c r="O402" s="38"/>
      <x:c r="P402" s="38"/>
    </x:row>
    <x:row r="403" ht="25" customHeight="1">
      <x:c r="A403" s="38"/>
      <x:c r="B403" s="38"/>
      <x:c r="C403" s="38"/>
      <x:c r="D403" s="38"/>
      <x:c r="E403" s="38"/>
      <x:c r="F403" s="38"/>
      <x:c r="G403" s="38"/>
      <x:c r="H403" s="38"/>
      <x:c r="I403" s="38"/>
      <x:c r="J403" s="38"/>
      <x:c r="K403" s="38"/>
      <x:c r="L403" s="38"/>
      <x:c r="M403" s="38"/>
      <x:c r="N403" s="38"/>
      <x:c r="O403" s="38"/>
      <x:c r="P403" s="38"/>
    </x:row>
    <x:row r="404" ht="25" customHeight="1">
      <x:c r="A404" s="38"/>
      <x:c r="B404" s="38"/>
      <x:c r="C404" s="38"/>
      <x:c r="D404" s="38"/>
      <x:c r="E404" s="38"/>
      <x:c r="F404" s="38"/>
      <x:c r="G404" s="38"/>
      <x:c r="H404" s="38"/>
      <x:c r="I404" s="38"/>
      <x:c r="J404" s="38"/>
      <x:c r="K404" s="38"/>
      <x:c r="L404" s="38"/>
      <x:c r="M404" s="38"/>
      <x:c r="N404" s="38"/>
      <x:c r="O404" s="38"/>
      <x:c r="P404" s="38"/>
    </x:row>
    <x:row r="405" ht="25" customHeight="1">
      <x:c r="A405" s="38"/>
      <x:c r="B405" s="38"/>
      <x:c r="C405" s="38"/>
      <x:c r="D405" s="38"/>
      <x:c r="E405" s="38"/>
      <x:c r="F405" s="38"/>
      <x:c r="G405" s="38"/>
      <x:c r="H405" s="38"/>
      <x:c r="I405" s="38"/>
      <x:c r="J405" s="38"/>
      <x:c r="K405" s="38"/>
      <x:c r="L405" s="38"/>
      <x:c r="M405" s="38"/>
      <x:c r="N405" s="38"/>
      <x:c r="O405" s="38"/>
      <x:c r="P405" s="38"/>
    </x:row>
    <x:row r="406" ht="25" customHeight="1">
      <x:c r="A406" s="38"/>
      <x:c r="B406" s="38"/>
      <x:c r="C406" s="38"/>
      <x:c r="D406" s="38"/>
      <x:c r="E406" s="38"/>
      <x:c r="F406" s="38"/>
      <x:c r="G406" s="38"/>
      <x:c r="H406" s="38"/>
      <x:c r="I406" s="38"/>
      <x:c r="J406" s="38"/>
      <x:c r="K406" s="38"/>
      <x:c r="L406" s="38"/>
      <x:c r="M406" s="38"/>
      <x:c r="N406" s="38"/>
      <x:c r="O406" s="38"/>
      <x:c r="P406" s="38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244C72"/>
  </x:sheetPr>
  <x:sheetViews>
    <x:sheetView showGridLines="0" workbookViewId="0"/>
  </x:sheetViews>
  <x:sheetFormatPr defaultRowHeight="15"/>
  <x:cols>
    <x:col min="1" max="1" width="3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3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3" hidden="0" customWidth="1"/>
  </x:cols>
  <x:sheetData>
    <x:row r="1" ht="1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8" customHeight="1">
      <x:c r="A2" s="2"/>
      <x:c r="B2" s="45" t="str">
        <x:v>DELTA1  股指看板</x:v>
      </x:c>
      <x:c r="C2" s="45" t="str">
        <x:v>DELTA1  股指看板</x:v>
      </x:c>
      <x:c r="D2" s="45" t="str">
        <x:v>DELTA1  股指看板</x:v>
      </x:c>
      <x:c r="E2" s="45" t="str">
        <x:v>DELTA1  股指看板</x:v>
      </x:c>
      <x:c r="F2" s="45" t="str">
        <x:v>DELTA1  股指看板</x:v>
      </x:c>
      <x:c r="G2" s="45" t="str">
        <x:v>DELTA1  股指看板</x:v>
      </x:c>
      <x:c r="H2" s="45" t="str">
        <x:v>DELTA1  股指看板</x:v>
      </x:c>
      <x:c r="I2" s="45" t="str">
        <x:v>DELTA1  股指看板</x:v>
      </x:c>
      <x:c r="J2" s="45" t="str">
        <x:v>DELTA1  股指看板</x:v>
      </x:c>
      <x:c r="K2" s="45" t="str">
        <x:v>DELTA1  股指看板</x:v>
      </x:c>
      <x:c r="L2" s="45" t="str">
        <x:v>DELTA1  股指看板</x:v>
      </x:c>
      <x:c r="M2" s="45" t="str">
        <x:v>DELTA1  股指看板</x:v>
      </x:c>
      <x:c r="N2" s="45" t="str">
        <x:v>DELTA1  股指看板</x:v>
      </x:c>
      <x:c r="O2" s="45" t="str">
        <x:v>DELTA1  股指看板</x:v>
      </x:c>
      <x:c r="P2" s="45" t="str">
        <x:v>DELTA1  股指看板</x:v>
      </x:c>
      <x:c r="Q2" s="45" t="str">
        <x:v>DELTA1  股指看板</x:v>
      </x:c>
      <x:c r="R2" s="45" t="str">
        <x:v>DELTA1  股指看板</x:v>
      </x:c>
      <x:c r="S2" s="2"/>
    </x:row>
    <x:row r="3" ht="19" customHeight="1">
      <x:c r="A3" s="2"/>
      <x:c r="B3" s="46" t="str">
        <x:v>档位</x:v>
      </x:c>
      <x:c r="C3" s="46" t="str">
        <x:v>档位</x:v>
      </x:c>
      <x:c r="D3" s="46" t="str">
        <x:v>档位</x:v>
      </x:c>
      <x:c r="E3" s="48" t="n">
        <x:v>0</x:v>
      </x:c>
      <x:c r="F3" s="2"/>
      <x:c r="G3" s="49" t="str">
        <x:v>待连接</x:v>
      </x:c>
      <x:c r="H3" s="49" t="str">
        <x:v>待连接</x:v>
      </x:c>
      <x:c r="I3" s="49" t="str">
        <x:v>待连接</x:v>
      </x:c>
      <x:c r="J3" s="49" t="str">
        <x:v>待连接</x:v>
      </x:c>
      <x:c r="K3" s="49" t="str">
        <x:v>待连接</x:v>
      </x:c>
      <x:c r="L3" s="49" t="str">
        <x:v>待连接</x:v>
      </x:c>
      <x:c r="M3" s="49" t="str">
        <x:v>待连接</x:v>
      </x:c>
      <x:c r="N3" s="49" t="str">
        <x:v>待连接</x:v>
      </x:c>
      <x:c r="O3" s="49" t="str">
        <x:v>待连接</x:v>
      </x:c>
      <x:c r="P3" s="49" t="str">
        <x:v>待连接</x:v>
      </x:c>
      <x:c r="Q3" s="49" t="str">
        <x:v>待连接</x:v>
      </x:c>
      <x:c r="R3" s="49" t="str">
        <x:v>待连接</x:v>
      </x:c>
      <x:c r="S3" s="2"/>
    </x:row>
    <x:row r="4" ht="19" customHeight="1">
      <x:c r="A4" s="2"/>
      <x:c r="B4" s="49" t="str">
        <x:v>加载中</x:v>
      </x:c>
      <x:c r="C4" s="49" t="str">
        <x:v>加载中</x:v>
      </x:c>
      <x:c r="D4" s="49" t="str">
        <x:v>加载中</x:v>
      </x:c>
      <x:c r="E4" s="49" t="str">
        <x:v>加载中</x:v>
      </x:c>
      <x:c r="F4" s="49" t="str">
        <x:v>加载中</x:v>
      </x:c>
      <x:c r="G4" s="49" t="str">
        <x:v>加载中</x:v>
      </x:c>
      <x:c r="H4" s="49" t="str">
        <x:v>加载中</x:v>
      </x:c>
      <x:c r="I4" s="49" t="str">
        <x:v>加载中</x:v>
      </x:c>
      <x:c r="J4" s="49" t="str">
        <x:v>加载中</x:v>
      </x:c>
      <x:c r="K4" s="49" t="str">
        <x:v>加载中</x:v>
      </x:c>
      <x:c r="L4" s="49" t="str">
        <x:v>加载中</x:v>
      </x:c>
      <x:c r="M4" s="49" t="str">
        <x:v>加载中</x:v>
      </x:c>
      <x:c r="N4" s="49" t="str">
        <x:v>加载中</x:v>
      </x:c>
      <x:c r="O4" s="49" t="str">
        <x:v>加载中</x:v>
      </x:c>
      <x:c r="P4" s="49" t="str">
        <x:v>加载中</x:v>
      </x:c>
      <x:c r="Q4" s="49" t="str">
        <x:v>加载中</x:v>
      </x:c>
      <x:c r="R4" s="49" t="str">
        <x:v>加载中</x:v>
      </x:c>
      <x:c r="S4" s="2"/>
    </x:row>
    <x:row r="5" ht="19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5" customHeight="1">
      <x:c r="A6" s="2"/>
      <x:c r="B6" s="50" t="str">
        <x:v>IF</x:v>
      </x:c>
      <x:c r="C6" s="50" t="str">
        <x:v>IF</x:v>
      </x:c>
      <x:c r="D6" s="50" t="str">
        <x:v>IF</x:v>
      </x:c>
      <x:c r="E6" s="52" t="str">
        <x:f>IF(ISBLANK(INDEX('卡片数据'!C$7:C$406,$E$3*4+1)),"",INDEX('卡片数据'!C$7:C$406,$E$3*4+1))</x:f>
      </x:c>
      <x:c r="F6" s="52"/>
      <x:c r="G6" s="52"/>
      <x:c r="H6" s="52"/>
      <x:c r="I6" s="52"/>
      <x:c r="J6" s="2"/>
      <x:c r="K6" s="50" t="str">
        <x:v>IH</x:v>
      </x:c>
      <x:c r="L6" s="50" t="str">
        <x:v>IH</x:v>
      </x:c>
      <x:c r="M6" s="50" t="str">
        <x:v>IH</x:v>
      </x:c>
      <x:c r="N6" s="52" t="str">
        <x:f>IF(ISBLANK(INDEX('卡片数据'!C$7:C$406,$E$3*4+2)),"",INDEX('卡片数据'!C$7:C$406,$E$3*4+2))</x:f>
      </x:c>
      <x:c r="O6" s="52"/>
      <x:c r="P6" s="52"/>
      <x:c r="Q6" s="52"/>
      <x:c r="R6" s="52"/>
      <x:c r="S6" s="2"/>
    </x:row>
    <x:row r="7" ht="19" customHeight="1">
      <x:c r="A7" s="2"/>
      <x:c r="B7" s="53" t="str">
        <x:v>期货</x:v>
      </x:c>
      <x:c r="C7" s="53" t="str">
        <x:v>期货</x:v>
      </x:c>
      <x:c r="D7" s="53" t="str">
        <x:v>指数</x:v>
      </x:c>
      <x:c r="E7" s="53" t="str">
        <x:v>指数</x:v>
      </x:c>
      <x:c r="F7" s="53" t="str">
        <x:v>基差 bp</x:v>
      </x:c>
      <x:c r="G7" s="53" t="str">
        <x:v>基差 bp</x:v>
      </x:c>
      <x:c r="H7" s="53" t="str">
        <x:v>年化</x:v>
      </x:c>
      <x:c r="I7" s="53" t="str">
        <x:v>年化</x:v>
      </x:c>
      <x:c r="J7" s="2"/>
      <x:c r="K7" s="53" t="str">
        <x:v>期货</x:v>
      </x:c>
      <x:c r="L7" s="53" t="str">
        <x:v>期货</x:v>
      </x:c>
      <x:c r="M7" s="53" t="str">
        <x:v>指数</x:v>
      </x:c>
      <x:c r="N7" s="53" t="str">
        <x:v>指数</x:v>
      </x:c>
      <x:c r="O7" s="53" t="str">
        <x:v>基差 bp</x:v>
      </x:c>
      <x:c r="P7" s="53" t="str">
        <x:v>基差 bp</x:v>
      </x:c>
      <x:c r="Q7" s="53" t="str">
        <x:v>年化</x:v>
      </x:c>
      <x:c r="R7" s="53" t="str">
        <x:v>年化</x:v>
      </x:c>
      <x:c r="S7" s="2"/>
    </x:row>
    <x:row r="8" ht="25" customHeight="1">
      <x:c r="A8" s="2"/>
      <x:c r="B8" s="56" t="str">
        <x:f>IF(ISBLANK(INDEX('卡片数据'!D$7:D$406,$E$3*4+1)),"",INDEX('卡片数据'!D$7:D$406,$E$3*4+1))</x:f>
      </x:c>
      <x:c r="C8" s="56"/>
      <x:c r="D8" s="56" t="str">
        <x:f>IF(ISBLANK(INDEX('卡片数据'!E$7:E$406,$E$3*4+1)),"",INDEX('卡片数据'!E$7:E$406,$E$3*4+1))</x:f>
      </x:c>
      <x:c r="E8" s="56"/>
      <x:c r="F8" s="56" t="str">
        <x:f>IF(ISBLANK(INDEX('卡片数据'!F$7:F$406,$E$3*4+1)),"",INDEX('卡片数据'!F$7:F$406,$E$3*4+1))</x:f>
      </x:c>
      <x:c r="G8" s="56"/>
      <x:c r="H8" s="59" t="str">
        <x:f>IF(ISBLANK(INDEX('卡片数据'!G$7:G$406,$E$3*4+1)),"",INDEX('卡片数据'!G$7:G$406,$E$3*4+1))</x:f>
      </x:c>
      <x:c r="I8" s="59"/>
      <x:c r="J8" s="2"/>
      <x:c r="K8" s="56" t="str">
        <x:f>IF(ISBLANK(INDEX('卡片数据'!D$7:D$406,$E$3*4+2)),"",INDEX('卡片数据'!D$7:D$406,$E$3*4+2))</x:f>
      </x:c>
      <x:c r="L8" s="56"/>
      <x:c r="M8" s="56" t="str">
        <x:f>IF(ISBLANK(INDEX('卡片数据'!E$7:E$406,$E$3*4+2)),"",INDEX('卡片数据'!E$7:E$406,$E$3*4+2))</x:f>
      </x:c>
      <x:c r="N8" s="56"/>
      <x:c r="O8" s="56" t="str">
        <x:f>IF(ISBLANK(INDEX('卡片数据'!F$7:F$406,$E$3*4+2)),"",INDEX('卡片数据'!F$7:F$406,$E$3*4+2))</x:f>
      </x:c>
      <x:c r="P8" s="56"/>
      <x:c r="Q8" s="59" t="str">
        <x:f>IF(ISBLANK(INDEX('卡片数据'!G$7:G$406,$E$3*4+2)),"",INDEX('卡片数据'!G$7:G$406,$E$3*4+2))</x:f>
      </x:c>
      <x:c r="R8" s="59"/>
      <x:c r="S8" s="2"/>
    </x:row>
    <x:row r="9" ht="19" customHeight="1">
      <x:c r="A9" s="2"/>
      <x:c r="B9" s="68" t="str">
        <x:f>IF(ISBLANK(INDEX('卡片数据'!W$7:W$22,$E$3*4+1)),"待计算",INDEX('卡片数据'!Y$7:Y$22,$E$3*4+1)&amp;" "&amp;TEXT(INDEX('卡片数据'!W$7:W$22,$E$3*4+1),"mm/dd hh:mm:ss"))&amp;IF(ISBLANK(INDEX('卡片数据'!X$7:X$22,$E$3*4+1)),""," · 历史 "&amp;TEXT(INDEX('卡片数据'!X$7:X$22,$E$3*4+1),"mm/dd"))</x:f>
        <x:v> 01/00 00:00:00 · 历史 01/00</x:v>
      </x:c>
      <x:c r="C9" s="68"/>
      <x:c r="D9" s="68"/>
      <x:c r="E9" s="68"/>
      <x:c r="F9" s="68"/>
      <x:c r="G9" s="68"/>
      <x:c r="H9" s="68"/>
      <x:c r="I9" s="68"/>
      <x:c r="J9" s="2"/>
      <x:c r="K9" s="68" t="str">
        <x:f>IF(ISBLANK(INDEX('卡片数据'!W$7:W$22,$E$3*4+2)),"待计算",INDEX('卡片数据'!Y$7:Y$22,$E$3*4+2)&amp;" "&amp;TEXT(INDEX('卡片数据'!W$7:W$22,$E$3*4+2),"mm/dd hh:mm:ss"))&amp;IF(ISBLANK(INDEX('卡片数据'!X$7:X$22,$E$3*4+2)),""," · 历史 "&amp;TEXT(INDEX('卡片数据'!X$7:X$22,$E$3*4+2),"mm/dd"))</x:f>
        <x:v> 01/00 00:00:00 · 历史 01/00</x:v>
      </x:c>
      <x:c r="L9" s="68"/>
      <x:c r="M9" s="68"/>
      <x:c r="N9" s="68"/>
      <x:c r="O9" s="68"/>
      <x:c r="P9" s="68"/>
      <x:c r="Q9" s="68"/>
      <x:c r="R9" s="68"/>
      <x:c r="S9" s="2"/>
    </x:row>
    <x:row r="10" ht="19" customHeight="1">
      <x:c r="A10" s="2"/>
      <x:c r="B10" s="60" t="str">
        <x:v>收敛 bp/日</x:v>
      </x:c>
      <x:c r="C10" s="60" t="str">
        <x:v>收敛 bp/日</x:v>
      </x:c>
      <x:c r="D10" s="62" t="str">
        <x:f>IF(ISBLANK(INDEX('卡片数据'!H$7:H$406,$E$3*4+1)),"",INDEX('卡片数据'!H$7:H$406,$E$3*4+1))</x:f>
      </x:c>
      <x:c r="E10" s="62"/>
      <x:c r="F10" s="60" t="str">
        <x:v>振幅 倍</x:v>
      </x:c>
      <x:c r="G10" s="60" t="str">
        <x:v>振幅 倍</x:v>
      </x:c>
      <x:c r="H10" s="62" t="str">
        <x:f>IF(ISBLANK(INDEX('卡片数据'!I$7:I$406,$E$3*4+1)),"",INDEX('卡片数据'!I$7:I$406,$E$3*4+1))</x:f>
      </x:c>
      <x:c r="I10" s="62"/>
      <x:c r="J10" s="2"/>
      <x:c r="K10" s="60" t="str">
        <x:v>收敛 bp/日</x:v>
      </x:c>
      <x:c r="L10" s="60" t="str">
        <x:v>收敛 bp/日</x:v>
      </x:c>
      <x:c r="M10" s="62" t="str">
        <x:f>IF(ISBLANK(INDEX('卡片数据'!H$7:H$406,$E$3*4+2)),"",INDEX('卡片数据'!H$7:H$406,$E$3*4+2))</x:f>
      </x:c>
      <x:c r="N10" s="62"/>
      <x:c r="O10" s="60" t="str">
        <x:v>振幅 倍</x:v>
      </x:c>
      <x:c r="P10" s="60" t="str">
        <x:v>振幅 倍</x:v>
      </x:c>
      <x:c r="Q10" s="62" t="str">
        <x:f>IF(ISBLANK(INDEX('卡片数据'!I$7:I$406,$E$3*4+2)),"",INDEX('卡片数据'!I$7:I$406,$E$3*4+2))</x:f>
      </x:c>
      <x:c r="R10" s="62"/>
      <x:c r="S10" s="2"/>
    </x:row>
    <x:row r="11" ht="19" customHeight="1">
      <x:c r="A11" s="2"/>
      <x:c r="B11" s="60" t="str">
        <x:v>路径效率</x:v>
      </x:c>
      <x:c r="C11" s="60" t="str">
        <x:v>路径效率</x:v>
      </x:c>
      <x:c r="D11" s="62" t="str">
        <x:f>IF(ISBLANK(INDEX('卡片数据'!J$7:J$406,$E$3*4+1)),"",INDEX('卡片数据'!J$7:J$406,$E$3*4+1))</x:f>
      </x:c>
      <x:c r="E11" s="62"/>
      <x:c r="F11" s="60" t="str">
        <x:v>中枢 %</x:v>
      </x:c>
      <x:c r="G11" s="60" t="str">
        <x:v>中枢 %</x:v>
      </x:c>
      <x:c r="H11" s="62" t="str">
        <x:f>IF(ISBLANK(INDEX('卡片数据'!K$7:K$406,$E$3*4+1)),"",INDEX('卡片数据'!K$7:K$406,$E$3*4+1))</x:f>
      </x:c>
      <x:c r="I11" s="62"/>
      <x:c r="J11" s="2"/>
      <x:c r="K11" s="60" t="str">
        <x:v>路径效率</x:v>
      </x:c>
      <x:c r="L11" s="60" t="str">
        <x:v>路径效率</x:v>
      </x:c>
      <x:c r="M11" s="62" t="str">
        <x:f>IF(ISBLANK(INDEX('卡片数据'!J$7:J$406,$E$3*4+2)),"",INDEX('卡片数据'!J$7:J$406,$E$3*4+2))</x:f>
      </x:c>
      <x:c r="N11" s="62"/>
      <x:c r="O11" s="60" t="str">
        <x:v>中枢 %</x:v>
      </x:c>
      <x:c r="P11" s="60" t="str">
        <x:v>中枢 %</x:v>
      </x:c>
      <x:c r="Q11" s="62" t="str">
        <x:f>IF(ISBLANK(INDEX('卡片数据'!K$7:K$406,$E$3*4+2)),"",INDEX('卡片数据'!K$7:K$406,$E$3*4+2))</x:f>
      </x:c>
      <x:c r="R11" s="62"/>
      <x:c r="S11" s="2"/>
    </x:row>
    <x:row r="12" ht="19" customHeight="1">
      <x:c r="A12" s="2"/>
      <x:c r="B12" s="60" t="str">
        <x:v>换手 倍</x:v>
      </x:c>
      <x:c r="C12" s="60" t="str">
        <x:v>换手 倍</x:v>
      </x:c>
      <x:c r="D12" s="62" t="str">
        <x:f>IF(ISBLANK(INDEX('卡片数据'!L$7:L$406,$E$3*4+1)),"",INDEX('卡片数据'!L$7:L$406,$E$3*4+1))</x:f>
      </x:c>
      <x:c r="E12" s="62"/>
      <x:c r="F12" s="60" t="str">
        <x:v>活跃度 倍</x:v>
      </x:c>
      <x:c r="G12" s="60" t="str">
        <x:v>活跃度 倍</x:v>
      </x:c>
      <x:c r="H12" s="62" t="str">
        <x:f>IF(ISBLANK(INDEX('卡片数据'!M$7:M$406,$E$3*4+1)),"",INDEX('卡片数据'!M$7:M$406,$E$3*4+1))</x:f>
      </x:c>
      <x:c r="I12" s="62"/>
      <x:c r="J12" s="2"/>
      <x:c r="K12" s="60" t="str">
        <x:v>换手 倍</x:v>
      </x:c>
      <x:c r="L12" s="60" t="str">
        <x:v>换手 倍</x:v>
      </x:c>
      <x:c r="M12" s="62" t="str">
        <x:f>IF(ISBLANK(INDEX('卡片数据'!L$7:L$406,$E$3*4+2)),"",INDEX('卡片数据'!L$7:L$406,$E$3*4+2))</x:f>
      </x:c>
      <x:c r="N12" s="62"/>
      <x:c r="O12" s="60" t="str">
        <x:v>活跃度 倍</x:v>
      </x:c>
      <x:c r="P12" s="60" t="str">
        <x:v>活跃度 倍</x:v>
      </x:c>
      <x:c r="Q12" s="62" t="str">
        <x:f>IF(ISBLANK(INDEX('卡片数据'!M$7:M$406,$E$3*4+2)),"",INDEX('卡片数据'!M$7:M$406,$E$3*4+2))</x:f>
      </x:c>
      <x:c r="R12" s="62"/>
      <x:c r="S12" s="2"/>
    </x:row>
    <x:row r="13" ht="19" customHeight="1">
      <x:c r="A13" s="2"/>
      <x:c r="B13" s="11"/>
      <x:c r="C13" s="11"/>
      <x:c r="D13" s="11"/>
      <x:c r="E13" s="11"/>
      <x:c r="F13" s="11"/>
      <x:c r="G13" s="11"/>
      <x:c r="H13" s="11"/>
      <x:c r="I13" s="11"/>
      <x:c r="J13" s="2"/>
      <x:c r="K13" s="11"/>
      <x:c r="L13" s="11"/>
      <x:c r="M13" s="11"/>
      <x:c r="N13" s="11"/>
      <x:c r="O13" s="11"/>
      <x:c r="P13" s="11"/>
      <x:c r="Q13" s="11"/>
      <x:c r="R13" s="11"/>
      <x:c r="S13" s="2"/>
    </x:row>
    <x:row r="14" ht="19" customHeight="1">
      <x:c r="A14" s="2"/>
      <x:c r="B14" s="53" t="str">
        <x:v>20日</x:v>
      </x:c>
      <x:c r="C14" s="53" t="str">
        <x:v>20日</x:v>
      </x:c>
      <x:c r="D14" s="53" t="str">
        <x:v>3月</x:v>
      </x:c>
      <x:c r="E14" s="53" t="str">
        <x:v>3月</x:v>
      </x:c>
      <x:c r="F14" s="53" t="str">
        <x:v>6月</x:v>
      </x:c>
      <x:c r="G14" s="53" t="str">
        <x:v>6月</x:v>
      </x:c>
      <x:c r="H14" s="53" t="str">
        <x:v>12月</x:v>
      </x:c>
      <x:c r="I14" s="53" t="str">
        <x:v>12月</x:v>
      </x:c>
      <x:c r="J14" s="2"/>
      <x:c r="K14" s="53" t="str">
        <x:v>20日</x:v>
      </x:c>
      <x:c r="L14" s="53" t="str">
        <x:v>20日</x:v>
      </x:c>
      <x:c r="M14" s="53" t="str">
        <x:v>3月</x:v>
      </x:c>
      <x:c r="N14" s="53" t="str">
        <x:v>3月</x:v>
      </x:c>
      <x:c r="O14" s="53" t="str">
        <x:v>6月</x:v>
      </x:c>
      <x:c r="P14" s="53" t="str">
        <x:v>6月</x:v>
      </x:c>
      <x:c r="Q14" s="53" t="str">
        <x:v>12月</x:v>
      </x:c>
      <x:c r="R14" s="53" t="str">
        <x:v>12月</x:v>
      </x:c>
      <x:c r="S14" s="2"/>
    </x:row>
    <x:row r="15" ht="19" customHeight="1">
      <x:c r="A15" s="2"/>
      <x:c r="B15" s="64" t="str">
        <x:f>IF(ISBLANK(INDEX('卡片数据'!N$7:N$406,$E$3*4+1)),"",INDEX('卡片数据'!N$7:N$406,$E$3*4+1))</x:f>
      </x:c>
      <x:c r="C15" s="64"/>
      <x:c r="D15" s="64" t="str">
        <x:f>IF(ISBLANK(INDEX('卡片数据'!O$7:O$406,$E$3*4+1)),"",INDEX('卡片数据'!O$7:O$406,$E$3*4+1))</x:f>
      </x:c>
      <x:c r="E15" s="64"/>
      <x:c r="F15" s="64" t="str">
        <x:f>IF(ISBLANK(INDEX('卡片数据'!P$7:P$406,$E$3*4+1)),"",INDEX('卡片数据'!P$7:P$406,$E$3*4+1))</x:f>
      </x:c>
      <x:c r="G15" s="64"/>
      <x:c r="H15" s="64" t="str">
        <x:f>IF(ISBLANK(INDEX('卡片数据'!Q$7:Q$406,$E$3*4+1)),"",INDEX('卡片数据'!Q$7:Q$406,$E$3*4+1))</x:f>
      </x:c>
      <x:c r="I15" s="64"/>
      <x:c r="J15" s="2"/>
      <x:c r="K15" s="64" t="str">
        <x:f>IF(ISBLANK(INDEX('卡片数据'!N$7:N$406,$E$3*4+2)),"",INDEX('卡片数据'!N$7:N$406,$E$3*4+2))</x:f>
      </x:c>
      <x:c r="L15" s="64"/>
      <x:c r="M15" s="64" t="str">
        <x:f>IF(ISBLANK(INDEX('卡片数据'!O$7:O$406,$E$3*4+2)),"",INDEX('卡片数据'!O$7:O$406,$E$3*4+2))</x:f>
      </x:c>
      <x:c r="N15" s="64"/>
      <x:c r="O15" s="64" t="str">
        <x:f>IF(ISBLANK(INDEX('卡片数据'!P$7:P$406,$E$3*4+2)),"",INDEX('卡片数据'!P$7:P$406,$E$3*4+2))</x:f>
      </x:c>
      <x:c r="P15" s="64"/>
      <x:c r="Q15" s="64" t="str">
        <x:f>IF(ISBLANK(INDEX('卡片数据'!Q$7:Q$406,$E$3*4+2)),"",INDEX('卡片数据'!Q$7:Q$406,$E$3*4+2))</x:f>
      </x:c>
      <x:c r="R15" s="64"/>
      <x:c r="S15" s="2"/>
    </x:row>
    <x:row r="16" ht="19" customHeight="1">
      <x:c r="A16" s="2"/>
      <x:c r="B16" s="66" t="str">
        <x:f>IF(ISBLANK(INDEX('卡片数据'!R$7:R$406,$E$3*4+1)),"",INDEX('卡片数据'!R$7:R$406,$E$3*4+1))</x:f>
      </x:c>
      <x:c r="C16" s="66"/>
      <x:c r="D16" s="66" t="str">
        <x:f>IF(ISBLANK(INDEX('卡片数据'!S$7:S$406,$E$3*4+1)),"",INDEX('卡片数据'!S$7:S$406,$E$3*4+1))</x:f>
      </x:c>
      <x:c r="E16" s="66"/>
      <x:c r="F16" s="66" t="str">
        <x:f>IF(ISBLANK(INDEX('卡片数据'!T$7:T$406,$E$3*4+1)),"",INDEX('卡片数据'!T$7:T$406,$E$3*4+1))</x:f>
      </x:c>
      <x:c r="G16" s="66"/>
      <x:c r="H16" s="66" t="str">
        <x:f>IF(ISBLANK(INDEX('卡片数据'!U$7:U$406,$E$3*4+1)),"",INDEX('卡片数据'!U$7:U$406,$E$3*4+1))</x:f>
      </x:c>
      <x:c r="I16" s="66"/>
      <x:c r="J16" s="2"/>
      <x:c r="K16" s="66" t="str">
        <x:f>IF(ISBLANK(INDEX('卡片数据'!R$7:R$406,$E$3*4+2)),"",INDEX('卡片数据'!R$7:R$406,$E$3*4+2))</x:f>
      </x:c>
      <x:c r="L16" s="66"/>
      <x:c r="M16" s="66" t="str">
        <x:f>IF(ISBLANK(INDEX('卡片数据'!S$7:S$406,$E$3*4+2)),"",INDEX('卡片数据'!S$7:S$406,$E$3*4+2))</x:f>
      </x:c>
      <x:c r="N16" s="66"/>
      <x:c r="O16" s="66" t="str">
        <x:f>IF(ISBLANK(INDEX('卡片数据'!T$7:T$406,$E$3*4+2)),"",INDEX('卡片数据'!T$7:T$406,$E$3*4+2))</x:f>
      </x:c>
      <x:c r="P16" s="66"/>
      <x:c r="Q16" s="66" t="str">
        <x:f>IF(ISBLANK(INDEX('卡片数据'!U$7:U$406,$E$3*4+2)),"",INDEX('卡片数据'!U$7:U$406,$E$3*4+2))</x:f>
      </x:c>
      <x:c r="R16" s="66"/>
      <x:c r="S16" s="2"/>
    </x:row>
    <x:row r="17" ht="30" customHeight="1">
      <x:c r="A17" s="2"/>
      <x:c r="B17" s="70" t="str">
        <x:f>IF(ISBLANK(INDEX('卡片数据'!V$7:V$406,$E$3*4+1)),"",INDEX('卡片数据'!V$7:V$406,$E$3*4+1))</x:f>
      </x:c>
      <x:c r="C17" s="70"/>
      <x:c r="D17" s="70"/>
      <x:c r="E17" s="70"/>
      <x:c r="F17" s="70"/>
      <x:c r="G17" s="70"/>
      <x:c r="H17" s="70"/>
      <x:c r="I17" s="70"/>
      <x:c r="J17" s="2"/>
      <x:c r="K17" s="70" t="str">
        <x:f>IF(ISBLANK(INDEX('卡片数据'!V$7:V$406,$E$3*4+2)),"",INDEX('卡片数据'!V$7:V$406,$E$3*4+2))</x:f>
      </x:c>
      <x:c r="L17" s="70"/>
      <x:c r="M17" s="70"/>
      <x:c r="N17" s="70"/>
      <x:c r="O17" s="70"/>
      <x:c r="P17" s="70"/>
      <x:c r="Q17" s="70"/>
      <x:c r="R17" s="70"/>
      <x:c r="S17" s="2"/>
    </x:row>
    <x:row r="18" ht="19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25" customHeight="1">
      <x:c r="A19" s="2"/>
      <x:c r="B19" s="50" t="str">
        <x:v>IC</x:v>
      </x:c>
      <x:c r="C19" s="50" t="str">
        <x:v>IC</x:v>
      </x:c>
      <x:c r="D19" s="50" t="str">
        <x:v>IC</x:v>
      </x:c>
      <x:c r="E19" s="52" t="str">
        <x:f>IF(ISBLANK(INDEX('卡片数据'!C$7:C$406,$E$3*4+3)),"",INDEX('卡片数据'!C$7:C$406,$E$3*4+3))</x:f>
      </x:c>
      <x:c r="F19" s="52"/>
      <x:c r="G19" s="52"/>
      <x:c r="H19" s="52"/>
      <x:c r="I19" s="52"/>
      <x:c r="J19" s="2"/>
      <x:c r="K19" s="50" t="str">
        <x:v>IM</x:v>
      </x:c>
      <x:c r="L19" s="50" t="str">
        <x:v>IM</x:v>
      </x:c>
      <x:c r="M19" s="50" t="str">
        <x:v>IM</x:v>
      </x:c>
      <x:c r="N19" s="52" t="str">
        <x:f>IF(ISBLANK(INDEX('卡片数据'!C$7:C$406,$E$3*4+4)),"",INDEX('卡片数据'!C$7:C$406,$E$3*4+4))</x:f>
      </x:c>
      <x:c r="O19" s="52"/>
      <x:c r="P19" s="52"/>
      <x:c r="Q19" s="52"/>
      <x:c r="R19" s="52"/>
      <x:c r="S19" s="2"/>
    </x:row>
    <x:row r="20" ht="19" customHeight="1">
      <x:c r="A20" s="2"/>
      <x:c r="B20" s="53" t="str">
        <x:v>期货</x:v>
      </x:c>
      <x:c r="C20" s="53" t="str">
        <x:v>期货</x:v>
      </x:c>
      <x:c r="D20" s="53" t="str">
        <x:v>指数</x:v>
      </x:c>
      <x:c r="E20" s="53" t="str">
        <x:v>指数</x:v>
      </x:c>
      <x:c r="F20" s="53" t="str">
        <x:v>基差 bp</x:v>
      </x:c>
      <x:c r="G20" s="53" t="str">
        <x:v>基差 bp</x:v>
      </x:c>
      <x:c r="H20" s="53" t="str">
        <x:v>年化</x:v>
      </x:c>
      <x:c r="I20" s="53" t="str">
        <x:v>年化</x:v>
      </x:c>
      <x:c r="J20" s="2"/>
      <x:c r="K20" s="53" t="str">
        <x:v>期货</x:v>
      </x:c>
      <x:c r="L20" s="53" t="str">
        <x:v>期货</x:v>
      </x:c>
      <x:c r="M20" s="53" t="str">
        <x:v>指数</x:v>
      </x:c>
      <x:c r="N20" s="53" t="str">
        <x:v>指数</x:v>
      </x:c>
      <x:c r="O20" s="53" t="str">
        <x:v>基差 bp</x:v>
      </x:c>
      <x:c r="P20" s="53" t="str">
        <x:v>基差 bp</x:v>
      </x:c>
      <x:c r="Q20" s="53" t="str">
        <x:v>年化</x:v>
      </x:c>
      <x:c r="R20" s="53" t="str">
        <x:v>年化</x:v>
      </x:c>
      <x:c r="S20" s="2"/>
    </x:row>
    <x:row r="21" ht="25" customHeight="1">
      <x:c r="A21" s="2"/>
      <x:c r="B21" s="56" t="str">
        <x:f>IF(ISBLANK(INDEX('卡片数据'!D$7:D$406,$E$3*4+3)),"",INDEX('卡片数据'!D$7:D$406,$E$3*4+3))</x:f>
      </x:c>
      <x:c r="C21" s="56"/>
      <x:c r="D21" s="56" t="str">
        <x:f>IF(ISBLANK(INDEX('卡片数据'!E$7:E$406,$E$3*4+3)),"",INDEX('卡片数据'!E$7:E$406,$E$3*4+3))</x:f>
      </x:c>
      <x:c r="E21" s="56"/>
      <x:c r="F21" s="56" t="str">
        <x:f>IF(ISBLANK(INDEX('卡片数据'!F$7:F$406,$E$3*4+3)),"",INDEX('卡片数据'!F$7:F$406,$E$3*4+3))</x:f>
      </x:c>
      <x:c r="G21" s="56"/>
      <x:c r="H21" s="59" t="str">
        <x:f>IF(ISBLANK(INDEX('卡片数据'!G$7:G$406,$E$3*4+3)),"",INDEX('卡片数据'!G$7:G$406,$E$3*4+3))</x:f>
      </x:c>
      <x:c r="I21" s="59"/>
      <x:c r="J21" s="2"/>
      <x:c r="K21" s="56" t="str">
        <x:f>IF(ISBLANK(INDEX('卡片数据'!D$7:D$406,$E$3*4+4)),"",INDEX('卡片数据'!D$7:D$406,$E$3*4+4))</x:f>
      </x:c>
      <x:c r="L21" s="56"/>
      <x:c r="M21" s="56" t="str">
        <x:f>IF(ISBLANK(INDEX('卡片数据'!E$7:E$406,$E$3*4+4)),"",INDEX('卡片数据'!E$7:E$406,$E$3*4+4))</x:f>
      </x:c>
      <x:c r="N21" s="56"/>
      <x:c r="O21" s="56" t="str">
        <x:f>IF(ISBLANK(INDEX('卡片数据'!F$7:F$406,$E$3*4+4)),"",INDEX('卡片数据'!F$7:F$406,$E$3*4+4))</x:f>
      </x:c>
      <x:c r="P21" s="56"/>
      <x:c r="Q21" s="59" t="str">
        <x:f>IF(ISBLANK(INDEX('卡片数据'!G$7:G$406,$E$3*4+4)),"",INDEX('卡片数据'!G$7:G$406,$E$3*4+4))</x:f>
      </x:c>
      <x:c r="R21" s="59"/>
      <x:c r="S21" s="2"/>
    </x:row>
    <x:row r="22" ht="19" customHeight="1">
      <x:c r="A22" s="2"/>
      <x:c r="B22" s="68" t="str">
        <x:f>IF(ISBLANK(INDEX('卡片数据'!W$7:W$22,$E$3*4+3)),"待计算",INDEX('卡片数据'!Y$7:Y$22,$E$3*4+3)&amp;" "&amp;TEXT(INDEX('卡片数据'!W$7:W$22,$E$3*4+3),"mm/dd hh:mm:ss"))&amp;IF(ISBLANK(INDEX('卡片数据'!X$7:X$22,$E$3*4+3)),""," · 历史 "&amp;TEXT(INDEX('卡片数据'!X$7:X$22,$E$3*4+3),"mm/dd"))</x:f>
        <x:v> 01/00 00:00:00 · 历史 01/00</x:v>
      </x:c>
      <x:c r="C22" s="68"/>
      <x:c r="D22" s="68"/>
      <x:c r="E22" s="68"/>
      <x:c r="F22" s="68"/>
      <x:c r="G22" s="68"/>
      <x:c r="H22" s="68"/>
      <x:c r="I22" s="68"/>
      <x:c r="J22" s="2"/>
      <x:c r="K22" s="68" t="str">
        <x:f>IF(ISBLANK(INDEX('卡片数据'!W$7:W$22,$E$3*4+4)),"待计算",INDEX('卡片数据'!Y$7:Y$22,$E$3*4+4)&amp;" "&amp;TEXT(INDEX('卡片数据'!W$7:W$22,$E$3*4+4),"mm/dd hh:mm:ss"))&amp;IF(ISBLANK(INDEX('卡片数据'!X$7:X$22,$E$3*4+4)),""," · 历史 "&amp;TEXT(INDEX('卡片数据'!X$7:X$22,$E$3*4+4),"mm/dd"))</x:f>
        <x:v> 01/00 00:00:00 · 历史 01/00</x:v>
      </x:c>
      <x:c r="L22" s="68"/>
      <x:c r="M22" s="68"/>
      <x:c r="N22" s="68"/>
      <x:c r="O22" s="68"/>
      <x:c r="P22" s="68"/>
      <x:c r="Q22" s="68"/>
      <x:c r="R22" s="68"/>
      <x:c r="S22" s="2"/>
    </x:row>
    <x:row r="23" ht="19" customHeight="1">
      <x:c r="A23" s="2"/>
      <x:c r="B23" s="60" t="str">
        <x:v>收敛 bp/日</x:v>
      </x:c>
      <x:c r="C23" s="60" t="str">
        <x:v>收敛 bp/日</x:v>
      </x:c>
      <x:c r="D23" s="62" t="str">
        <x:f>IF(ISBLANK(INDEX('卡片数据'!H$7:H$406,$E$3*4+3)),"",INDEX('卡片数据'!H$7:H$406,$E$3*4+3))</x:f>
      </x:c>
      <x:c r="E23" s="62"/>
      <x:c r="F23" s="60" t="str">
        <x:v>振幅 倍</x:v>
      </x:c>
      <x:c r="G23" s="60" t="str">
        <x:v>振幅 倍</x:v>
      </x:c>
      <x:c r="H23" s="62" t="str">
        <x:f>IF(ISBLANK(INDEX('卡片数据'!I$7:I$406,$E$3*4+3)),"",INDEX('卡片数据'!I$7:I$406,$E$3*4+3))</x:f>
      </x:c>
      <x:c r="I23" s="62"/>
      <x:c r="J23" s="2"/>
      <x:c r="K23" s="60" t="str">
        <x:v>收敛 bp/日</x:v>
      </x:c>
      <x:c r="L23" s="60" t="str">
        <x:v>收敛 bp/日</x:v>
      </x:c>
      <x:c r="M23" s="62" t="str">
        <x:f>IF(ISBLANK(INDEX('卡片数据'!H$7:H$406,$E$3*4+4)),"",INDEX('卡片数据'!H$7:H$406,$E$3*4+4))</x:f>
      </x:c>
      <x:c r="N23" s="62"/>
      <x:c r="O23" s="60" t="str">
        <x:v>振幅 倍</x:v>
      </x:c>
      <x:c r="P23" s="60" t="str">
        <x:v>振幅 倍</x:v>
      </x:c>
      <x:c r="Q23" s="62" t="str">
        <x:f>IF(ISBLANK(INDEX('卡片数据'!I$7:I$406,$E$3*4+4)),"",INDEX('卡片数据'!I$7:I$406,$E$3*4+4))</x:f>
      </x:c>
      <x:c r="R23" s="62"/>
      <x:c r="S23" s="2"/>
    </x:row>
    <x:row r="24" ht="19" customHeight="1">
      <x:c r="A24" s="2"/>
      <x:c r="B24" s="60" t="str">
        <x:v>路径效率</x:v>
      </x:c>
      <x:c r="C24" s="60" t="str">
        <x:v>路径效率</x:v>
      </x:c>
      <x:c r="D24" s="62" t="str">
        <x:f>IF(ISBLANK(INDEX('卡片数据'!J$7:J$406,$E$3*4+3)),"",INDEX('卡片数据'!J$7:J$406,$E$3*4+3))</x:f>
      </x:c>
      <x:c r="E24" s="62"/>
      <x:c r="F24" s="60" t="str">
        <x:v>中枢 %</x:v>
      </x:c>
      <x:c r="G24" s="60" t="str">
        <x:v>中枢 %</x:v>
      </x:c>
      <x:c r="H24" s="62" t="str">
        <x:f>IF(ISBLANK(INDEX('卡片数据'!K$7:K$406,$E$3*4+3)),"",INDEX('卡片数据'!K$7:K$406,$E$3*4+3))</x:f>
      </x:c>
      <x:c r="I24" s="62"/>
      <x:c r="J24" s="2"/>
      <x:c r="K24" s="60" t="str">
        <x:v>路径效率</x:v>
      </x:c>
      <x:c r="L24" s="60" t="str">
        <x:v>路径效率</x:v>
      </x:c>
      <x:c r="M24" s="62" t="str">
        <x:f>IF(ISBLANK(INDEX('卡片数据'!J$7:J$406,$E$3*4+4)),"",INDEX('卡片数据'!J$7:J$406,$E$3*4+4))</x:f>
      </x:c>
      <x:c r="N24" s="62"/>
      <x:c r="O24" s="60" t="str">
        <x:v>中枢 %</x:v>
      </x:c>
      <x:c r="P24" s="60" t="str">
        <x:v>中枢 %</x:v>
      </x:c>
      <x:c r="Q24" s="62" t="str">
        <x:f>IF(ISBLANK(INDEX('卡片数据'!K$7:K$406,$E$3*4+4)),"",INDEX('卡片数据'!K$7:K$406,$E$3*4+4))</x:f>
      </x:c>
      <x:c r="R24" s="62"/>
      <x:c r="S24" s="2"/>
    </x:row>
    <x:row r="25" ht="19" customHeight="1">
      <x:c r="A25" s="2"/>
      <x:c r="B25" s="60" t="str">
        <x:v>换手 倍</x:v>
      </x:c>
      <x:c r="C25" s="60" t="str">
        <x:v>换手 倍</x:v>
      </x:c>
      <x:c r="D25" s="62" t="str">
        <x:f>IF(ISBLANK(INDEX('卡片数据'!L$7:L$406,$E$3*4+3)),"",INDEX('卡片数据'!L$7:L$406,$E$3*4+3))</x:f>
      </x:c>
      <x:c r="E25" s="62"/>
      <x:c r="F25" s="60" t="str">
        <x:v>活跃度 倍</x:v>
      </x:c>
      <x:c r="G25" s="60" t="str">
        <x:v>活跃度 倍</x:v>
      </x:c>
      <x:c r="H25" s="62" t="str">
        <x:f>IF(ISBLANK(INDEX('卡片数据'!M$7:M$406,$E$3*4+3)),"",INDEX('卡片数据'!M$7:M$406,$E$3*4+3))</x:f>
      </x:c>
      <x:c r="I25" s="62"/>
      <x:c r="J25" s="2"/>
      <x:c r="K25" s="60" t="str">
        <x:v>换手 倍</x:v>
      </x:c>
      <x:c r="L25" s="60" t="str">
        <x:v>换手 倍</x:v>
      </x:c>
      <x:c r="M25" s="62" t="str">
        <x:f>IF(ISBLANK(INDEX('卡片数据'!L$7:L$406,$E$3*4+4)),"",INDEX('卡片数据'!L$7:L$406,$E$3*4+4))</x:f>
      </x:c>
      <x:c r="N25" s="62"/>
      <x:c r="O25" s="60" t="str">
        <x:v>活跃度 倍</x:v>
      </x:c>
      <x:c r="P25" s="60" t="str">
        <x:v>活跃度 倍</x:v>
      </x:c>
      <x:c r="Q25" s="62" t="str">
        <x:f>IF(ISBLANK(INDEX('卡片数据'!M$7:M$406,$E$3*4+4)),"",INDEX('卡片数据'!M$7:M$406,$E$3*4+4))</x:f>
      </x:c>
      <x:c r="R25" s="62"/>
      <x:c r="S25" s="2"/>
    </x:row>
    <x:row r="26" ht="19" customHeight="1">
      <x:c r="A26" s="2"/>
      <x:c r="B26" s="11"/>
      <x:c r="C26" s="11"/>
      <x:c r="D26" s="11"/>
      <x:c r="E26" s="11"/>
      <x:c r="F26" s="11"/>
      <x:c r="G26" s="11"/>
      <x:c r="H26" s="11"/>
      <x:c r="I26" s="11"/>
      <x:c r="J26" s="2"/>
      <x:c r="K26" s="11"/>
      <x:c r="L26" s="11"/>
      <x:c r="M26" s="11"/>
      <x:c r="N26" s="11"/>
      <x:c r="O26" s="11"/>
      <x:c r="P26" s="11"/>
      <x:c r="Q26" s="11"/>
      <x:c r="R26" s="11"/>
      <x:c r="S26" s="2"/>
    </x:row>
    <x:row r="27" ht="19" customHeight="1">
      <x:c r="A27" s="2"/>
      <x:c r="B27" s="53" t="str">
        <x:v>20日</x:v>
      </x:c>
      <x:c r="C27" s="53" t="str">
        <x:v>20日</x:v>
      </x:c>
      <x:c r="D27" s="53" t="str">
        <x:v>3月</x:v>
      </x:c>
      <x:c r="E27" s="53" t="str">
        <x:v>3月</x:v>
      </x:c>
      <x:c r="F27" s="53" t="str">
        <x:v>6月</x:v>
      </x:c>
      <x:c r="G27" s="53" t="str">
        <x:v>6月</x:v>
      </x:c>
      <x:c r="H27" s="53" t="str">
        <x:v>12月</x:v>
      </x:c>
      <x:c r="I27" s="53" t="str">
        <x:v>12月</x:v>
      </x:c>
      <x:c r="J27" s="2"/>
      <x:c r="K27" s="53" t="str">
        <x:v>20日</x:v>
      </x:c>
      <x:c r="L27" s="53" t="str">
        <x:v>20日</x:v>
      </x:c>
      <x:c r="M27" s="53" t="str">
        <x:v>3月</x:v>
      </x:c>
      <x:c r="N27" s="53" t="str">
        <x:v>3月</x:v>
      </x:c>
      <x:c r="O27" s="53" t="str">
        <x:v>6月</x:v>
      </x:c>
      <x:c r="P27" s="53" t="str">
        <x:v>6月</x:v>
      </x:c>
      <x:c r="Q27" s="53" t="str">
        <x:v>12月</x:v>
      </x:c>
      <x:c r="R27" s="53" t="str">
        <x:v>12月</x:v>
      </x:c>
      <x:c r="S27" s="2"/>
    </x:row>
    <x:row r="28" ht="19" customHeight="1">
      <x:c r="A28" s="2"/>
      <x:c r="B28" s="64" t="str">
        <x:f>IF(ISBLANK(INDEX('卡片数据'!N$7:N$406,$E$3*4+3)),"",INDEX('卡片数据'!N$7:N$406,$E$3*4+3))</x:f>
      </x:c>
      <x:c r="C28" s="64"/>
      <x:c r="D28" s="64" t="str">
        <x:f>IF(ISBLANK(INDEX('卡片数据'!O$7:O$406,$E$3*4+3)),"",INDEX('卡片数据'!O$7:O$406,$E$3*4+3))</x:f>
      </x:c>
      <x:c r="E28" s="64"/>
      <x:c r="F28" s="64" t="str">
        <x:f>IF(ISBLANK(INDEX('卡片数据'!P$7:P$406,$E$3*4+3)),"",INDEX('卡片数据'!P$7:P$406,$E$3*4+3))</x:f>
      </x:c>
      <x:c r="G28" s="64"/>
      <x:c r="H28" s="64" t="str">
        <x:f>IF(ISBLANK(INDEX('卡片数据'!Q$7:Q$406,$E$3*4+3)),"",INDEX('卡片数据'!Q$7:Q$406,$E$3*4+3))</x:f>
      </x:c>
      <x:c r="I28" s="64"/>
      <x:c r="J28" s="2"/>
      <x:c r="K28" s="64" t="str">
        <x:f>IF(ISBLANK(INDEX('卡片数据'!N$7:N$406,$E$3*4+4)),"",INDEX('卡片数据'!N$7:N$406,$E$3*4+4))</x:f>
      </x:c>
      <x:c r="L28" s="64"/>
      <x:c r="M28" s="64" t="str">
        <x:f>IF(ISBLANK(INDEX('卡片数据'!O$7:O$406,$E$3*4+4)),"",INDEX('卡片数据'!O$7:O$406,$E$3*4+4))</x:f>
      </x:c>
      <x:c r="N28" s="64"/>
      <x:c r="O28" s="64" t="str">
        <x:f>IF(ISBLANK(INDEX('卡片数据'!P$7:P$406,$E$3*4+4)),"",INDEX('卡片数据'!P$7:P$406,$E$3*4+4))</x:f>
      </x:c>
      <x:c r="P28" s="64"/>
      <x:c r="Q28" s="64" t="str">
        <x:f>IF(ISBLANK(INDEX('卡片数据'!Q$7:Q$406,$E$3*4+4)),"",INDEX('卡片数据'!Q$7:Q$406,$E$3*4+4))</x:f>
      </x:c>
      <x:c r="R28" s="64"/>
      <x:c r="S28" s="2"/>
    </x:row>
    <x:row r="29" ht="19" customHeight="1">
      <x:c r="A29" s="2"/>
      <x:c r="B29" s="66" t="str">
        <x:f>IF(ISBLANK(INDEX('卡片数据'!R$7:R$406,$E$3*4+3)),"",INDEX('卡片数据'!R$7:R$406,$E$3*4+3))</x:f>
      </x:c>
      <x:c r="C29" s="66"/>
      <x:c r="D29" s="66" t="str">
        <x:f>IF(ISBLANK(INDEX('卡片数据'!S$7:S$406,$E$3*4+3)),"",INDEX('卡片数据'!S$7:S$406,$E$3*4+3))</x:f>
      </x:c>
      <x:c r="E29" s="66"/>
      <x:c r="F29" s="66" t="str">
        <x:f>IF(ISBLANK(INDEX('卡片数据'!T$7:T$406,$E$3*4+3)),"",INDEX('卡片数据'!T$7:T$406,$E$3*4+3))</x:f>
      </x:c>
      <x:c r="G29" s="66"/>
      <x:c r="H29" s="66" t="str">
        <x:f>IF(ISBLANK(INDEX('卡片数据'!U$7:U$406,$E$3*4+3)),"",INDEX('卡片数据'!U$7:U$406,$E$3*4+3))</x:f>
      </x:c>
      <x:c r="I29" s="66"/>
      <x:c r="J29" s="2"/>
      <x:c r="K29" s="66" t="str">
        <x:f>IF(ISBLANK(INDEX('卡片数据'!R$7:R$406,$E$3*4+4)),"",INDEX('卡片数据'!R$7:R$406,$E$3*4+4))</x:f>
      </x:c>
      <x:c r="L29" s="66"/>
      <x:c r="M29" s="66" t="str">
        <x:f>IF(ISBLANK(INDEX('卡片数据'!S$7:S$406,$E$3*4+4)),"",INDEX('卡片数据'!S$7:S$406,$E$3*4+4))</x:f>
      </x:c>
      <x:c r="N29" s="66"/>
      <x:c r="O29" s="66" t="str">
        <x:f>IF(ISBLANK(INDEX('卡片数据'!T$7:T$406,$E$3*4+4)),"",INDEX('卡片数据'!T$7:T$406,$E$3*4+4))</x:f>
      </x:c>
      <x:c r="P29" s="66"/>
      <x:c r="Q29" s="66" t="str">
        <x:f>IF(ISBLANK(INDEX('卡片数据'!U$7:U$406,$E$3*4+4)),"",INDEX('卡片数据'!U$7:U$406,$E$3*4+4))</x:f>
      </x:c>
      <x:c r="R29" s="66"/>
      <x:c r="S29" s="2"/>
    </x:row>
    <x:row r="30" ht="30" customHeight="1">
      <x:c r="A30" s="2"/>
      <x:c r="B30" s="70" t="str">
        <x:f>IF(ISBLANK(INDEX('卡片数据'!V$7:V$406,$E$3*4+3)),"",INDEX('卡片数据'!V$7:V$406,$E$3*4+3))</x:f>
      </x:c>
      <x:c r="C30" s="70"/>
      <x:c r="D30" s="70"/>
      <x:c r="E30" s="70"/>
      <x:c r="F30" s="70"/>
      <x:c r="G30" s="70"/>
      <x:c r="H30" s="70"/>
      <x:c r="I30" s="70"/>
      <x:c r="J30" s="2"/>
      <x:c r="K30" s="70" t="str">
        <x:f>IF(ISBLANK(INDEX('卡片数据'!V$7:V$406,$E$3*4+4)),"",INDEX('卡片数据'!V$7:V$406,$E$3*4+4))</x:f>
      </x:c>
      <x:c r="L30" s="70"/>
      <x:c r="M30" s="70"/>
      <x:c r="N30" s="70"/>
      <x:c r="O30" s="70"/>
      <x:c r="P30" s="70"/>
      <x:c r="Q30" s="70"/>
      <x:c r="R30" s="70"/>
      <x:c r="S30" s="2"/>
    </x:row>
    <x:row r="31" ht="19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19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19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19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19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19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19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19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19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19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19" customHeight="1">
      <x:c r="A41" s="2"/>
      <x:c r="B41" s="71" t="str">
        <x:v>未连接 · 保存文件为快照</x:v>
      </x:c>
      <x:c r="C41" s="71" t="str">
        <x:v>未连接 · 保存文件为快照</x:v>
      </x:c>
      <x:c r="D41" s="71" t="str">
        <x:v>未连接 · 保存文件为快照</x:v>
      </x:c>
      <x:c r="E41" s="71" t="str">
        <x:v>未连接 · 保存文件为快照</x:v>
      </x:c>
      <x:c r="F41" s="71" t="str">
        <x:v>未连接 · 保存文件为快照</x:v>
      </x:c>
      <x:c r="G41" s="71" t="str">
        <x:v>未连接 · 保存文件为快照</x:v>
      </x:c>
      <x:c r="H41" s="71" t="str">
        <x:v>未连接 · 保存文件为快照</x:v>
      </x:c>
      <x:c r="I41" s="71" t="str">
        <x:v>未连接 · 保存文件为快照</x:v>
      </x:c>
      <x:c r="J41" s="71" t="str">
        <x:v>未连接 · 保存文件为快照</x:v>
      </x:c>
      <x:c r="K41" s="71" t="str">
        <x:v>未连接 · 保存文件为快照</x:v>
      </x:c>
      <x:c r="L41" s="71" t="str">
        <x:v>未连接 · 保存文件为快照</x:v>
      </x:c>
      <x:c r="M41" s="71" t="str">
        <x:v>未连接 · 保存文件为快照</x:v>
      </x:c>
      <x:c r="N41" s="71" t="str">
        <x:v>未连接 · 保存文件为快照</x:v>
      </x:c>
      <x:c r="O41" s="71" t="str">
        <x:v>未连接 · 保存文件为快照</x:v>
      </x:c>
      <x:c r="P41" s="71" t="str">
        <x:v>未连接 · 保存文件为快照</x:v>
      </x:c>
      <x:c r="Q41" s="71" t="str">
        <x:v>未连接 · 保存文件为快照</x:v>
      </x:c>
      <x:c r="R41" s="71" t="str">
        <x:v>未连接 · 保存文件为快照</x:v>
      </x:c>
      <x:c r="S41" s="2"/>
    </x:row>
    <x:row r="42" ht="19" customHeight="1">
      <x:c r="A42" s="2"/>
      <x:c r="B42" s="71" t="str">
        <x:v>计算 / 写入 / 保存：待完成</x:v>
      </x:c>
      <x:c r="C42" s="71" t="str">
        <x:v>计算 / 写入 / 保存：待完成</x:v>
      </x:c>
      <x:c r="D42" s="71" t="str">
        <x:v>计算 / 写入 / 保存：待完成</x:v>
      </x:c>
      <x:c r="E42" s="71" t="str">
        <x:v>计算 / 写入 / 保存：待完成</x:v>
      </x:c>
      <x:c r="F42" s="71" t="str">
        <x:v>计算 / 写入 / 保存：待完成</x:v>
      </x:c>
      <x:c r="G42" s="71" t="str">
        <x:v>计算 / 写入 / 保存：待完成</x:v>
      </x:c>
      <x:c r="H42" s="71" t="str">
        <x:v>计算 / 写入 / 保存：待完成</x:v>
      </x:c>
      <x:c r="I42" s="71" t="str">
        <x:v>计算 / 写入 / 保存：待完成</x:v>
      </x:c>
      <x:c r="J42" s="71" t="str">
        <x:v>计算 / 写入 / 保存：待完成</x:v>
      </x:c>
      <x:c r="K42" s="71" t="str">
        <x:v>计算 / 写入 / 保存：待完成</x:v>
      </x:c>
      <x:c r="L42" s="71" t="str">
        <x:v>计算 / 写入 / 保存：待完成</x:v>
      </x:c>
      <x:c r="M42" s="71" t="str">
        <x:v>计算 / 写入 / 保存：待完成</x:v>
      </x:c>
      <x:c r="N42" s="71" t="str">
        <x:v>计算 / 写入 / 保存：待完成</x:v>
      </x:c>
      <x:c r="O42" s="71" t="str">
        <x:v>计算 / 写入 / 保存：待完成</x:v>
      </x:c>
      <x:c r="P42" s="71" t="str">
        <x:v>计算 / 写入 / 保存：待完成</x:v>
      </x:c>
      <x:c r="Q42" s="71" t="str">
        <x:v>计算 / 写入 / 保存：待完成</x:v>
      </x:c>
      <x:c r="R42" s="71" t="str">
        <x:v>计算 / 写入 / 保存：待完成</x:v>
      </x:c>
      <x:c r="S42" s="2"/>
    </x:row>
    <x:row r="43" ht="19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19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</x:sheetData>
  <x:mergeCells>
    <x:mergeCell ref="B2:R2"/>
    <x:mergeCell ref="B3:D3"/>
    <x:mergeCell ref="G3:R3"/>
    <x:mergeCell ref="B4:R4"/>
    <x:mergeCell ref="B6:D6"/>
    <x:mergeCell ref="E6:I6"/>
    <x:mergeCell ref="B7:C7"/>
    <x:mergeCell ref="B8:C8"/>
    <x:mergeCell ref="D7:E7"/>
    <x:mergeCell ref="D8:E8"/>
    <x:mergeCell ref="F7:G7"/>
    <x:mergeCell ref="F8:G8"/>
    <x:mergeCell ref="H7:I7"/>
    <x:mergeCell ref="H8:I8"/>
    <x:mergeCell ref="B10:C10"/>
    <x:mergeCell ref="D10:E10"/>
    <x:mergeCell ref="F10:G10"/>
    <x:mergeCell ref="H10:I10"/>
    <x:mergeCell ref="B11:C11"/>
    <x:mergeCell ref="D11:E11"/>
    <x:mergeCell ref="F11:G11"/>
    <x:mergeCell ref="H11:I11"/>
    <x:mergeCell ref="B12:C12"/>
    <x:mergeCell ref="D12:E12"/>
    <x:mergeCell ref="F12:G12"/>
    <x:mergeCell ref="H12:I12"/>
    <x:mergeCell ref="B14:C14"/>
    <x:mergeCell ref="B15:C15"/>
    <x:mergeCell ref="B16:C16"/>
    <x:mergeCell ref="D14:E14"/>
    <x:mergeCell ref="D15:E15"/>
    <x:mergeCell ref="D16:E16"/>
    <x:mergeCell ref="F14:G14"/>
    <x:mergeCell ref="F15:G15"/>
    <x:mergeCell ref="F16:G16"/>
    <x:mergeCell ref="H14:I14"/>
    <x:mergeCell ref="H15:I15"/>
    <x:mergeCell ref="H16:I16"/>
    <x:mergeCell ref="B9:I9"/>
    <x:mergeCell ref="B17:I17"/>
    <x:mergeCell ref="K6:M6"/>
    <x:mergeCell ref="N6:R6"/>
    <x:mergeCell ref="K7:L7"/>
    <x:mergeCell ref="K8:L8"/>
    <x:mergeCell ref="M7:N7"/>
    <x:mergeCell ref="M8:N8"/>
    <x:mergeCell ref="O7:P7"/>
    <x:mergeCell ref="O8:P8"/>
    <x:mergeCell ref="Q7:R7"/>
    <x:mergeCell ref="Q8:R8"/>
    <x:mergeCell ref="K10:L10"/>
    <x:mergeCell ref="M10:N10"/>
    <x:mergeCell ref="O10:P10"/>
    <x:mergeCell ref="Q10:R10"/>
    <x:mergeCell ref="K11:L11"/>
    <x:mergeCell ref="M11:N11"/>
    <x:mergeCell ref="O11:P11"/>
    <x:mergeCell ref="Q11:R11"/>
    <x:mergeCell ref="K12:L12"/>
    <x:mergeCell ref="M12:N12"/>
    <x:mergeCell ref="O12:P12"/>
    <x:mergeCell ref="Q12:R12"/>
    <x:mergeCell ref="K14:L14"/>
    <x:mergeCell ref="K15:L15"/>
    <x:mergeCell ref="K16:L16"/>
    <x:mergeCell ref="M14:N14"/>
    <x:mergeCell ref="M15:N15"/>
    <x:mergeCell ref="M16:N16"/>
    <x:mergeCell ref="O14:P14"/>
    <x:mergeCell ref="O15:P15"/>
    <x:mergeCell ref="O16:P16"/>
    <x:mergeCell ref="Q14:R14"/>
    <x:mergeCell ref="Q15:R15"/>
    <x:mergeCell ref="Q16:R16"/>
    <x:mergeCell ref="K9:R9"/>
    <x:mergeCell ref="K17:R17"/>
    <x:mergeCell ref="B19:D19"/>
    <x:mergeCell ref="E19:I19"/>
    <x:mergeCell ref="B20:C20"/>
    <x:mergeCell ref="B21:C21"/>
    <x:mergeCell ref="D20:E20"/>
    <x:mergeCell ref="D21:E21"/>
    <x:mergeCell ref="F20:G20"/>
    <x:mergeCell ref="F21:G21"/>
    <x:mergeCell ref="H20:I20"/>
    <x:mergeCell ref="H21:I21"/>
    <x:mergeCell ref="B23:C23"/>
    <x:mergeCell ref="D23:E23"/>
    <x:mergeCell ref="F23:G23"/>
    <x:mergeCell ref="H23:I23"/>
    <x:mergeCell ref="B24:C24"/>
    <x:mergeCell ref="D24:E24"/>
    <x:mergeCell ref="F24:G24"/>
    <x:mergeCell ref="H24:I24"/>
    <x:mergeCell ref="B25:C25"/>
    <x:mergeCell ref="D25:E25"/>
    <x:mergeCell ref="F25:G25"/>
    <x:mergeCell ref="H25:I25"/>
    <x:mergeCell ref="B27:C27"/>
    <x:mergeCell ref="B28:C28"/>
    <x:mergeCell ref="B29:C29"/>
    <x:mergeCell ref="D27:E27"/>
    <x:mergeCell ref="D28:E28"/>
    <x:mergeCell ref="D29:E29"/>
    <x:mergeCell ref="F27:G27"/>
    <x:mergeCell ref="F28:G28"/>
    <x:mergeCell ref="F29:G29"/>
    <x:mergeCell ref="H27:I27"/>
    <x:mergeCell ref="H28:I28"/>
    <x:mergeCell ref="H29:I29"/>
    <x:mergeCell ref="B22:I22"/>
    <x:mergeCell ref="B30:I30"/>
    <x:mergeCell ref="K19:M19"/>
    <x:mergeCell ref="N19:R19"/>
    <x:mergeCell ref="K20:L20"/>
    <x:mergeCell ref="K21:L21"/>
    <x:mergeCell ref="M20:N20"/>
    <x:mergeCell ref="M21:N21"/>
    <x:mergeCell ref="O20:P20"/>
    <x:mergeCell ref="O21:P21"/>
    <x:mergeCell ref="Q20:R20"/>
    <x:mergeCell ref="Q21:R21"/>
    <x:mergeCell ref="K23:L23"/>
    <x:mergeCell ref="M23:N23"/>
    <x:mergeCell ref="O23:P23"/>
    <x:mergeCell ref="Q23:R23"/>
    <x:mergeCell ref="K24:L24"/>
    <x:mergeCell ref="M24:N24"/>
    <x:mergeCell ref="O24:P24"/>
    <x:mergeCell ref="Q24:R24"/>
    <x:mergeCell ref="K25:L25"/>
    <x:mergeCell ref="M25:N25"/>
    <x:mergeCell ref="O25:P25"/>
    <x:mergeCell ref="Q25:R25"/>
    <x:mergeCell ref="K27:L27"/>
    <x:mergeCell ref="K28:L28"/>
    <x:mergeCell ref="K29:L29"/>
    <x:mergeCell ref="M27:N27"/>
    <x:mergeCell ref="M28:N28"/>
    <x:mergeCell ref="M29:N29"/>
    <x:mergeCell ref="O27:P27"/>
    <x:mergeCell ref="O28:P28"/>
    <x:mergeCell ref="O29:P29"/>
    <x:mergeCell ref="Q27:R27"/>
    <x:mergeCell ref="Q28:R28"/>
    <x:mergeCell ref="Q29:R29"/>
    <x:mergeCell ref="K22:R22"/>
    <x:mergeCell ref="K30:R30"/>
    <x:mergeCell ref="B41:R41"/>
    <x:mergeCell ref="B42:R42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  <x:drawing xmlns:r="http://schemas.openxmlformats.org/officeDocument/2006/relationships" r:id="Rbf4c0765b7ef4996"/>
</x:worksheet>
</file>

<file path=xl/worksheets/sheet16.xml><?xml version="1.0" encoding="utf-8"?>
<x:worksheet xmlns:x="http://schemas.openxmlformats.org/spreadsheetml/2006/main">
  <x:sheetPr>
    <x:tabColor rgb="FF087E8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18" hidden="0" customWidth="1"/>
    <x:col min="3" max="3" width="10" hidden="0" customWidth="1"/>
    <x:col min="4" max="4" width="9" hidden="0" customWidth="1"/>
    <x:col min="5" max="5" width="17" hidden="0" customWidth="1"/>
    <x:col min="6" max="6" width="15" hidden="0" customWidth="1"/>
    <x:col min="7" max="7" width="9" hidden="0" customWidth="1"/>
    <x:col min="8" max="8" width="17" hidden="0" customWidth="1"/>
    <x:col min="9" max="9" width="15" hidden="0" customWidth="1"/>
    <x:col min="10" max="10" width="9" hidden="0" customWidth="1"/>
    <x:col min="11" max="11" width="17" hidden="0" customWidth="1"/>
    <x:col min="12" max="12" width="15" hidden="0" customWidth="1"/>
    <x:col min="13" max="13" width="9" hidden="0" customWidth="1"/>
    <x:col min="14" max="14" width="17" hidden="0" customWidth="1"/>
    <x:col min="15" max="15" width="15" hidden="0" customWidth="1"/>
    <x:col min="16" max="16" width="9" hidden="0" customWidth="1"/>
  </x:cols>
  <x:sheetData>
    <x:row r="1" ht="1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8" customHeight="1">
      <x:c r="A2" s="2"/>
      <x:c r="B2" s="45" t="str">
        <x:v>DELTA1  指标</x:v>
      </x:c>
      <x:c r="C2" s="45" t="str">
        <x:v>DELTA1  指标</x:v>
      </x:c>
      <x:c r="D2" s="45" t="str">
        <x:v>DELTA1  指标</x:v>
      </x:c>
      <x:c r="E2" s="45" t="str">
        <x:v>DELTA1  指标</x:v>
      </x:c>
      <x:c r="F2" s="45" t="str">
        <x:v>DELTA1  指标</x:v>
      </x:c>
      <x:c r="G2" s="45" t="str">
        <x:v>DELTA1  指标</x:v>
      </x:c>
      <x:c r="H2" s="45" t="str">
        <x:v>DELTA1  指标</x:v>
      </x:c>
      <x:c r="I2" s="45" t="str">
        <x:v>DELTA1  指标</x:v>
      </x:c>
      <x:c r="J2" s="45" t="str">
        <x:v>DELTA1  指标</x:v>
      </x:c>
      <x:c r="K2" s="45" t="str">
        <x:v>DELTA1  指标</x:v>
      </x:c>
      <x:c r="L2" s="45" t="str">
        <x:v>DELTA1  指标</x:v>
      </x:c>
      <x:c r="M2" s="45" t="str">
        <x:v>DELTA1  指标</x:v>
      </x:c>
      <x:c r="N2" s="45" t="str">
        <x:v>DELTA1  指标</x:v>
      </x:c>
      <x:c r="O2" s="45" t="str">
        <x:v>DELTA1  指标</x:v>
      </x:c>
      <x:c r="P2" s="2"/>
    </x:row>
    <x:row r="3" ht="19" customHeight="1">
      <x:c r="A3" s="2"/>
      <x:c r="B3" s="46" t="str">
        <x:v>档位</x:v>
      </x:c>
      <x:c r="C3" s="46" t="str">
        <x:v>档位</x:v>
      </x:c>
      <x:c r="D3" s="46" t="str">
        <x:v>档位</x:v>
      </x:c>
      <x:c r="E3" s="48" t="n">
        <x:v>0</x:v>
      </x:c>
      <x:c r="F3" s="2"/>
      <x:c r="G3" s="49" t="str">
        <x:v>年化输入 · %列按百分点显示</x:v>
      </x:c>
      <x:c r="H3" s="49" t="str">
        <x:v>年化输入 · %列按百分点显示</x:v>
      </x:c>
      <x:c r="I3" s="49" t="str">
        <x:v>年化输入 · %列按百分点显示</x:v>
      </x:c>
      <x:c r="J3" s="49" t="str">
        <x:v>年化输入 · %列按百分点显示</x:v>
      </x:c>
      <x:c r="K3" s="49" t="str">
        <x:v>年化输入 · %列按百分点显示</x:v>
      </x:c>
      <x:c r="L3" s="49" t="str">
        <x:v>年化输入 · %列按百分点显示</x:v>
      </x:c>
      <x:c r="M3" s="49" t="str">
        <x:v>年化输入 · %列按百分点显示</x:v>
      </x:c>
      <x:c r="N3" s="49" t="str">
        <x:v>年化输入 · %列按百分点显示</x:v>
      </x:c>
      <x:c r="O3" s="49" t="str">
        <x:v>年化输入 · %列按百分点显示</x:v>
      </x:c>
      <x:c r="P3" s="2"/>
    </x:row>
    <x:row r="4" ht="19" customHeight="1">
      <x:c r="A4" s="2"/>
      <x:c r="B4" s="49" t="str">
        <x:v>加载中</x:v>
      </x:c>
      <x:c r="C4" s="49" t="str">
        <x:v>加载中</x:v>
      </x:c>
      <x:c r="D4" s="49" t="str">
        <x:v>加载中</x:v>
      </x:c>
      <x:c r="E4" s="49" t="str">
        <x:v>加载中</x:v>
      </x:c>
      <x:c r="F4" s="49" t="str">
        <x:v>加载中</x:v>
      </x:c>
      <x:c r="G4" s="49" t="str">
        <x:v>加载中</x:v>
      </x:c>
      <x:c r="H4" s="49" t="str">
        <x:v>加载中</x:v>
      </x:c>
      <x:c r="I4" s="49" t="str">
        <x:v>加载中</x:v>
      </x:c>
      <x:c r="J4" s="49" t="str">
        <x:v>加载中</x:v>
      </x:c>
      <x:c r="K4" s="49" t="str">
        <x:v>加载中</x:v>
      </x:c>
      <x:c r="L4" s="49" t="str">
        <x:v>加载中</x:v>
      </x:c>
      <x:c r="M4" s="49" t="str">
        <x:v>加载中</x:v>
      </x:c>
      <x:c r="N4" s="49" t="str">
        <x:v>加载中</x:v>
      </x:c>
      <x:c r="O4" s="49" t="str">
        <x:v>加载中</x:v>
      </x:c>
      <x:c r="P4" s="2"/>
    </x:row>
    <x:row r="5" ht="19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27" customHeight="1">
      <x:c r="A6" s="2"/>
      <x:c r="B6" s="72" t="str">
        <x:v>指标</x:v>
      </x:c>
      <x:c r="C6" s="72" t="str">
        <x:v>单位</x:v>
      </x:c>
      <x:c r="D6" s="72" t="str">
        <x:v>IF</x:v>
      </x:c>
      <x:c r="E6" s="72" t="str">
        <x:v>数据时间</x:v>
      </x:c>
      <x:c r="F6" s="72" t="str">
        <x:v>状态</x:v>
      </x:c>
      <x:c r="G6" s="72" t="str">
        <x:v>IH</x:v>
      </x:c>
      <x:c r="H6" s="72" t="str">
        <x:v>数据时间</x:v>
      </x:c>
      <x:c r="I6" s="72" t="str">
        <x:v>状态</x:v>
      </x:c>
      <x:c r="J6" s="72" t="str">
        <x:v>IC</x:v>
      </x:c>
      <x:c r="K6" s="72" t="str">
        <x:v>数据时间</x:v>
      </x:c>
      <x:c r="L6" s="72" t="str">
        <x:v>状态</x:v>
      </x:c>
      <x:c r="M6" s="72" t="str">
        <x:v>IM</x:v>
      </x:c>
      <x:c r="N6" s="72" t="str">
        <x:v>数据时间</x:v>
      </x:c>
      <x:c r="O6" s="72" t="str">
        <x:v>状态</x:v>
      </x:c>
      <x:c r="P6" s="2"/>
    </x:row>
    <x:row r="7" ht="25" customHeight="1">
      <x:c r="A7" s="2"/>
      <x:c r="B7" s="11" t="str">
        <x:v>调整基差</x:v>
      </x:c>
      <x:c r="C7" s="52" t="str">
        <x:f>IF(ISBLANK(INDEX('指标数据'!D$7:D$406,$E$3*25+1)),"",INDEX('指标数据'!D$7:D$406,$E$3*25+1))</x:f>
      </x:c>
      <x:c r="D7" s="62" t="str">
        <x:f>IF(ISBLANK(INDEX('指标数据'!E$7:E$406,$E$3*25+1)),"",INDEX('指标数据'!E$7:E$406,$E$3*25+1))</x:f>
      </x:c>
      <x:c r="E7" s="79" t="str">
        <x:f>IF(ISBLANK(INDEX('指标数据'!F$7:F$406,$E$3*25+1)),"",INDEX('指标数据'!F$7:F$406,$E$3*25+1))</x:f>
      </x:c>
      <x:c r="F7" s="52" t="str">
        <x:f>IF(ISBLANK(INDEX('指标数据'!G$7:G$406,$E$3*25+1)),"",INDEX('指标数据'!G$7:G$406,$E$3*25+1))</x:f>
      </x:c>
      <x:c r="G7" s="62" t="str">
        <x:f>IF(ISBLANK(INDEX('指标数据'!H$7:H$406,$E$3*25+1)),"",INDEX('指标数据'!H$7:H$406,$E$3*25+1))</x:f>
      </x:c>
      <x:c r="H7" s="79" t="str">
        <x:f>IF(ISBLANK(INDEX('指标数据'!I$7:I$406,$E$3*25+1)),"",INDEX('指标数据'!I$7:I$406,$E$3*25+1))</x:f>
      </x:c>
      <x:c r="I7" s="52" t="str">
        <x:f>IF(ISBLANK(INDEX('指标数据'!J$7:J$406,$E$3*25+1)),"",INDEX('指标数据'!J$7:J$406,$E$3*25+1))</x:f>
      </x:c>
      <x:c r="J7" s="62" t="str">
        <x:f>IF(ISBLANK(INDEX('指标数据'!K$7:K$406,$E$3*25+1)),"",INDEX('指标数据'!K$7:K$406,$E$3*25+1))</x:f>
      </x:c>
      <x:c r="K7" s="79" t="str">
        <x:f>IF(ISBLANK(INDEX('指标数据'!L$7:L$406,$E$3*25+1)),"",INDEX('指标数据'!L$7:L$406,$E$3*25+1))</x:f>
      </x:c>
      <x:c r="L7" s="52" t="str">
        <x:f>IF(ISBLANK(INDEX('指标数据'!M$7:M$406,$E$3*25+1)),"",INDEX('指标数据'!M$7:M$406,$E$3*25+1))</x:f>
      </x:c>
      <x:c r="M7" s="62" t="str">
        <x:f>IF(ISBLANK(INDEX('指标数据'!N$7:N$406,$E$3*25+1)),"",INDEX('指标数据'!N$7:N$406,$E$3*25+1))</x:f>
      </x:c>
      <x:c r="N7" s="79" t="str">
        <x:f>IF(ISBLANK(INDEX('指标数据'!O$7:O$406,$E$3*25+1)),"",INDEX('指标数据'!O$7:O$406,$E$3*25+1))</x:f>
      </x:c>
      <x:c r="O7" s="52" t="str">
        <x:f>IF(ISBLANK(INDEX('指标数据'!P$7:P$406,$E$3*25+1)),"",INDEX('指标数据'!P$7:P$406,$E$3*25+1))</x:f>
      </x:c>
      <x:c r="P7" s="2"/>
    </x:row>
    <x:row r="8" ht="25" customHeight="1">
      <x:c r="A8" s="2"/>
      <x:c r="B8" s="2" t="str">
        <x:v>调整基差</x:v>
      </x:c>
      <x:c r="C8" s="74" t="str">
        <x:f>IF(ISBLANK(INDEX('指标数据'!D$7:D$406,$E$3*25+2)),"",INDEX('指标数据'!D$7:D$406,$E$3*25+2))</x:f>
      </x:c>
      <x:c r="D8" s="76" t="str">
        <x:f>IF(ISBLANK(INDEX('指标数据'!E$7:E$406,$E$3*25+2)),"",INDEX('指标数据'!E$7:E$406,$E$3*25+2))</x:f>
      </x:c>
      <x:c r="E8" s="78" t="str">
        <x:f>IF(ISBLANK(INDEX('指标数据'!F$7:F$406,$E$3*25+2)),"",INDEX('指标数据'!F$7:F$406,$E$3*25+2))</x:f>
      </x:c>
      <x:c r="F8" s="74" t="str">
        <x:f>IF(ISBLANK(INDEX('指标数据'!G$7:G$406,$E$3*25+2)),"",INDEX('指标数据'!G$7:G$406,$E$3*25+2))</x:f>
      </x:c>
      <x:c r="G8" s="76" t="str">
        <x:f>IF(ISBLANK(INDEX('指标数据'!H$7:H$406,$E$3*25+2)),"",INDEX('指标数据'!H$7:H$406,$E$3*25+2))</x:f>
      </x:c>
      <x:c r="H8" s="78" t="str">
        <x:f>IF(ISBLANK(INDEX('指标数据'!I$7:I$406,$E$3*25+2)),"",INDEX('指标数据'!I$7:I$406,$E$3*25+2))</x:f>
      </x:c>
      <x:c r="I8" s="74" t="str">
        <x:f>IF(ISBLANK(INDEX('指标数据'!J$7:J$406,$E$3*25+2)),"",INDEX('指标数据'!J$7:J$406,$E$3*25+2))</x:f>
      </x:c>
      <x:c r="J8" s="76" t="str">
        <x:f>IF(ISBLANK(INDEX('指标数据'!K$7:K$406,$E$3*25+2)),"",INDEX('指标数据'!K$7:K$406,$E$3*25+2))</x:f>
      </x:c>
      <x:c r="K8" s="78" t="str">
        <x:f>IF(ISBLANK(INDEX('指标数据'!L$7:L$406,$E$3*25+2)),"",INDEX('指标数据'!L$7:L$406,$E$3*25+2))</x:f>
      </x:c>
      <x:c r="L8" s="74" t="str">
        <x:f>IF(ISBLANK(INDEX('指标数据'!M$7:M$406,$E$3*25+2)),"",INDEX('指标数据'!M$7:M$406,$E$3*25+2))</x:f>
      </x:c>
      <x:c r="M8" s="76" t="str">
        <x:f>IF(ISBLANK(INDEX('指标数据'!N$7:N$406,$E$3*25+2)),"",INDEX('指标数据'!N$7:N$406,$E$3*25+2))</x:f>
      </x:c>
      <x:c r="N8" s="78" t="str">
        <x:f>IF(ISBLANK(INDEX('指标数据'!O$7:O$406,$E$3*25+2)),"",INDEX('指标数据'!O$7:O$406,$E$3*25+2))</x:f>
      </x:c>
      <x:c r="O8" s="74" t="str">
        <x:f>IF(ISBLANK(INDEX('指标数据'!P$7:P$406,$E$3*25+2)),"",INDEX('指标数据'!P$7:P$406,$E$3*25+2))</x:f>
      </x:c>
      <x:c r="P8" s="2"/>
    </x:row>
    <x:row r="9" ht="25" customHeight="1">
      <x:c r="A9" s="2"/>
      <x:c r="B9" s="11" t="str">
        <x:v>年化</x:v>
      </x:c>
      <x:c r="C9" s="52" t="str">
        <x:f>IF(ISBLANK(INDEX('指标数据'!D$7:D$406,$E$3*25+3)),"",INDEX('指标数据'!D$7:D$406,$E$3*25+3))</x:f>
      </x:c>
      <x:c r="D9" s="62" t="str">
        <x:f>IF(ISBLANK(INDEX('指标数据'!E$7:E$406,$E$3*25+3)),"",INDEX('指标数据'!E$7:E$406,$E$3*25+3))</x:f>
      </x:c>
      <x:c r="E9" s="79" t="str">
        <x:f>IF(ISBLANK(INDEX('指标数据'!F$7:F$406,$E$3*25+3)),"",INDEX('指标数据'!F$7:F$406,$E$3*25+3))</x:f>
      </x:c>
      <x:c r="F9" s="52" t="str">
        <x:f>IF(ISBLANK(INDEX('指标数据'!G$7:G$406,$E$3*25+3)),"",INDEX('指标数据'!G$7:G$406,$E$3*25+3))</x:f>
      </x:c>
      <x:c r="G9" s="62" t="str">
        <x:f>IF(ISBLANK(INDEX('指标数据'!H$7:H$406,$E$3*25+3)),"",INDEX('指标数据'!H$7:H$406,$E$3*25+3))</x:f>
      </x:c>
      <x:c r="H9" s="79" t="str">
        <x:f>IF(ISBLANK(INDEX('指标数据'!I$7:I$406,$E$3*25+3)),"",INDEX('指标数据'!I$7:I$406,$E$3*25+3))</x:f>
      </x:c>
      <x:c r="I9" s="52" t="str">
        <x:f>IF(ISBLANK(INDEX('指标数据'!J$7:J$406,$E$3*25+3)),"",INDEX('指标数据'!J$7:J$406,$E$3*25+3))</x:f>
      </x:c>
      <x:c r="J9" s="62" t="str">
        <x:f>IF(ISBLANK(INDEX('指标数据'!K$7:K$406,$E$3*25+3)),"",INDEX('指标数据'!K$7:K$406,$E$3*25+3))</x:f>
      </x:c>
      <x:c r="K9" s="79" t="str">
        <x:f>IF(ISBLANK(INDEX('指标数据'!L$7:L$406,$E$3*25+3)),"",INDEX('指标数据'!L$7:L$406,$E$3*25+3))</x:f>
      </x:c>
      <x:c r="L9" s="52" t="str">
        <x:f>IF(ISBLANK(INDEX('指标数据'!M$7:M$406,$E$3*25+3)),"",INDEX('指标数据'!M$7:M$406,$E$3*25+3))</x:f>
      </x:c>
      <x:c r="M9" s="62" t="str">
        <x:f>IF(ISBLANK(INDEX('指标数据'!N$7:N$406,$E$3*25+3)),"",INDEX('指标数据'!N$7:N$406,$E$3*25+3))</x:f>
      </x:c>
      <x:c r="N9" s="79" t="str">
        <x:f>IF(ISBLANK(INDEX('指标数据'!O$7:O$406,$E$3*25+3)),"",INDEX('指标数据'!O$7:O$406,$E$3*25+3))</x:f>
      </x:c>
      <x:c r="O9" s="52" t="str">
        <x:f>IF(ISBLANK(INDEX('指标数据'!P$7:P$406,$E$3*25+3)),"",INDEX('指标数据'!P$7:P$406,$E$3*25+3))</x:f>
      </x:c>
      <x:c r="P9" s="2"/>
    </x:row>
    <x:row r="10" ht="25" customHeight="1">
      <x:c r="A10" s="2"/>
      <x:c r="B10" s="2" t="str">
        <x:v>每日收敛</x:v>
      </x:c>
      <x:c r="C10" s="74" t="str">
        <x:f>IF(ISBLANK(INDEX('指标数据'!D$7:D$406,$E$3*25+4)),"",INDEX('指标数据'!D$7:D$406,$E$3*25+4))</x:f>
      </x:c>
      <x:c r="D10" s="76" t="str">
        <x:f>IF(ISBLANK(INDEX('指标数据'!E$7:E$406,$E$3*25+4)),"",INDEX('指标数据'!E$7:E$406,$E$3*25+4))</x:f>
      </x:c>
      <x:c r="E10" s="78" t="str">
        <x:f>IF(ISBLANK(INDEX('指标数据'!F$7:F$406,$E$3*25+4)),"",INDEX('指标数据'!F$7:F$406,$E$3*25+4))</x:f>
      </x:c>
      <x:c r="F10" s="74" t="str">
        <x:f>IF(ISBLANK(INDEX('指标数据'!G$7:G$406,$E$3*25+4)),"",INDEX('指标数据'!G$7:G$406,$E$3*25+4))</x:f>
      </x:c>
      <x:c r="G10" s="76" t="str">
        <x:f>IF(ISBLANK(INDEX('指标数据'!H$7:H$406,$E$3*25+4)),"",INDEX('指标数据'!H$7:H$406,$E$3*25+4))</x:f>
      </x:c>
      <x:c r="H10" s="78" t="str">
        <x:f>IF(ISBLANK(INDEX('指标数据'!I$7:I$406,$E$3*25+4)),"",INDEX('指标数据'!I$7:I$406,$E$3*25+4))</x:f>
      </x:c>
      <x:c r="I10" s="74" t="str">
        <x:f>IF(ISBLANK(INDEX('指标数据'!J$7:J$406,$E$3*25+4)),"",INDEX('指标数据'!J$7:J$406,$E$3*25+4))</x:f>
      </x:c>
      <x:c r="J10" s="76" t="str">
        <x:f>IF(ISBLANK(INDEX('指标数据'!K$7:K$406,$E$3*25+4)),"",INDEX('指标数据'!K$7:K$406,$E$3*25+4))</x:f>
      </x:c>
      <x:c r="K10" s="78" t="str">
        <x:f>IF(ISBLANK(INDEX('指标数据'!L$7:L$406,$E$3*25+4)),"",INDEX('指标数据'!L$7:L$406,$E$3*25+4))</x:f>
      </x:c>
      <x:c r="L10" s="74" t="str">
        <x:f>IF(ISBLANK(INDEX('指标数据'!M$7:M$406,$E$3*25+4)),"",INDEX('指标数据'!M$7:M$406,$E$3*25+4))</x:f>
      </x:c>
      <x:c r="M10" s="76" t="str">
        <x:f>IF(ISBLANK(INDEX('指标数据'!N$7:N$406,$E$3*25+4)),"",INDEX('指标数据'!N$7:N$406,$E$3*25+4))</x:f>
      </x:c>
      <x:c r="N10" s="78" t="str">
        <x:f>IF(ISBLANK(INDEX('指标数据'!O$7:O$406,$E$3*25+4)),"",INDEX('指标数据'!O$7:O$406,$E$3*25+4))</x:f>
      </x:c>
      <x:c r="O10" s="74" t="str">
        <x:f>IF(ISBLANK(INDEX('指标数据'!P$7:P$406,$E$3*25+4)),"",INDEX('指标数据'!P$7:P$406,$E$3*25+4))</x:f>
      </x:c>
      <x:c r="P10" s="2"/>
    </x:row>
    <x:row r="11" ht="25" customHeight="1">
      <x:c r="A11" s="2"/>
      <x:c r="B11" s="11" t="str">
        <x:v>历史Z</x:v>
      </x:c>
      <x:c r="C11" s="52" t="str">
        <x:f>IF(ISBLANK(INDEX('指标数据'!D$7:D$406,$E$3*25+5)),"",INDEX('指标数据'!D$7:D$406,$E$3*25+5))</x:f>
      </x:c>
      <x:c r="D11" s="62" t="str">
        <x:f>IF(ISBLANK(INDEX('指标数据'!E$7:E$406,$E$3*25+5)),"",INDEX('指标数据'!E$7:E$406,$E$3*25+5))</x:f>
      </x:c>
      <x:c r="E11" s="79" t="str">
        <x:f>IF(ISBLANK(INDEX('指标数据'!F$7:F$406,$E$3*25+5)),"",INDEX('指标数据'!F$7:F$406,$E$3*25+5))</x:f>
      </x:c>
      <x:c r="F11" s="52" t="str">
        <x:f>IF(ISBLANK(INDEX('指标数据'!G$7:G$406,$E$3*25+5)),"",INDEX('指标数据'!G$7:G$406,$E$3*25+5))</x:f>
      </x:c>
      <x:c r="G11" s="62" t="str">
        <x:f>IF(ISBLANK(INDEX('指标数据'!H$7:H$406,$E$3*25+5)),"",INDEX('指标数据'!H$7:H$406,$E$3*25+5))</x:f>
      </x:c>
      <x:c r="H11" s="79" t="str">
        <x:f>IF(ISBLANK(INDEX('指标数据'!I$7:I$406,$E$3*25+5)),"",INDEX('指标数据'!I$7:I$406,$E$3*25+5))</x:f>
      </x:c>
      <x:c r="I11" s="52" t="str">
        <x:f>IF(ISBLANK(INDEX('指标数据'!J$7:J$406,$E$3*25+5)),"",INDEX('指标数据'!J$7:J$406,$E$3*25+5))</x:f>
      </x:c>
      <x:c r="J11" s="62" t="str">
        <x:f>IF(ISBLANK(INDEX('指标数据'!K$7:K$406,$E$3*25+5)),"",INDEX('指标数据'!K$7:K$406,$E$3*25+5))</x:f>
      </x:c>
      <x:c r="K11" s="79" t="str">
        <x:f>IF(ISBLANK(INDEX('指标数据'!L$7:L$406,$E$3*25+5)),"",INDEX('指标数据'!L$7:L$406,$E$3*25+5))</x:f>
      </x:c>
      <x:c r="L11" s="52" t="str">
        <x:f>IF(ISBLANK(INDEX('指标数据'!M$7:M$406,$E$3*25+5)),"",INDEX('指标数据'!M$7:M$406,$E$3*25+5))</x:f>
      </x:c>
      <x:c r="M11" s="62" t="str">
        <x:f>IF(ISBLANK(INDEX('指标数据'!N$7:N$406,$E$3*25+5)),"",INDEX('指标数据'!N$7:N$406,$E$3*25+5))</x:f>
      </x:c>
      <x:c r="N11" s="79" t="str">
        <x:f>IF(ISBLANK(INDEX('指标数据'!O$7:O$406,$E$3*25+5)),"",INDEX('指标数据'!O$7:O$406,$E$3*25+5))</x:f>
      </x:c>
      <x:c r="O11" s="52" t="str">
        <x:f>IF(ISBLANK(INDEX('指标数据'!P$7:P$406,$E$3*25+5)),"",INDEX('指标数据'!P$7:P$406,$E$3*25+5))</x:f>
      </x:c>
      <x:c r="P11" s="2"/>
    </x:row>
    <x:row r="12" ht="25" customHeight="1">
      <x:c r="A12" s="2"/>
      <x:c r="B12" s="2" t="str">
        <x:v>历史分位</x:v>
      </x:c>
      <x:c r="C12" s="74" t="str">
        <x:f>IF(ISBLANK(INDEX('指标数据'!D$7:D$406,$E$3*25+6)),"",INDEX('指标数据'!D$7:D$406,$E$3*25+6))</x:f>
      </x:c>
      <x:c r="D12" s="76" t="str">
        <x:f>IF(ISBLANK(INDEX('指标数据'!E$7:E$406,$E$3*25+6)),"",INDEX('指标数据'!E$7:E$406,$E$3*25+6))</x:f>
      </x:c>
      <x:c r="E12" s="78" t="str">
        <x:f>IF(ISBLANK(INDEX('指标数据'!F$7:F$406,$E$3*25+6)),"",INDEX('指标数据'!F$7:F$406,$E$3*25+6))</x:f>
      </x:c>
      <x:c r="F12" s="74" t="str">
        <x:f>IF(ISBLANK(INDEX('指标数据'!G$7:G$406,$E$3*25+6)),"",INDEX('指标数据'!G$7:G$406,$E$3*25+6))</x:f>
      </x:c>
      <x:c r="G12" s="76" t="str">
        <x:f>IF(ISBLANK(INDEX('指标数据'!H$7:H$406,$E$3*25+6)),"",INDEX('指标数据'!H$7:H$406,$E$3*25+6))</x:f>
      </x:c>
      <x:c r="H12" s="78" t="str">
        <x:f>IF(ISBLANK(INDEX('指标数据'!I$7:I$406,$E$3*25+6)),"",INDEX('指标数据'!I$7:I$406,$E$3*25+6))</x:f>
      </x:c>
      <x:c r="I12" s="74" t="str">
        <x:f>IF(ISBLANK(INDEX('指标数据'!J$7:J$406,$E$3*25+6)),"",INDEX('指标数据'!J$7:J$406,$E$3*25+6))</x:f>
      </x:c>
      <x:c r="J12" s="76" t="str">
        <x:f>IF(ISBLANK(INDEX('指标数据'!K$7:K$406,$E$3*25+6)),"",INDEX('指标数据'!K$7:K$406,$E$3*25+6))</x:f>
      </x:c>
      <x:c r="K12" s="78" t="str">
        <x:f>IF(ISBLANK(INDEX('指标数据'!L$7:L$406,$E$3*25+6)),"",INDEX('指标数据'!L$7:L$406,$E$3*25+6))</x:f>
      </x:c>
      <x:c r="L12" s="74" t="str">
        <x:f>IF(ISBLANK(INDEX('指标数据'!M$7:M$406,$E$3*25+6)),"",INDEX('指标数据'!M$7:M$406,$E$3*25+6))</x:f>
      </x:c>
      <x:c r="M12" s="76" t="str">
        <x:f>IF(ISBLANK(INDEX('指标数据'!N$7:N$406,$E$3*25+6)),"",INDEX('指标数据'!N$7:N$406,$E$3*25+6))</x:f>
      </x:c>
      <x:c r="N12" s="78" t="str">
        <x:f>IF(ISBLANK(INDEX('指标数据'!O$7:O$406,$E$3*25+6)),"",INDEX('指标数据'!O$7:O$406,$E$3*25+6))</x:f>
      </x:c>
      <x:c r="O12" s="74" t="str">
        <x:f>IF(ISBLANK(INDEX('指标数据'!P$7:P$406,$E$3*25+6)),"",INDEX('指标数据'!P$7:P$406,$E$3*25+6))</x:f>
      </x:c>
      <x:c r="P12" s="2"/>
    </x:row>
    <x:row r="13" ht="25" customHeight="1">
      <x:c r="A13" s="2"/>
      <x:c r="B13" s="11" t="str">
        <x:v>五期变化</x:v>
      </x:c>
      <x:c r="C13" s="52" t="str">
        <x:f>IF(ISBLANK(INDEX('指标数据'!D$7:D$406,$E$3*25+7)),"",INDEX('指标数据'!D$7:D$406,$E$3*25+7))</x:f>
      </x:c>
      <x:c r="D13" s="62" t="str">
        <x:f>IF(ISBLANK(INDEX('指标数据'!E$7:E$406,$E$3*25+7)),"",INDEX('指标数据'!E$7:E$406,$E$3*25+7))</x:f>
      </x:c>
      <x:c r="E13" s="79" t="str">
        <x:f>IF(ISBLANK(INDEX('指标数据'!F$7:F$406,$E$3*25+7)),"",INDEX('指标数据'!F$7:F$406,$E$3*25+7))</x:f>
      </x:c>
      <x:c r="F13" s="52" t="str">
        <x:f>IF(ISBLANK(INDEX('指标数据'!G$7:G$406,$E$3*25+7)),"",INDEX('指标数据'!G$7:G$406,$E$3*25+7))</x:f>
      </x:c>
      <x:c r="G13" s="62" t="str">
        <x:f>IF(ISBLANK(INDEX('指标数据'!H$7:H$406,$E$3*25+7)),"",INDEX('指标数据'!H$7:H$406,$E$3*25+7))</x:f>
      </x:c>
      <x:c r="H13" s="79" t="str">
        <x:f>IF(ISBLANK(INDEX('指标数据'!I$7:I$406,$E$3*25+7)),"",INDEX('指标数据'!I$7:I$406,$E$3*25+7))</x:f>
      </x:c>
      <x:c r="I13" s="52" t="str">
        <x:f>IF(ISBLANK(INDEX('指标数据'!J$7:J$406,$E$3*25+7)),"",INDEX('指标数据'!J$7:J$406,$E$3*25+7))</x:f>
      </x:c>
      <x:c r="J13" s="62" t="str">
        <x:f>IF(ISBLANK(INDEX('指标数据'!K$7:K$406,$E$3*25+7)),"",INDEX('指标数据'!K$7:K$406,$E$3*25+7))</x:f>
      </x:c>
      <x:c r="K13" s="79" t="str">
        <x:f>IF(ISBLANK(INDEX('指标数据'!L$7:L$406,$E$3*25+7)),"",INDEX('指标数据'!L$7:L$406,$E$3*25+7))</x:f>
      </x:c>
      <x:c r="L13" s="52" t="str">
        <x:f>IF(ISBLANK(INDEX('指标数据'!M$7:M$406,$E$3*25+7)),"",INDEX('指标数据'!M$7:M$406,$E$3*25+7))</x:f>
      </x:c>
      <x:c r="M13" s="62" t="str">
        <x:f>IF(ISBLANK(INDEX('指标数据'!N$7:N$406,$E$3*25+7)),"",INDEX('指标数据'!N$7:N$406,$E$3*25+7))</x:f>
      </x:c>
      <x:c r="N13" s="79" t="str">
        <x:f>IF(ISBLANK(INDEX('指标数据'!O$7:O$406,$E$3*25+7)),"",INDEX('指标数据'!O$7:O$406,$E$3*25+7))</x:f>
      </x:c>
      <x:c r="O13" s="52" t="str">
        <x:f>IF(ISBLANK(INDEX('指标数据'!P$7:P$406,$E$3*25+7)),"",INDEX('指标数据'!P$7:P$406,$E$3*25+7))</x:f>
      </x:c>
      <x:c r="P13" s="2"/>
    </x:row>
    <x:row r="14" ht="25" customHeight="1">
      <x:c r="A14" s="2"/>
      <x:c r="B14" s="2" t="str">
        <x:v>短窗波动</x:v>
      </x:c>
      <x:c r="C14" s="74" t="str">
        <x:f>IF(ISBLANK(INDEX('指标数据'!D$7:D$406,$E$3*25+8)),"",INDEX('指标数据'!D$7:D$406,$E$3*25+8))</x:f>
      </x:c>
      <x:c r="D14" s="76" t="str">
        <x:f>IF(ISBLANK(INDEX('指标数据'!E$7:E$406,$E$3*25+8)),"",INDEX('指标数据'!E$7:E$406,$E$3*25+8))</x:f>
      </x:c>
      <x:c r="E14" s="78" t="str">
        <x:f>IF(ISBLANK(INDEX('指标数据'!F$7:F$406,$E$3*25+8)),"",INDEX('指标数据'!F$7:F$406,$E$3*25+8))</x:f>
      </x:c>
      <x:c r="F14" s="74" t="str">
        <x:f>IF(ISBLANK(INDEX('指标数据'!G$7:G$406,$E$3*25+8)),"",INDEX('指标数据'!G$7:G$406,$E$3*25+8))</x:f>
      </x:c>
      <x:c r="G14" s="76" t="str">
        <x:f>IF(ISBLANK(INDEX('指标数据'!H$7:H$406,$E$3*25+8)),"",INDEX('指标数据'!H$7:H$406,$E$3*25+8))</x:f>
      </x:c>
      <x:c r="H14" s="78" t="str">
        <x:f>IF(ISBLANK(INDEX('指标数据'!I$7:I$406,$E$3*25+8)),"",INDEX('指标数据'!I$7:I$406,$E$3*25+8))</x:f>
      </x:c>
      <x:c r="I14" s="74" t="str">
        <x:f>IF(ISBLANK(INDEX('指标数据'!J$7:J$406,$E$3*25+8)),"",INDEX('指标数据'!J$7:J$406,$E$3*25+8))</x:f>
      </x:c>
      <x:c r="J14" s="76" t="str">
        <x:f>IF(ISBLANK(INDEX('指标数据'!K$7:K$406,$E$3*25+8)),"",INDEX('指标数据'!K$7:K$406,$E$3*25+8))</x:f>
      </x:c>
      <x:c r="K14" s="78" t="str">
        <x:f>IF(ISBLANK(INDEX('指标数据'!L$7:L$406,$E$3*25+8)),"",INDEX('指标数据'!L$7:L$406,$E$3*25+8))</x:f>
      </x:c>
      <x:c r="L14" s="74" t="str">
        <x:f>IF(ISBLANK(INDEX('指标数据'!M$7:M$406,$E$3*25+8)),"",INDEX('指标数据'!M$7:M$406,$E$3*25+8))</x:f>
      </x:c>
      <x:c r="M14" s="76" t="str">
        <x:f>IF(ISBLANK(INDEX('指标数据'!N$7:N$406,$E$3*25+8)),"",INDEX('指标数据'!N$7:N$406,$E$3*25+8))</x:f>
      </x:c>
      <x:c r="N14" s="78" t="str">
        <x:f>IF(ISBLANK(INDEX('指标数据'!O$7:O$406,$E$3*25+8)),"",INDEX('指标数据'!O$7:O$406,$E$3*25+8))</x:f>
      </x:c>
      <x:c r="O14" s="74" t="str">
        <x:f>IF(ISBLANK(INDEX('指标数据'!P$7:P$406,$E$3*25+8)),"",INDEX('指标数据'!P$7:P$406,$E$3*25+8))</x:f>
      </x:c>
      <x:c r="P14" s="2"/>
    </x:row>
    <x:row r="15" ht="25" customHeight="1">
      <x:c r="A15" s="2"/>
      <x:c r="B15" s="11" t="str">
        <x:v>偏离确认</x:v>
      </x:c>
      <x:c r="C15" s="52" t="str">
        <x:f>IF(ISBLANK(INDEX('指标数据'!D$7:D$406,$E$3*25+9)),"",INDEX('指标数据'!D$7:D$406,$E$3*25+9))</x:f>
      </x:c>
      <x:c r="D15" s="62" t="str">
        <x:f>IF(ISBLANK(INDEX('指标数据'!E$7:E$406,$E$3*25+9)),"",INDEX('指标数据'!E$7:E$406,$E$3*25+9))</x:f>
      </x:c>
      <x:c r="E15" s="79" t="str">
        <x:f>IF(ISBLANK(INDEX('指标数据'!F$7:F$406,$E$3*25+9)),"",INDEX('指标数据'!F$7:F$406,$E$3*25+9))</x:f>
      </x:c>
      <x:c r="F15" s="52" t="str">
        <x:f>IF(ISBLANK(INDEX('指标数据'!G$7:G$406,$E$3*25+9)),"",INDEX('指标数据'!G$7:G$406,$E$3*25+9))</x:f>
      </x:c>
      <x:c r="G15" s="62" t="str">
        <x:f>IF(ISBLANK(INDEX('指标数据'!H$7:H$406,$E$3*25+9)),"",INDEX('指标数据'!H$7:H$406,$E$3*25+9))</x:f>
      </x:c>
      <x:c r="H15" s="79" t="str">
        <x:f>IF(ISBLANK(INDEX('指标数据'!I$7:I$406,$E$3*25+9)),"",INDEX('指标数据'!I$7:I$406,$E$3*25+9))</x:f>
      </x:c>
      <x:c r="I15" s="52" t="str">
        <x:f>IF(ISBLANK(INDEX('指标数据'!J$7:J$406,$E$3*25+9)),"",INDEX('指标数据'!J$7:J$406,$E$3*25+9))</x:f>
      </x:c>
      <x:c r="J15" s="62" t="str">
        <x:f>IF(ISBLANK(INDEX('指标数据'!K$7:K$406,$E$3*25+9)),"",INDEX('指标数据'!K$7:K$406,$E$3*25+9))</x:f>
      </x:c>
      <x:c r="K15" s="79" t="str">
        <x:f>IF(ISBLANK(INDEX('指标数据'!L$7:L$406,$E$3*25+9)),"",INDEX('指标数据'!L$7:L$406,$E$3*25+9))</x:f>
      </x:c>
      <x:c r="L15" s="52" t="str">
        <x:f>IF(ISBLANK(INDEX('指标数据'!M$7:M$406,$E$3*25+9)),"",INDEX('指标数据'!M$7:M$406,$E$3*25+9))</x:f>
      </x:c>
      <x:c r="M15" s="62" t="str">
        <x:f>IF(ISBLANK(INDEX('指标数据'!N$7:N$406,$E$3*25+9)),"",INDEX('指标数据'!N$7:N$406,$E$3*25+9))</x:f>
      </x:c>
      <x:c r="N15" s="79" t="str">
        <x:f>IF(ISBLANK(INDEX('指标数据'!O$7:O$406,$E$3*25+9)),"",INDEX('指标数据'!O$7:O$406,$E$3*25+9))</x:f>
      </x:c>
      <x:c r="O15" s="52" t="str">
        <x:f>IF(ISBLANK(INDEX('指标数据'!P$7:P$406,$E$3*25+9)),"",INDEX('指标数据'!P$7:P$406,$E$3*25+9))</x:f>
      </x:c>
      <x:c r="P15" s="2"/>
    </x:row>
    <x:row r="16" ht="25" customHeight="1">
      <x:c r="A16" s="2"/>
      <x:c r="B16" s="2" t="str">
        <x:v>开盘缺口</x:v>
      </x:c>
      <x:c r="C16" s="74" t="str">
        <x:f>IF(ISBLANK(INDEX('指标数据'!D$7:D$406,$E$3*25+10)),"",INDEX('指标数据'!D$7:D$406,$E$3*25+10))</x:f>
      </x:c>
      <x:c r="D16" s="76" t="str">
        <x:f>IF(ISBLANK(INDEX('指标数据'!E$7:E$406,$E$3*25+10)),"",INDEX('指标数据'!E$7:E$406,$E$3*25+10))</x:f>
      </x:c>
      <x:c r="E16" s="78" t="str">
        <x:f>IF(ISBLANK(INDEX('指标数据'!F$7:F$406,$E$3*25+10)),"",INDEX('指标数据'!F$7:F$406,$E$3*25+10))</x:f>
      </x:c>
      <x:c r="F16" s="74" t="str">
        <x:f>IF(ISBLANK(INDEX('指标数据'!G$7:G$406,$E$3*25+10)),"",INDEX('指标数据'!G$7:G$406,$E$3*25+10))</x:f>
      </x:c>
      <x:c r="G16" s="76" t="str">
        <x:f>IF(ISBLANK(INDEX('指标数据'!H$7:H$406,$E$3*25+10)),"",INDEX('指标数据'!H$7:H$406,$E$3*25+10))</x:f>
      </x:c>
      <x:c r="H16" s="78" t="str">
        <x:f>IF(ISBLANK(INDEX('指标数据'!I$7:I$406,$E$3*25+10)),"",INDEX('指标数据'!I$7:I$406,$E$3*25+10))</x:f>
      </x:c>
      <x:c r="I16" s="74" t="str">
        <x:f>IF(ISBLANK(INDEX('指标数据'!J$7:J$406,$E$3*25+10)),"",INDEX('指标数据'!J$7:J$406,$E$3*25+10))</x:f>
      </x:c>
      <x:c r="J16" s="76" t="str">
        <x:f>IF(ISBLANK(INDEX('指标数据'!K$7:K$406,$E$3*25+10)),"",INDEX('指标数据'!K$7:K$406,$E$3*25+10))</x:f>
      </x:c>
      <x:c r="K16" s="78" t="str">
        <x:f>IF(ISBLANK(INDEX('指标数据'!L$7:L$406,$E$3*25+10)),"",INDEX('指标数据'!L$7:L$406,$E$3*25+10))</x:f>
      </x:c>
      <x:c r="L16" s="74" t="str">
        <x:f>IF(ISBLANK(INDEX('指标数据'!M$7:M$406,$E$3*25+10)),"",INDEX('指标数据'!M$7:M$406,$E$3*25+10))</x:f>
      </x:c>
      <x:c r="M16" s="76" t="str">
        <x:f>IF(ISBLANK(INDEX('指标数据'!N$7:N$406,$E$3*25+10)),"",INDEX('指标数据'!N$7:N$406,$E$3*25+10))</x:f>
      </x:c>
      <x:c r="N16" s="78" t="str">
        <x:f>IF(ISBLANK(INDEX('指标数据'!O$7:O$406,$E$3*25+10)),"",INDEX('指标数据'!O$7:O$406,$E$3*25+10))</x:f>
      </x:c>
      <x:c r="O16" s="74" t="str">
        <x:f>IF(ISBLANK(INDEX('指标数据'!P$7:P$406,$E$3*25+10)),"",INDEX('指标数据'!P$7:P$406,$E$3*25+10))</x:f>
      </x:c>
      <x:c r="P16" s="2"/>
    </x:row>
    <x:row r="17" ht="25" customHeight="1">
      <x:c r="A17" s="2"/>
      <x:c r="B17" s="11" t="str">
        <x:v>缺口修复</x:v>
      </x:c>
      <x:c r="C17" s="52" t="str">
        <x:f>IF(ISBLANK(INDEX('指标数据'!D$7:D$406,$E$3*25+11)),"",INDEX('指标数据'!D$7:D$406,$E$3*25+11))</x:f>
      </x:c>
      <x:c r="D17" s="62" t="str">
        <x:f>IF(ISBLANK(INDEX('指标数据'!E$7:E$406,$E$3*25+11)),"",INDEX('指标数据'!E$7:E$406,$E$3*25+11))</x:f>
      </x:c>
      <x:c r="E17" s="79" t="str">
        <x:f>IF(ISBLANK(INDEX('指标数据'!F$7:F$406,$E$3*25+11)),"",INDEX('指标数据'!F$7:F$406,$E$3*25+11))</x:f>
      </x:c>
      <x:c r="F17" s="52" t="str">
        <x:f>IF(ISBLANK(INDEX('指标数据'!G$7:G$406,$E$3*25+11)),"",INDEX('指标数据'!G$7:G$406,$E$3*25+11))</x:f>
      </x:c>
      <x:c r="G17" s="62" t="str">
        <x:f>IF(ISBLANK(INDEX('指标数据'!H$7:H$406,$E$3*25+11)),"",INDEX('指标数据'!H$7:H$406,$E$3*25+11))</x:f>
      </x:c>
      <x:c r="H17" s="79" t="str">
        <x:f>IF(ISBLANK(INDEX('指标数据'!I$7:I$406,$E$3*25+11)),"",INDEX('指标数据'!I$7:I$406,$E$3*25+11))</x:f>
      </x:c>
      <x:c r="I17" s="52" t="str">
        <x:f>IF(ISBLANK(INDEX('指标数据'!J$7:J$406,$E$3*25+11)),"",INDEX('指标数据'!J$7:J$406,$E$3*25+11))</x:f>
      </x:c>
      <x:c r="J17" s="62" t="str">
        <x:f>IF(ISBLANK(INDEX('指标数据'!K$7:K$406,$E$3*25+11)),"",INDEX('指标数据'!K$7:K$406,$E$3*25+11))</x:f>
      </x:c>
      <x:c r="K17" s="79" t="str">
        <x:f>IF(ISBLANK(INDEX('指标数据'!L$7:L$406,$E$3*25+11)),"",INDEX('指标数据'!L$7:L$406,$E$3*25+11))</x:f>
      </x:c>
      <x:c r="L17" s="52" t="str">
        <x:f>IF(ISBLANK(INDEX('指标数据'!M$7:M$406,$E$3*25+11)),"",INDEX('指标数据'!M$7:M$406,$E$3*25+11))</x:f>
      </x:c>
      <x:c r="M17" s="62" t="str">
        <x:f>IF(ISBLANK(INDEX('指标数据'!N$7:N$406,$E$3*25+11)),"",INDEX('指标数据'!N$7:N$406,$E$3*25+11))</x:f>
      </x:c>
      <x:c r="N17" s="79" t="str">
        <x:f>IF(ISBLANK(INDEX('指标数据'!O$7:O$406,$E$3*25+11)),"",INDEX('指标数据'!O$7:O$406,$E$3*25+11))</x:f>
      </x:c>
      <x:c r="O17" s="52" t="str">
        <x:f>IF(ISBLANK(INDEX('指标数据'!P$7:P$406,$E$3*25+11)),"",INDEX('指标数据'!P$7:P$406,$E$3*25+11))</x:f>
      </x:c>
      <x:c r="P17" s="2"/>
    </x:row>
    <x:row r="18" ht="25" customHeight="1">
      <x:c r="A18" s="2"/>
      <x:c r="B18" s="2" t="str">
        <x:v>分钟中枢</x:v>
      </x:c>
      <x:c r="C18" s="74" t="str">
        <x:f>IF(ISBLANK(INDEX('指标数据'!D$7:D$406,$E$3*25+12)),"",INDEX('指标数据'!D$7:D$406,$E$3*25+12))</x:f>
      </x:c>
      <x:c r="D18" s="76" t="str">
        <x:f>IF(ISBLANK(INDEX('指标数据'!E$7:E$406,$E$3*25+12)),"",INDEX('指标数据'!E$7:E$406,$E$3*25+12))</x:f>
      </x:c>
      <x:c r="E18" s="78" t="str">
        <x:f>IF(ISBLANK(INDEX('指标数据'!F$7:F$406,$E$3*25+12)),"",INDEX('指标数据'!F$7:F$406,$E$3*25+12))</x:f>
      </x:c>
      <x:c r="F18" s="74" t="str">
        <x:f>IF(ISBLANK(INDEX('指标数据'!G$7:G$406,$E$3*25+12)),"",INDEX('指标数据'!G$7:G$406,$E$3*25+12))</x:f>
      </x:c>
      <x:c r="G18" s="76" t="str">
        <x:f>IF(ISBLANK(INDEX('指标数据'!H$7:H$406,$E$3*25+12)),"",INDEX('指标数据'!H$7:H$406,$E$3*25+12))</x:f>
      </x:c>
      <x:c r="H18" s="78" t="str">
        <x:f>IF(ISBLANK(INDEX('指标数据'!I$7:I$406,$E$3*25+12)),"",INDEX('指标数据'!I$7:I$406,$E$3*25+12))</x:f>
      </x:c>
      <x:c r="I18" s="74" t="str">
        <x:f>IF(ISBLANK(INDEX('指标数据'!J$7:J$406,$E$3*25+12)),"",INDEX('指标数据'!J$7:J$406,$E$3*25+12))</x:f>
      </x:c>
      <x:c r="J18" s="76" t="str">
        <x:f>IF(ISBLANK(INDEX('指标数据'!K$7:K$406,$E$3*25+12)),"",INDEX('指标数据'!K$7:K$406,$E$3*25+12))</x:f>
      </x:c>
      <x:c r="K18" s="78" t="str">
        <x:f>IF(ISBLANK(INDEX('指标数据'!L$7:L$406,$E$3*25+12)),"",INDEX('指标数据'!L$7:L$406,$E$3*25+12))</x:f>
      </x:c>
      <x:c r="L18" s="74" t="str">
        <x:f>IF(ISBLANK(INDEX('指标数据'!M$7:M$406,$E$3*25+12)),"",INDEX('指标数据'!M$7:M$406,$E$3*25+12))</x:f>
      </x:c>
      <x:c r="M18" s="76" t="str">
        <x:f>IF(ISBLANK(INDEX('指标数据'!N$7:N$406,$E$3*25+12)),"",INDEX('指标数据'!N$7:N$406,$E$3*25+12))</x:f>
      </x:c>
      <x:c r="N18" s="78" t="str">
        <x:f>IF(ISBLANK(INDEX('指标数据'!O$7:O$406,$E$3*25+12)),"",INDEX('指标数据'!O$7:O$406,$E$3*25+12))</x:f>
      </x:c>
      <x:c r="O18" s="74" t="str">
        <x:f>IF(ISBLANK(INDEX('指标数据'!P$7:P$406,$E$3*25+12)),"",INDEX('指标数据'!P$7:P$406,$E$3*25+12))</x:f>
      </x:c>
      <x:c r="P18" s="2"/>
    </x:row>
    <x:row r="19" ht="25" customHeight="1">
      <x:c r="A19" s="2"/>
      <x:c r="B19" s="11" t="str">
        <x:v>中枢偏离</x:v>
      </x:c>
      <x:c r="C19" s="52" t="str">
        <x:f>IF(ISBLANK(INDEX('指标数据'!D$7:D$406,$E$3*25+13)),"",INDEX('指标数据'!D$7:D$406,$E$3*25+13))</x:f>
      </x:c>
      <x:c r="D19" s="62" t="str">
        <x:f>IF(ISBLANK(INDEX('指标数据'!E$7:E$406,$E$3*25+13)),"",INDEX('指标数据'!E$7:E$406,$E$3*25+13))</x:f>
      </x:c>
      <x:c r="E19" s="79" t="str">
        <x:f>IF(ISBLANK(INDEX('指标数据'!F$7:F$406,$E$3*25+13)),"",INDEX('指标数据'!F$7:F$406,$E$3*25+13))</x:f>
      </x:c>
      <x:c r="F19" s="52" t="str">
        <x:f>IF(ISBLANK(INDEX('指标数据'!G$7:G$406,$E$3*25+13)),"",INDEX('指标数据'!G$7:G$406,$E$3*25+13))</x:f>
      </x:c>
      <x:c r="G19" s="62" t="str">
        <x:f>IF(ISBLANK(INDEX('指标数据'!H$7:H$406,$E$3*25+13)),"",INDEX('指标数据'!H$7:H$406,$E$3*25+13))</x:f>
      </x:c>
      <x:c r="H19" s="79" t="str">
        <x:f>IF(ISBLANK(INDEX('指标数据'!I$7:I$406,$E$3*25+13)),"",INDEX('指标数据'!I$7:I$406,$E$3*25+13))</x:f>
      </x:c>
      <x:c r="I19" s="52" t="str">
        <x:f>IF(ISBLANK(INDEX('指标数据'!J$7:J$406,$E$3*25+13)),"",INDEX('指标数据'!J$7:J$406,$E$3*25+13))</x:f>
      </x:c>
      <x:c r="J19" s="62" t="str">
        <x:f>IF(ISBLANK(INDEX('指标数据'!K$7:K$406,$E$3*25+13)),"",INDEX('指标数据'!K$7:K$406,$E$3*25+13))</x:f>
      </x:c>
      <x:c r="K19" s="79" t="str">
        <x:f>IF(ISBLANK(INDEX('指标数据'!L$7:L$406,$E$3*25+13)),"",INDEX('指标数据'!L$7:L$406,$E$3*25+13))</x:f>
      </x:c>
      <x:c r="L19" s="52" t="str">
        <x:f>IF(ISBLANK(INDEX('指标数据'!M$7:M$406,$E$3*25+13)),"",INDEX('指标数据'!M$7:M$406,$E$3*25+13))</x:f>
      </x:c>
      <x:c r="M19" s="62" t="str">
        <x:f>IF(ISBLANK(INDEX('指标数据'!N$7:N$406,$E$3*25+13)),"",INDEX('指标数据'!N$7:N$406,$E$3*25+13))</x:f>
      </x:c>
      <x:c r="N19" s="79" t="str">
        <x:f>IF(ISBLANK(INDEX('指标数据'!O$7:O$406,$E$3*25+13)),"",INDEX('指标数据'!O$7:O$406,$E$3*25+13))</x:f>
      </x:c>
      <x:c r="O19" s="52" t="str">
        <x:f>IF(ISBLANK(INDEX('指标数据'!P$7:P$406,$E$3*25+13)),"",INDEX('指标数据'!P$7:P$406,$E$3*25+13))</x:f>
      </x:c>
      <x:c r="P19" s="2"/>
    </x:row>
    <x:row r="20" ht="25" customHeight="1">
      <x:c r="A20" s="2"/>
      <x:c r="B20" s="2" t="str">
        <x:v>采集中枢</x:v>
      </x:c>
      <x:c r="C20" s="74" t="str">
        <x:f>IF(ISBLANK(INDEX('指标数据'!D$7:D$406,$E$3*25+14)),"",INDEX('指标数据'!D$7:D$406,$E$3*25+14))</x:f>
      </x:c>
      <x:c r="D20" s="76" t="str">
        <x:f>IF(ISBLANK(INDEX('指标数据'!E$7:E$406,$E$3*25+14)),"",INDEX('指标数据'!E$7:E$406,$E$3*25+14))</x:f>
      </x:c>
      <x:c r="E20" s="78" t="str">
        <x:f>IF(ISBLANK(INDEX('指标数据'!F$7:F$406,$E$3*25+14)),"",INDEX('指标数据'!F$7:F$406,$E$3*25+14))</x:f>
      </x:c>
      <x:c r="F20" s="74" t="str">
        <x:f>IF(ISBLANK(INDEX('指标数据'!G$7:G$406,$E$3*25+14)),"",INDEX('指标数据'!G$7:G$406,$E$3*25+14))</x:f>
      </x:c>
      <x:c r="G20" s="76" t="str">
        <x:f>IF(ISBLANK(INDEX('指标数据'!H$7:H$406,$E$3*25+14)),"",INDEX('指标数据'!H$7:H$406,$E$3*25+14))</x:f>
      </x:c>
      <x:c r="H20" s="78" t="str">
        <x:f>IF(ISBLANK(INDEX('指标数据'!I$7:I$406,$E$3*25+14)),"",INDEX('指标数据'!I$7:I$406,$E$3*25+14))</x:f>
      </x:c>
      <x:c r="I20" s="74" t="str">
        <x:f>IF(ISBLANK(INDEX('指标数据'!J$7:J$406,$E$3*25+14)),"",INDEX('指标数据'!J$7:J$406,$E$3*25+14))</x:f>
      </x:c>
      <x:c r="J20" s="76" t="str">
        <x:f>IF(ISBLANK(INDEX('指标数据'!K$7:K$406,$E$3*25+14)),"",INDEX('指标数据'!K$7:K$406,$E$3*25+14))</x:f>
      </x:c>
      <x:c r="K20" s="78" t="str">
        <x:f>IF(ISBLANK(INDEX('指标数据'!L$7:L$406,$E$3*25+14)),"",INDEX('指标数据'!L$7:L$406,$E$3*25+14))</x:f>
      </x:c>
      <x:c r="L20" s="74" t="str">
        <x:f>IF(ISBLANK(INDEX('指标数据'!M$7:M$406,$E$3*25+14)),"",INDEX('指标数据'!M$7:M$406,$E$3*25+14))</x:f>
      </x:c>
      <x:c r="M20" s="76" t="str">
        <x:f>IF(ISBLANK(INDEX('指标数据'!N$7:N$406,$E$3*25+14)),"",INDEX('指标数据'!N$7:N$406,$E$3*25+14))</x:f>
      </x:c>
      <x:c r="N20" s="78" t="str">
        <x:f>IF(ISBLANK(INDEX('指标数据'!O$7:O$406,$E$3*25+14)),"",INDEX('指标数据'!O$7:O$406,$E$3*25+14))</x:f>
      </x:c>
      <x:c r="O20" s="74" t="str">
        <x:f>IF(ISBLANK(INDEX('指标数据'!P$7:P$406,$E$3*25+14)),"",INDEX('指标数据'!P$7:P$406,$E$3*25+14))</x:f>
      </x:c>
      <x:c r="P20" s="2"/>
    </x:row>
    <x:row r="21" ht="25" customHeight="1">
      <x:c r="A21" s="2"/>
      <x:c r="B21" s="11" t="str">
        <x:v>采集偏离</x:v>
      </x:c>
      <x:c r="C21" s="52" t="str">
        <x:f>IF(ISBLANK(INDEX('指标数据'!D$7:D$406,$E$3*25+15)),"",INDEX('指标数据'!D$7:D$406,$E$3*25+15))</x:f>
      </x:c>
      <x:c r="D21" s="62" t="str">
        <x:f>IF(ISBLANK(INDEX('指标数据'!E$7:E$406,$E$3*25+15)),"",INDEX('指标数据'!E$7:E$406,$E$3*25+15))</x:f>
      </x:c>
      <x:c r="E21" s="79" t="str">
        <x:f>IF(ISBLANK(INDEX('指标数据'!F$7:F$406,$E$3*25+15)),"",INDEX('指标数据'!F$7:F$406,$E$3*25+15))</x:f>
      </x:c>
      <x:c r="F21" s="52" t="str">
        <x:f>IF(ISBLANK(INDEX('指标数据'!G$7:G$406,$E$3*25+15)),"",INDEX('指标数据'!G$7:G$406,$E$3*25+15))</x:f>
      </x:c>
      <x:c r="G21" s="62" t="str">
        <x:f>IF(ISBLANK(INDEX('指标数据'!H$7:H$406,$E$3*25+15)),"",INDEX('指标数据'!H$7:H$406,$E$3*25+15))</x:f>
      </x:c>
      <x:c r="H21" s="79" t="str">
        <x:f>IF(ISBLANK(INDEX('指标数据'!I$7:I$406,$E$3*25+15)),"",INDEX('指标数据'!I$7:I$406,$E$3*25+15))</x:f>
      </x:c>
      <x:c r="I21" s="52" t="str">
        <x:f>IF(ISBLANK(INDEX('指标数据'!J$7:J$406,$E$3*25+15)),"",INDEX('指标数据'!J$7:J$406,$E$3*25+15))</x:f>
      </x:c>
      <x:c r="J21" s="62" t="str">
        <x:f>IF(ISBLANK(INDEX('指标数据'!K$7:K$406,$E$3*25+15)),"",INDEX('指标数据'!K$7:K$406,$E$3*25+15))</x:f>
      </x:c>
      <x:c r="K21" s="79" t="str">
        <x:f>IF(ISBLANK(INDEX('指标数据'!L$7:L$406,$E$3*25+15)),"",INDEX('指标数据'!L$7:L$406,$E$3*25+15))</x:f>
      </x:c>
      <x:c r="L21" s="52" t="str">
        <x:f>IF(ISBLANK(INDEX('指标数据'!M$7:M$406,$E$3*25+15)),"",INDEX('指标数据'!M$7:M$406,$E$3*25+15))</x:f>
      </x:c>
      <x:c r="M21" s="62" t="str">
        <x:f>IF(ISBLANK(INDEX('指标数据'!N$7:N$406,$E$3*25+15)),"",INDEX('指标数据'!N$7:N$406,$E$3*25+15))</x:f>
      </x:c>
      <x:c r="N21" s="79" t="str">
        <x:f>IF(ISBLANK(INDEX('指标数据'!O$7:O$406,$E$3*25+15)),"",INDEX('指标数据'!O$7:O$406,$E$3*25+15))</x:f>
      </x:c>
      <x:c r="O21" s="52" t="str">
        <x:f>IF(ISBLANK(INDEX('指标数据'!P$7:P$406,$E$3*25+15)),"",INDEX('指标数据'!P$7:P$406,$E$3*25+15))</x:f>
      </x:c>
      <x:c r="P21" s="2"/>
    </x:row>
    <x:row r="22" ht="25" customHeight="1">
      <x:c r="A22" s="2"/>
      <x:c r="B22" s="2" t="str">
        <x:v>增仓漂移</x:v>
      </x:c>
      <x:c r="C22" s="74" t="str">
        <x:f>IF(ISBLANK(INDEX('指标数据'!D$7:D$406,$E$3*25+16)),"",INDEX('指标数据'!D$7:D$406,$E$3*25+16))</x:f>
      </x:c>
      <x:c r="D22" s="76" t="str">
        <x:f>IF(ISBLANK(INDEX('指标数据'!E$7:E$406,$E$3*25+16)),"",INDEX('指标数据'!E$7:E$406,$E$3*25+16))</x:f>
      </x:c>
      <x:c r="E22" s="78" t="str">
        <x:f>IF(ISBLANK(INDEX('指标数据'!F$7:F$406,$E$3*25+16)),"",INDEX('指标数据'!F$7:F$406,$E$3*25+16))</x:f>
      </x:c>
      <x:c r="F22" s="74" t="str">
        <x:f>IF(ISBLANK(INDEX('指标数据'!G$7:G$406,$E$3*25+16)),"",INDEX('指标数据'!G$7:G$406,$E$3*25+16))</x:f>
      </x:c>
      <x:c r="G22" s="76" t="str">
        <x:f>IF(ISBLANK(INDEX('指标数据'!H$7:H$406,$E$3*25+16)),"",INDEX('指标数据'!H$7:H$406,$E$3*25+16))</x:f>
      </x:c>
      <x:c r="H22" s="78" t="str">
        <x:f>IF(ISBLANK(INDEX('指标数据'!I$7:I$406,$E$3*25+16)),"",INDEX('指标数据'!I$7:I$406,$E$3*25+16))</x:f>
      </x:c>
      <x:c r="I22" s="74" t="str">
        <x:f>IF(ISBLANK(INDEX('指标数据'!J$7:J$406,$E$3*25+16)),"",INDEX('指标数据'!J$7:J$406,$E$3*25+16))</x:f>
      </x:c>
      <x:c r="J22" s="76" t="str">
        <x:f>IF(ISBLANK(INDEX('指标数据'!K$7:K$406,$E$3*25+16)),"",INDEX('指标数据'!K$7:K$406,$E$3*25+16))</x:f>
      </x:c>
      <x:c r="K22" s="78" t="str">
        <x:f>IF(ISBLANK(INDEX('指标数据'!L$7:L$406,$E$3*25+16)),"",INDEX('指标数据'!L$7:L$406,$E$3*25+16))</x:f>
      </x:c>
      <x:c r="L22" s="74" t="str">
        <x:f>IF(ISBLANK(INDEX('指标数据'!M$7:M$406,$E$3*25+16)),"",INDEX('指标数据'!M$7:M$406,$E$3*25+16))</x:f>
      </x:c>
      <x:c r="M22" s="76" t="str">
        <x:f>IF(ISBLANK(INDEX('指标数据'!N$7:N$406,$E$3*25+16)),"",INDEX('指标数据'!N$7:N$406,$E$3*25+16))</x:f>
      </x:c>
      <x:c r="N22" s="78" t="str">
        <x:f>IF(ISBLANK(INDEX('指标数据'!O$7:O$406,$E$3*25+16)),"",INDEX('指标数据'!O$7:O$406,$E$3*25+16))</x:f>
      </x:c>
      <x:c r="O22" s="74" t="str">
        <x:f>IF(ISBLANK(INDEX('指标数据'!P$7:P$406,$E$3*25+16)),"",INDEX('指标数据'!P$7:P$406,$E$3*25+16))</x:f>
      </x:c>
      <x:c r="P22" s="2"/>
    </x:row>
    <x:row r="23" ht="25" customHeight="1">
      <x:c r="A23" s="2"/>
      <x:c r="B23" s="11" t="str">
        <x:v>日换手</x:v>
      </x:c>
      <x:c r="C23" s="52" t="str">
        <x:f>IF(ISBLANK(INDEX('指标数据'!D$7:D$406,$E$3*25+17)),"",INDEX('指标数据'!D$7:D$406,$E$3*25+17))</x:f>
      </x:c>
      <x:c r="D23" s="62" t="str">
        <x:f>IF(ISBLANK(INDEX('指标数据'!E$7:E$406,$E$3*25+17)),"",INDEX('指标数据'!E$7:E$406,$E$3*25+17))</x:f>
      </x:c>
      <x:c r="E23" s="79" t="str">
        <x:f>IF(ISBLANK(INDEX('指标数据'!F$7:F$406,$E$3*25+17)),"",INDEX('指标数据'!F$7:F$406,$E$3*25+17))</x:f>
      </x:c>
      <x:c r="F23" s="52" t="str">
        <x:f>IF(ISBLANK(INDEX('指标数据'!G$7:G$406,$E$3*25+17)),"",INDEX('指标数据'!G$7:G$406,$E$3*25+17))</x:f>
      </x:c>
      <x:c r="G23" s="62" t="str">
        <x:f>IF(ISBLANK(INDEX('指标数据'!H$7:H$406,$E$3*25+17)),"",INDEX('指标数据'!H$7:H$406,$E$3*25+17))</x:f>
      </x:c>
      <x:c r="H23" s="79" t="str">
        <x:f>IF(ISBLANK(INDEX('指标数据'!I$7:I$406,$E$3*25+17)),"",INDEX('指标数据'!I$7:I$406,$E$3*25+17))</x:f>
      </x:c>
      <x:c r="I23" s="52" t="str">
        <x:f>IF(ISBLANK(INDEX('指标数据'!J$7:J$406,$E$3*25+17)),"",INDEX('指标数据'!J$7:J$406,$E$3*25+17))</x:f>
      </x:c>
      <x:c r="J23" s="62" t="str">
        <x:f>IF(ISBLANK(INDEX('指标数据'!K$7:K$406,$E$3*25+17)),"",INDEX('指标数据'!K$7:K$406,$E$3*25+17))</x:f>
      </x:c>
      <x:c r="K23" s="79" t="str">
        <x:f>IF(ISBLANK(INDEX('指标数据'!L$7:L$406,$E$3*25+17)),"",INDEX('指标数据'!L$7:L$406,$E$3*25+17))</x:f>
      </x:c>
      <x:c r="L23" s="52" t="str">
        <x:f>IF(ISBLANK(INDEX('指标数据'!M$7:M$406,$E$3*25+17)),"",INDEX('指标数据'!M$7:M$406,$E$3*25+17))</x:f>
      </x:c>
      <x:c r="M23" s="62" t="str">
        <x:f>IF(ISBLANK(INDEX('指标数据'!N$7:N$406,$E$3*25+17)),"",INDEX('指标数据'!N$7:N$406,$E$3*25+17))</x:f>
      </x:c>
      <x:c r="N23" s="79" t="str">
        <x:f>IF(ISBLANK(INDEX('指标数据'!O$7:O$406,$E$3*25+17)),"",INDEX('指标数据'!O$7:O$406,$E$3*25+17))</x:f>
      </x:c>
      <x:c r="O23" s="52" t="str">
        <x:f>IF(ISBLANK(INDEX('指标数据'!P$7:P$406,$E$3*25+17)),"",INDEX('指标数据'!P$7:P$406,$E$3*25+17))</x:f>
      </x:c>
      <x:c r="P23" s="2"/>
    </x:row>
    <x:row r="24" ht="25" customHeight="1">
      <x:c r="A24" s="2"/>
      <x:c r="B24" s="2" t="str">
        <x:v>增仓占比</x:v>
      </x:c>
      <x:c r="C24" s="74" t="str">
        <x:f>IF(ISBLANK(INDEX('指标数据'!D$7:D$406,$E$3*25+18)),"",INDEX('指标数据'!D$7:D$406,$E$3*25+18))</x:f>
      </x:c>
      <x:c r="D24" s="76" t="str">
        <x:f>IF(ISBLANK(INDEX('指标数据'!E$7:E$406,$E$3*25+18)),"",INDEX('指标数据'!E$7:E$406,$E$3*25+18))</x:f>
      </x:c>
      <x:c r="E24" s="78" t="str">
        <x:f>IF(ISBLANK(INDEX('指标数据'!F$7:F$406,$E$3*25+18)),"",INDEX('指标数据'!F$7:F$406,$E$3*25+18))</x:f>
      </x:c>
      <x:c r="F24" s="74" t="str">
        <x:f>IF(ISBLANK(INDEX('指标数据'!G$7:G$406,$E$3*25+18)),"",INDEX('指标数据'!G$7:G$406,$E$3*25+18))</x:f>
      </x:c>
      <x:c r="G24" s="76" t="str">
        <x:f>IF(ISBLANK(INDEX('指标数据'!H$7:H$406,$E$3*25+18)),"",INDEX('指标数据'!H$7:H$406,$E$3*25+18))</x:f>
      </x:c>
      <x:c r="H24" s="78" t="str">
        <x:f>IF(ISBLANK(INDEX('指标数据'!I$7:I$406,$E$3*25+18)),"",INDEX('指标数据'!I$7:I$406,$E$3*25+18))</x:f>
      </x:c>
      <x:c r="I24" s="74" t="str">
        <x:f>IF(ISBLANK(INDEX('指标数据'!J$7:J$406,$E$3*25+18)),"",INDEX('指标数据'!J$7:J$406,$E$3*25+18))</x:f>
      </x:c>
      <x:c r="J24" s="76" t="str">
        <x:f>IF(ISBLANK(INDEX('指标数据'!K$7:K$406,$E$3*25+18)),"",INDEX('指标数据'!K$7:K$406,$E$3*25+18))</x:f>
      </x:c>
      <x:c r="K24" s="78" t="str">
        <x:f>IF(ISBLANK(INDEX('指标数据'!L$7:L$406,$E$3*25+18)),"",INDEX('指标数据'!L$7:L$406,$E$3*25+18))</x:f>
      </x:c>
      <x:c r="L24" s="74" t="str">
        <x:f>IF(ISBLANK(INDEX('指标数据'!M$7:M$406,$E$3*25+18)),"",INDEX('指标数据'!M$7:M$406,$E$3*25+18))</x:f>
      </x:c>
      <x:c r="M24" s="76" t="str">
        <x:f>IF(ISBLANK(INDEX('指标数据'!N$7:N$406,$E$3*25+18)),"",INDEX('指标数据'!N$7:N$406,$E$3*25+18))</x:f>
      </x:c>
      <x:c r="N24" s="78" t="str">
        <x:f>IF(ISBLANK(INDEX('指标数据'!O$7:O$406,$E$3*25+18)),"",INDEX('指标数据'!O$7:O$406,$E$3*25+18))</x:f>
      </x:c>
      <x:c r="O24" s="74" t="str">
        <x:f>IF(ISBLANK(INDEX('指标数据'!P$7:P$406,$E$3*25+18)),"",INDEX('指标数据'!P$7:P$406,$E$3*25+18))</x:f>
      </x:c>
      <x:c r="P24" s="2"/>
    </x:row>
    <x:row r="25" ht="25" customHeight="1">
      <x:c r="A25" s="2"/>
      <x:c r="B25" s="11" t="str">
        <x:v>净增仓</x:v>
      </x:c>
      <x:c r="C25" s="52" t="str">
        <x:f>IF(ISBLANK(INDEX('指标数据'!D$7:D$406,$E$3*25+19)),"",INDEX('指标数据'!D$7:D$406,$E$3*25+19))</x:f>
      </x:c>
      <x:c r="D25" s="62" t="str">
        <x:f>IF(ISBLANK(INDEX('指标数据'!E$7:E$406,$E$3*25+19)),"",INDEX('指标数据'!E$7:E$406,$E$3*25+19))</x:f>
      </x:c>
      <x:c r="E25" s="79" t="str">
        <x:f>IF(ISBLANK(INDEX('指标数据'!F$7:F$406,$E$3*25+19)),"",INDEX('指标数据'!F$7:F$406,$E$3*25+19))</x:f>
      </x:c>
      <x:c r="F25" s="52" t="str">
        <x:f>IF(ISBLANK(INDEX('指标数据'!G$7:G$406,$E$3*25+19)),"",INDEX('指标数据'!G$7:G$406,$E$3*25+19))</x:f>
      </x:c>
      <x:c r="G25" s="62" t="str">
        <x:f>IF(ISBLANK(INDEX('指标数据'!H$7:H$406,$E$3*25+19)),"",INDEX('指标数据'!H$7:H$406,$E$3*25+19))</x:f>
      </x:c>
      <x:c r="H25" s="79" t="str">
        <x:f>IF(ISBLANK(INDEX('指标数据'!I$7:I$406,$E$3*25+19)),"",INDEX('指标数据'!I$7:I$406,$E$3*25+19))</x:f>
      </x:c>
      <x:c r="I25" s="52" t="str">
        <x:f>IF(ISBLANK(INDEX('指标数据'!J$7:J$406,$E$3*25+19)),"",INDEX('指标数据'!J$7:J$406,$E$3*25+19))</x:f>
      </x:c>
      <x:c r="J25" s="62" t="str">
        <x:f>IF(ISBLANK(INDEX('指标数据'!K$7:K$406,$E$3*25+19)),"",INDEX('指标数据'!K$7:K$406,$E$3*25+19))</x:f>
      </x:c>
      <x:c r="K25" s="79" t="str">
        <x:f>IF(ISBLANK(INDEX('指标数据'!L$7:L$406,$E$3*25+19)),"",INDEX('指标数据'!L$7:L$406,$E$3*25+19))</x:f>
      </x:c>
      <x:c r="L25" s="52" t="str">
        <x:f>IF(ISBLANK(INDEX('指标数据'!M$7:M$406,$E$3*25+19)),"",INDEX('指标数据'!M$7:M$406,$E$3*25+19))</x:f>
      </x:c>
      <x:c r="M25" s="62" t="str">
        <x:f>IF(ISBLANK(INDEX('指标数据'!N$7:N$406,$E$3*25+19)),"",INDEX('指标数据'!N$7:N$406,$E$3*25+19))</x:f>
      </x:c>
      <x:c r="N25" s="79" t="str">
        <x:f>IF(ISBLANK(INDEX('指标数据'!O$7:O$406,$E$3*25+19)),"",INDEX('指标数据'!O$7:O$406,$E$3*25+19))</x:f>
      </x:c>
      <x:c r="O25" s="52" t="str">
        <x:f>IF(ISBLANK(INDEX('指标数据'!P$7:P$406,$E$3*25+19)),"",INDEX('指标数据'!P$7:P$406,$E$3*25+19))</x:f>
      </x:c>
      <x:c r="P25" s="2"/>
    </x:row>
    <x:row r="26" ht="25" customHeight="1">
      <x:c r="A26" s="2"/>
      <x:c r="B26" s="2" t="str">
        <x:v>收盘位置差</x:v>
      </x:c>
      <x:c r="C26" s="74" t="str">
        <x:f>IF(ISBLANK(INDEX('指标数据'!D$7:D$406,$E$3*25+20)),"",INDEX('指标数据'!D$7:D$406,$E$3*25+20))</x:f>
      </x:c>
      <x:c r="D26" s="76" t="str">
        <x:f>IF(ISBLANK(INDEX('指标数据'!E$7:E$406,$E$3*25+20)),"",INDEX('指标数据'!E$7:E$406,$E$3*25+20))</x:f>
      </x:c>
      <x:c r="E26" s="78" t="str">
        <x:f>IF(ISBLANK(INDEX('指标数据'!F$7:F$406,$E$3*25+20)),"",INDEX('指标数据'!F$7:F$406,$E$3*25+20))</x:f>
      </x:c>
      <x:c r="F26" s="74" t="str">
        <x:f>IF(ISBLANK(INDEX('指标数据'!G$7:G$406,$E$3*25+20)),"",INDEX('指标数据'!G$7:G$406,$E$3*25+20))</x:f>
      </x:c>
      <x:c r="G26" s="76" t="str">
        <x:f>IF(ISBLANK(INDEX('指标数据'!H$7:H$406,$E$3*25+20)),"",INDEX('指标数据'!H$7:H$406,$E$3*25+20))</x:f>
      </x:c>
      <x:c r="H26" s="78" t="str">
        <x:f>IF(ISBLANK(INDEX('指标数据'!I$7:I$406,$E$3*25+20)),"",INDEX('指标数据'!I$7:I$406,$E$3*25+20))</x:f>
      </x:c>
      <x:c r="I26" s="74" t="str">
        <x:f>IF(ISBLANK(INDEX('指标数据'!J$7:J$406,$E$3*25+20)),"",INDEX('指标数据'!J$7:J$406,$E$3*25+20))</x:f>
      </x:c>
      <x:c r="J26" s="76" t="str">
        <x:f>IF(ISBLANK(INDEX('指标数据'!K$7:K$406,$E$3*25+20)),"",INDEX('指标数据'!K$7:K$406,$E$3*25+20))</x:f>
      </x:c>
      <x:c r="K26" s="78" t="str">
        <x:f>IF(ISBLANK(INDEX('指标数据'!L$7:L$406,$E$3*25+20)),"",INDEX('指标数据'!L$7:L$406,$E$3*25+20))</x:f>
      </x:c>
      <x:c r="L26" s="74" t="str">
        <x:f>IF(ISBLANK(INDEX('指标数据'!M$7:M$406,$E$3*25+20)),"",INDEX('指标数据'!M$7:M$406,$E$3*25+20))</x:f>
      </x:c>
      <x:c r="M26" s="76" t="str">
        <x:f>IF(ISBLANK(INDEX('指标数据'!N$7:N$406,$E$3*25+20)),"",INDEX('指标数据'!N$7:N$406,$E$3*25+20))</x:f>
      </x:c>
      <x:c r="N26" s="78" t="str">
        <x:f>IF(ISBLANK(INDEX('指标数据'!O$7:O$406,$E$3*25+20)),"",INDEX('指标数据'!O$7:O$406,$E$3*25+20))</x:f>
      </x:c>
      <x:c r="O26" s="74" t="str">
        <x:f>IF(ISBLANK(INDEX('指标数据'!P$7:P$406,$E$3*25+20)),"",INDEX('指标数据'!P$7:P$406,$E$3*25+20))</x:f>
      </x:c>
      <x:c r="P26" s="2"/>
    </x:row>
    <x:row r="27" ht="25" customHeight="1">
      <x:c r="A27" s="2"/>
      <x:c r="B27" s="11" t="str">
        <x:v>活跃度</x:v>
      </x:c>
      <x:c r="C27" s="52" t="str">
        <x:f>IF(ISBLANK(INDEX('指标数据'!D$7:D$406,$E$3*25+21)),"",INDEX('指标数据'!D$7:D$406,$E$3*25+21))</x:f>
      </x:c>
      <x:c r="D27" s="62" t="str">
        <x:f>IF(ISBLANK(INDEX('指标数据'!E$7:E$406,$E$3*25+21)),"",INDEX('指标数据'!E$7:E$406,$E$3*25+21))</x:f>
      </x:c>
      <x:c r="E27" s="79" t="str">
        <x:f>IF(ISBLANK(INDEX('指标数据'!F$7:F$406,$E$3*25+21)),"",INDEX('指标数据'!F$7:F$406,$E$3*25+21))</x:f>
      </x:c>
      <x:c r="F27" s="52" t="str">
        <x:f>IF(ISBLANK(INDEX('指标数据'!G$7:G$406,$E$3*25+21)),"",INDEX('指标数据'!G$7:G$406,$E$3*25+21))</x:f>
      </x:c>
      <x:c r="G27" s="62" t="str">
        <x:f>IF(ISBLANK(INDEX('指标数据'!H$7:H$406,$E$3*25+21)),"",INDEX('指标数据'!H$7:H$406,$E$3*25+21))</x:f>
      </x:c>
      <x:c r="H27" s="79" t="str">
        <x:f>IF(ISBLANK(INDEX('指标数据'!I$7:I$406,$E$3*25+21)),"",INDEX('指标数据'!I$7:I$406,$E$3*25+21))</x:f>
      </x:c>
      <x:c r="I27" s="52" t="str">
        <x:f>IF(ISBLANK(INDEX('指标数据'!J$7:J$406,$E$3*25+21)),"",INDEX('指标数据'!J$7:J$406,$E$3*25+21))</x:f>
      </x:c>
      <x:c r="J27" s="62" t="str">
        <x:f>IF(ISBLANK(INDEX('指标数据'!K$7:K$406,$E$3*25+21)),"",INDEX('指标数据'!K$7:K$406,$E$3*25+21))</x:f>
      </x:c>
      <x:c r="K27" s="79" t="str">
        <x:f>IF(ISBLANK(INDEX('指标数据'!L$7:L$406,$E$3*25+21)),"",INDEX('指标数据'!L$7:L$406,$E$3*25+21))</x:f>
      </x:c>
      <x:c r="L27" s="52" t="str">
        <x:f>IF(ISBLANK(INDEX('指标数据'!M$7:M$406,$E$3*25+21)),"",INDEX('指标数据'!M$7:M$406,$E$3*25+21))</x:f>
      </x:c>
      <x:c r="M27" s="62" t="str">
        <x:f>IF(ISBLANK(INDEX('指标数据'!N$7:N$406,$E$3*25+21)),"",INDEX('指标数据'!N$7:N$406,$E$3*25+21))</x:f>
      </x:c>
      <x:c r="N27" s="79" t="str">
        <x:f>IF(ISBLANK(INDEX('指标数据'!O$7:O$406,$E$3*25+21)),"",INDEX('指标数据'!O$7:O$406,$E$3*25+21))</x:f>
      </x:c>
      <x:c r="O27" s="52" t="str">
        <x:f>IF(ISBLANK(INDEX('指标数据'!P$7:P$406,$E$3*25+21)),"",INDEX('指标数据'!P$7:P$406,$E$3*25+21))</x:f>
      </x:c>
      <x:c r="P27" s="2"/>
    </x:row>
    <x:row r="28" ht="25" customHeight="1">
      <x:c r="A28" s="2"/>
      <x:c r="B28" s="2" t="str">
        <x:v>路径效率</x:v>
      </x:c>
      <x:c r="C28" s="74" t="str">
        <x:f>IF(ISBLANK(INDEX('指标数据'!D$7:D$406,$E$3*25+22)),"",INDEX('指标数据'!D$7:D$406,$E$3*25+22))</x:f>
      </x:c>
      <x:c r="D28" s="76" t="str">
        <x:f>IF(ISBLANK(INDEX('指标数据'!E$7:E$406,$E$3*25+22)),"",INDEX('指标数据'!E$7:E$406,$E$3*25+22))</x:f>
      </x:c>
      <x:c r="E28" s="78" t="str">
        <x:f>IF(ISBLANK(INDEX('指标数据'!F$7:F$406,$E$3*25+22)),"",INDEX('指标数据'!F$7:F$406,$E$3*25+22))</x:f>
      </x:c>
      <x:c r="F28" s="74" t="str">
        <x:f>IF(ISBLANK(INDEX('指标数据'!G$7:G$406,$E$3*25+22)),"",INDEX('指标数据'!G$7:G$406,$E$3*25+22))</x:f>
      </x:c>
      <x:c r="G28" s="76" t="str">
        <x:f>IF(ISBLANK(INDEX('指标数据'!H$7:H$406,$E$3*25+22)),"",INDEX('指标数据'!H$7:H$406,$E$3*25+22))</x:f>
      </x:c>
      <x:c r="H28" s="78" t="str">
        <x:f>IF(ISBLANK(INDEX('指标数据'!I$7:I$406,$E$3*25+22)),"",INDEX('指标数据'!I$7:I$406,$E$3*25+22))</x:f>
      </x:c>
      <x:c r="I28" s="74" t="str">
        <x:f>IF(ISBLANK(INDEX('指标数据'!J$7:J$406,$E$3*25+22)),"",INDEX('指标数据'!J$7:J$406,$E$3*25+22))</x:f>
      </x:c>
      <x:c r="J28" s="76" t="str">
        <x:f>IF(ISBLANK(INDEX('指标数据'!K$7:K$406,$E$3*25+22)),"",INDEX('指标数据'!K$7:K$406,$E$3*25+22))</x:f>
      </x:c>
      <x:c r="K28" s="78" t="str">
        <x:f>IF(ISBLANK(INDEX('指标数据'!L$7:L$406,$E$3*25+22)),"",INDEX('指标数据'!L$7:L$406,$E$3*25+22))</x:f>
      </x:c>
      <x:c r="L28" s="74" t="str">
        <x:f>IF(ISBLANK(INDEX('指标数据'!M$7:M$406,$E$3*25+22)),"",INDEX('指标数据'!M$7:M$406,$E$3*25+22))</x:f>
      </x:c>
      <x:c r="M28" s="76" t="str">
        <x:f>IF(ISBLANK(INDEX('指标数据'!N$7:N$406,$E$3*25+22)),"",INDEX('指标数据'!N$7:N$406,$E$3*25+22))</x:f>
      </x:c>
      <x:c r="N28" s="78" t="str">
        <x:f>IF(ISBLANK(INDEX('指标数据'!O$7:O$406,$E$3*25+22)),"",INDEX('指标数据'!O$7:O$406,$E$3*25+22))</x:f>
      </x:c>
      <x:c r="O28" s="74" t="str">
        <x:f>IF(ISBLANK(INDEX('指标数据'!P$7:P$406,$E$3*25+22)),"",INDEX('指标数据'!P$7:P$406,$E$3*25+22))</x:f>
      </x:c>
      <x:c r="P28" s="2"/>
    </x:row>
    <x:row r="29" ht="25" customHeight="1">
      <x:c r="A29" s="2"/>
      <x:c r="B29" s="11" t="str">
        <x:v>振幅压力</x:v>
      </x:c>
      <x:c r="C29" s="52" t="str">
        <x:f>IF(ISBLANK(INDEX('指标数据'!D$7:D$406,$E$3*25+23)),"",INDEX('指标数据'!D$7:D$406,$E$3*25+23))</x:f>
      </x:c>
      <x:c r="D29" s="62" t="str">
        <x:f>IF(ISBLANK(INDEX('指标数据'!E$7:E$406,$E$3*25+23)),"",INDEX('指标数据'!E$7:E$406,$E$3*25+23))</x:f>
      </x:c>
      <x:c r="E29" s="79" t="str">
        <x:f>IF(ISBLANK(INDEX('指标数据'!F$7:F$406,$E$3*25+23)),"",INDEX('指标数据'!F$7:F$406,$E$3*25+23))</x:f>
      </x:c>
      <x:c r="F29" s="52" t="str">
        <x:f>IF(ISBLANK(INDEX('指标数据'!G$7:G$406,$E$3*25+23)),"",INDEX('指标数据'!G$7:G$406,$E$3*25+23))</x:f>
      </x:c>
      <x:c r="G29" s="62" t="str">
        <x:f>IF(ISBLANK(INDEX('指标数据'!H$7:H$406,$E$3*25+23)),"",INDEX('指标数据'!H$7:H$406,$E$3*25+23))</x:f>
      </x:c>
      <x:c r="H29" s="79" t="str">
        <x:f>IF(ISBLANK(INDEX('指标数据'!I$7:I$406,$E$3*25+23)),"",INDEX('指标数据'!I$7:I$406,$E$3*25+23))</x:f>
      </x:c>
      <x:c r="I29" s="52" t="str">
        <x:f>IF(ISBLANK(INDEX('指标数据'!J$7:J$406,$E$3*25+23)),"",INDEX('指标数据'!J$7:J$406,$E$3*25+23))</x:f>
      </x:c>
      <x:c r="J29" s="62" t="str">
        <x:f>IF(ISBLANK(INDEX('指标数据'!K$7:K$406,$E$3*25+23)),"",INDEX('指标数据'!K$7:K$406,$E$3*25+23))</x:f>
      </x:c>
      <x:c r="K29" s="79" t="str">
        <x:f>IF(ISBLANK(INDEX('指标数据'!L$7:L$406,$E$3*25+23)),"",INDEX('指标数据'!L$7:L$406,$E$3*25+23))</x:f>
      </x:c>
      <x:c r="L29" s="52" t="str">
        <x:f>IF(ISBLANK(INDEX('指标数据'!M$7:M$406,$E$3*25+23)),"",INDEX('指标数据'!M$7:M$406,$E$3*25+23))</x:f>
      </x:c>
      <x:c r="M29" s="62" t="str">
        <x:f>IF(ISBLANK(INDEX('指标数据'!N$7:N$406,$E$3*25+23)),"",INDEX('指标数据'!N$7:N$406,$E$3*25+23))</x:f>
      </x:c>
      <x:c r="N29" s="79" t="str">
        <x:f>IF(ISBLANK(INDEX('指标数据'!O$7:O$406,$E$3*25+23)),"",INDEX('指标数据'!O$7:O$406,$E$3*25+23))</x:f>
      </x:c>
      <x:c r="O29" s="52" t="str">
        <x:f>IF(ISBLANK(INDEX('指标数据'!P$7:P$406,$E$3*25+23)),"",INDEX('指标数据'!P$7:P$406,$E$3*25+23))</x:f>
      </x:c>
      <x:c r="P29" s="2"/>
    </x:row>
    <x:row r="30" ht="25" customHeight="1">
      <x:c r="A30" s="2"/>
      <x:c r="B30" s="2" t="str">
        <x:v>成本带</x:v>
      </x:c>
      <x:c r="C30" s="74" t="str">
        <x:f>IF(ISBLANK(INDEX('指标数据'!D$7:D$406,$E$3*25+24)),"",INDEX('指标数据'!D$7:D$406,$E$3*25+24))</x:f>
      </x:c>
      <x:c r="D30" s="76" t="str">
        <x:f>IF(ISBLANK(INDEX('指标数据'!E$7:E$406,$E$3*25+24)),"",INDEX('指标数据'!E$7:E$406,$E$3*25+24))</x:f>
      </x:c>
      <x:c r="E30" s="78" t="str">
        <x:f>IF(ISBLANK(INDEX('指标数据'!F$7:F$406,$E$3*25+24)),"",INDEX('指标数据'!F$7:F$406,$E$3*25+24))</x:f>
      </x:c>
      <x:c r="F30" s="74" t="str">
        <x:f>IF(ISBLANK(INDEX('指标数据'!G$7:G$406,$E$3*25+24)),"",INDEX('指标数据'!G$7:G$406,$E$3*25+24))</x:f>
      </x:c>
      <x:c r="G30" s="76" t="str">
        <x:f>IF(ISBLANK(INDEX('指标数据'!H$7:H$406,$E$3*25+24)),"",INDEX('指标数据'!H$7:H$406,$E$3*25+24))</x:f>
      </x:c>
      <x:c r="H30" s="78" t="str">
        <x:f>IF(ISBLANK(INDEX('指标数据'!I$7:I$406,$E$3*25+24)),"",INDEX('指标数据'!I$7:I$406,$E$3*25+24))</x:f>
      </x:c>
      <x:c r="I30" s="74" t="str">
        <x:f>IF(ISBLANK(INDEX('指标数据'!J$7:J$406,$E$3*25+24)),"",INDEX('指标数据'!J$7:J$406,$E$3*25+24))</x:f>
      </x:c>
      <x:c r="J30" s="76" t="str">
        <x:f>IF(ISBLANK(INDEX('指标数据'!K$7:K$406,$E$3*25+24)),"",INDEX('指标数据'!K$7:K$406,$E$3*25+24))</x:f>
      </x:c>
      <x:c r="K30" s="78" t="str">
        <x:f>IF(ISBLANK(INDEX('指标数据'!L$7:L$406,$E$3*25+24)),"",INDEX('指标数据'!L$7:L$406,$E$3*25+24))</x:f>
      </x:c>
      <x:c r="L30" s="74" t="str">
        <x:f>IF(ISBLANK(INDEX('指标数据'!M$7:M$406,$E$3*25+24)),"",INDEX('指标数据'!M$7:M$406,$E$3*25+24))</x:f>
      </x:c>
      <x:c r="M30" s="76" t="str">
        <x:f>IF(ISBLANK(INDEX('指标数据'!N$7:N$406,$E$3*25+24)),"",INDEX('指标数据'!N$7:N$406,$E$3*25+24))</x:f>
      </x:c>
      <x:c r="N30" s="78" t="str">
        <x:f>IF(ISBLANK(INDEX('指标数据'!O$7:O$406,$E$3*25+24)),"",INDEX('指标数据'!O$7:O$406,$E$3*25+24))</x:f>
      </x:c>
      <x:c r="O30" s="74" t="str">
        <x:f>IF(ISBLANK(INDEX('指标数据'!P$7:P$406,$E$3*25+24)),"",INDEX('指标数据'!P$7:P$406,$E$3*25+24))</x:f>
      </x:c>
      <x:c r="P30" s="2"/>
    </x:row>
    <x:row r="31" ht="25" customHeight="1">
      <x:c r="A31" s="2"/>
      <x:c r="B31" s="11" t="str">
        <x:v>ETF折溢价</x:v>
      </x:c>
      <x:c r="C31" s="52" t="str">
        <x:f>IF(ISBLANK(INDEX('指标数据'!D$7:D$406,$E$3*25+25)),"",INDEX('指标数据'!D$7:D$406,$E$3*25+25))</x:f>
      </x:c>
      <x:c r="D31" s="62" t="str">
        <x:f>IF(ISBLANK(INDEX('指标数据'!E$7:E$406,$E$3*25+25)),"",INDEX('指标数据'!E$7:E$406,$E$3*25+25))</x:f>
      </x:c>
      <x:c r="E31" s="79" t="str">
        <x:f>IF(ISBLANK(INDEX('指标数据'!F$7:F$406,$E$3*25+25)),"",INDEX('指标数据'!F$7:F$406,$E$3*25+25))</x:f>
      </x:c>
      <x:c r="F31" s="52" t="str">
        <x:f>IF(ISBLANK(INDEX('指标数据'!G$7:G$406,$E$3*25+25)),"",INDEX('指标数据'!G$7:G$406,$E$3*25+25))</x:f>
      </x:c>
      <x:c r="G31" s="62" t="str">
        <x:f>IF(ISBLANK(INDEX('指标数据'!H$7:H$406,$E$3*25+25)),"",INDEX('指标数据'!H$7:H$406,$E$3*25+25))</x:f>
      </x:c>
      <x:c r="H31" s="79" t="str">
        <x:f>IF(ISBLANK(INDEX('指标数据'!I$7:I$406,$E$3*25+25)),"",INDEX('指标数据'!I$7:I$406,$E$3*25+25))</x:f>
      </x:c>
      <x:c r="I31" s="52" t="str">
        <x:f>IF(ISBLANK(INDEX('指标数据'!J$7:J$406,$E$3*25+25)),"",INDEX('指标数据'!J$7:J$406,$E$3*25+25))</x:f>
      </x:c>
      <x:c r="J31" s="62" t="str">
        <x:f>IF(ISBLANK(INDEX('指标数据'!K$7:K$406,$E$3*25+25)),"",INDEX('指标数据'!K$7:K$406,$E$3*25+25))</x:f>
      </x:c>
      <x:c r="K31" s="79" t="str">
        <x:f>IF(ISBLANK(INDEX('指标数据'!L$7:L$406,$E$3*25+25)),"",INDEX('指标数据'!L$7:L$406,$E$3*25+25))</x:f>
      </x:c>
      <x:c r="L31" s="52" t="str">
        <x:f>IF(ISBLANK(INDEX('指标数据'!M$7:M$406,$E$3*25+25)),"",INDEX('指标数据'!M$7:M$406,$E$3*25+25))</x:f>
      </x:c>
      <x:c r="M31" s="62" t="str">
        <x:f>IF(ISBLANK(INDEX('指标数据'!N$7:N$406,$E$3*25+25)),"",INDEX('指标数据'!N$7:N$406,$E$3*25+25))</x:f>
      </x:c>
      <x:c r="N31" s="79" t="str">
        <x:f>IF(ISBLANK(INDEX('指标数据'!O$7:O$406,$E$3*25+25)),"",INDEX('指标数据'!O$7:O$406,$E$3*25+25))</x:f>
      </x:c>
      <x:c r="O31" s="52" t="str">
        <x:f>IF(ISBLANK(INDEX('指标数据'!P$7:P$406,$E$3*25+25)),"",INDEX('指标数据'!P$7:P$406,$E$3*25+25))</x:f>
      </x:c>
      <x:c r="P31" s="2"/>
    </x:row>
    <x:row r="32" ht="19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9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9" customHeight="1">
      <x:c r="A34" s="2"/>
      <x:c r="B34" s="71" t="str">
        <x:v>样本/分母：历史不足、输入缺失或分母无效；完整原因见研究指标。</x:v>
      </x:c>
      <x:c r="C34" s="71" t="str">
        <x:v>样本/分母：历史不足、输入缺失或分母无效；完整原因见研究指标。</x:v>
      </x:c>
      <x:c r="D34" s="71" t="str">
        <x:v>样本/分母：历史不足、输入缺失或分母无效；完整原因见研究指标。</x:v>
      </x:c>
      <x:c r="E34" s="71" t="str">
        <x:v>样本/分母：历史不足、输入缺失或分母无效；完整原因见研究指标。</x:v>
      </x:c>
      <x:c r="F34" s="71" t="str">
        <x:v>样本/分母：历史不足、输入缺失或分母无效；完整原因见研究指标。</x:v>
      </x:c>
      <x:c r="G34" s="71" t="str">
        <x:v>样本/分母：历史不足、输入缺失或分母无效；完整原因见研究指标。</x:v>
      </x:c>
      <x:c r="H34" s="71" t="str">
        <x:v>样本/分母：历史不足、输入缺失或分母无效；完整原因见研究指标。</x:v>
      </x:c>
      <x:c r="I34" s="71" t="str">
        <x:v>样本/分母：历史不足、输入缺失或分母无效；完整原因见研究指标。</x:v>
      </x:c>
      <x:c r="J34" s="71" t="str">
        <x:v>样本/分母：历史不足、输入缺失或分母无效；完整原因见研究指标。</x:v>
      </x:c>
      <x:c r="K34" s="71" t="str">
        <x:v>样本/分母：历史不足、输入缺失或分母无效；完整原因见研究指标。</x:v>
      </x:c>
      <x:c r="L34" s="71" t="str">
        <x:v>样本/分母：历史不足、输入缺失或分母无效；完整原因见研究指标。</x:v>
      </x:c>
      <x:c r="M34" s="71" t="str">
        <x:v>样本/分母：历史不足、输入缺失或分母无效；完整原因见研究指标。</x:v>
      </x:c>
      <x:c r="N34" s="71" t="str">
        <x:v>样本/分母：历史不足、输入缺失或分母无效；完整原因见研究指标。</x:v>
      </x:c>
      <x:c r="O34" s="71" t="str">
        <x:v>样本/分母：历史不足、输入缺失或分母无效；完整原因见研究指标。</x:v>
      </x:c>
      <x:c r="P34" s="2"/>
    </x:row>
    <x:row r="35" ht="19" customHeight="1">
      <x:c r="A35" s="2"/>
      <x:c r="B35" s="71" t="str">
        <x:v>未连接 · 保存文件为快照</x:v>
      </x:c>
      <x:c r="C35" s="71" t="str">
        <x:v>未连接 · 保存文件为快照</x:v>
      </x:c>
      <x:c r="D35" s="71" t="str">
        <x:v>未连接 · 保存文件为快照</x:v>
      </x:c>
      <x:c r="E35" s="71" t="str">
        <x:v>未连接 · 保存文件为快照</x:v>
      </x:c>
      <x:c r="F35" s="71" t="str">
        <x:v>未连接 · 保存文件为快照</x:v>
      </x:c>
      <x:c r="G35" s="71" t="str">
        <x:v>未连接 · 保存文件为快照</x:v>
      </x:c>
      <x:c r="H35" s="71" t="str">
        <x:v>未连接 · 保存文件为快照</x:v>
      </x:c>
      <x:c r="I35" s="71" t="str">
        <x:v>未连接 · 保存文件为快照</x:v>
      </x:c>
      <x:c r="J35" s="71" t="str">
        <x:v>未连接 · 保存文件为快照</x:v>
      </x:c>
      <x:c r="K35" s="71" t="str">
        <x:v>未连接 · 保存文件为快照</x:v>
      </x:c>
      <x:c r="L35" s="71" t="str">
        <x:v>未连接 · 保存文件为快照</x:v>
      </x:c>
      <x:c r="M35" s="71" t="str">
        <x:v>未连接 · 保存文件为快照</x:v>
      </x:c>
      <x:c r="N35" s="71" t="str">
        <x:v>未连接 · 保存文件为快照</x:v>
      </x:c>
      <x:c r="O35" s="71" t="str">
        <x:v>未连接 · 保存文件为快照</x:v>
      </x:c>
      <x:c r="P35" s="2"/>
    </x:row>
    <x:row r="36" ht="19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9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9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9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</x:sheetData>
  <x:mergeCells>
    <x:mergeCell ref="B2:O2"/>
    <x:mergeCell ref="B3:D3"/>
    <x:mergeCell ref="G3:O3"/>
    <x:mergeCell ref="B4:O4"/>
    <x:mergeCell ref="B34:O34"/>
    <x:mergeCell ref="B35:O35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</x:worksheet>
</file>